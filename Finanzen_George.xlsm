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Id="rIdUI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Übersicht" sheetId="1" state="visible" r:id="rId1"/>
    <sheet xmlns:r="http://schemas.openxmlformats.org/officeDocument/2006/relationships" name="Buchungen" sheetId="2" state="visible" r:id="rId2"/>
    <sheet xmlns:r="http://schemas.openxmlformats.org/officeDocument/2006/relationships" name="Monatsübersicht" sheetId="3" state="visible" r:id="rId3"/>
    <sheet xmlns:r="http://schemas.openxmlformats.org/officeDocument/2006/relationships" name="Fixkosten" sheetId="4" state="visible" r:id="rId4"/>
    <sheet xmlns:r="http://schemas.openxmlformats.org/officeDocument/2006/relationships" name="Importregeln" sheetId="5" state="visible" r:id="rId5"/>
    <sheet xmlns:r="http://schemas.openxmlformats.org/officeDocument/2006/relationships" name="Einstellungen" sheetId="6" state="visible" r:id="rId6"/>
    <sheet xmlns:r="http://schemas.openxmlformats.org/officeDocument/2006/relationships" name="Hinweise" sheetId="7" state="visible" r:id="rId7"/>
  </sheets>
  <definedNames>
    <definedName name="_xlnm._FilterDatabase" localSheetId="1" hidden="1">'Buchungen'!$A$5:$L$10005</definedName>
    <definedName name="_xlnm.Print_Titles" localSheetId="1">'Buchungen'!$5:$5</definedName>
    <definedName name="_xlnm.Print_Area" localSheetId="1">'Buchungen'!$A$1:$J$6</definedName>
  </definedNames>
  <calcPr calcId="124519" fullCalcOnLoad="1"/>
</workbook>
</file>

<file path=xl/styles.xml><?xml version="1.0" encoding="utf-8"?>
<styleSheet xmlns="http://schemas.openxmlformats.org/spreadsheetml/2006/main">
  <numFmts count="8">
    <numFmt numFmtId="164" formatCode="MMM YYYY"/>
    <numFmt numFmtId="165" formatCode="#,##0.00&quot; €&quot;;[RED]\-#,##0.00&quot; €&quot;;\–"/>
    <numFmt numFmtId="166" formatCode="DD.MM.YYYY"/>
    <numFmt numFmtId="167" formatCode="#,##0.00;[RED]-#,##0.00;&quot;&quot;"/>
    <numFmt numFmtId="168" formatCode="MMMM YYYY"/>
    <numFmt numFmtId="169" formatCode="MMM"/>
    <numFmt numFmtId="170" formatCode="#,##0&quot; €&quot;"/>
    <numFmt numFmtId="171" formatCode="#,##0&quot; €&quot;;[RED]\-#,##0&quot; €&quot;;\–"/>
  </numFmts>
  <fonts count="27">
    <font>
      <name val="Calibri"/>
      <family val="2"/>
      <color theme="1"/>
      <sz val="11"/>
      <scheme val="minor"/>
    </font>
    <font>
      <name val="Arial"/>
      <b val="1"/>
      <color rgb="FF1F3864"/>
      <sz val="16"/>
    </font>
    <font>
      <name val="Arial"/>
      <color rgb="FF595959"/>
      <sz val="9"/>
    </font>
    <font>
      <name val="Arial"/>
      <b val="1"/>
      <color rgb="FFFFFFFF"/>
      <sz val="10"/>
    </font>
    <font>
      <name val="Arial"/>
      <color rgb="FF0000FF"/>
      <sz val="10"/>
    </font>
    <font>
      <name val="Arial"/>
      <b val="1"/>
      <sz val="10"/>
    </font>
    <font>
      <name val="Arial"/>
      <color rgb="FF008000"/>
      <sz val="10"/>
    </font>
    <font>
      <name val="Arial"/>
      <color rgb="FF000000"/>
      <sz val="10"/>
    </font>
    <font>
      <name val="Arial"/>
      <sz val="10"/>
    </font>
    <font>
      <name val="Arial"/>
      <b val="1"/>
      <color rgb="FFFFFFFF"/>
      <sz val="11"/>
    </font>
    <font>
      <name val="Arial"/>
      <b val="1"/>
      <color rgb="FF0000FF"/>
      <sz val="10"/>
    </font>
    <font>
      <name val="Arial"/>
      <b val="1"/>
      <color rgb="FF595959"/>
      <sz val="9"/>
    </font>
    <font>
      <name val="Arial"/>
      <color rgb="FF595959"/>
      <sz val="8"/>
    </font>
    <font>
      <name val="Arial"/>
      <b val="1"/>
      <color rgb="FFFFFFFF"/>
      <sz val="9"/>
    </font>
    <font>
      <name val="Arial"/>
      <b val="1"/>
      <color rgb="FF595959"/>
      <sz val="8"/>
    </font>
    <font>
      <name val="Arial"/>
      <b val="1"/>
      <color rgb="FF008000"/>
      <sz val="10"/>
    </font>
    <font>
      <name val="Arial"/>
      <b val="1"/>
      <color rgb="001F3864"/>
      <sz val="16"/>
    </font>
    <font>
      <name val="Arial"/>
      <color rgb="00595959"/>
      <sz val="9"/>
    </font>
    <font>
      <name val="Arial"/>
      <b val="1"/>
      <color rgb="00FFFFFF"/>
      <sz val="11"/>
    </font>
    <font>
      <name val="Arial"/>
      <b val="1"/>
      <color rgb="000000FF"/>
      <sz val="10"/>
    </font>
    <font>
      <name val="Arial"/>
      <b val="1"/>
      <color rgb="00595959"/>
      <sz val="9"/>
    </font>
    <font>
      <name val="Arial"/>
      <color rgb="00595959"/>
      <sz val="8"/>
    </font>
    <font>
      <name val="Arial"/>
      <b val="1"/>
      <color rgb="00FFFFFF"/>
      <sz val="10"/>
    </font>
    <font>
      <name val="Arial"/>
      <color rgb="000000FF"/>
      <sz val="10"/>
    </font>
    <font>
      <name val="Arial"/>
      <i val="1"/>
      <sz val="10"/>
    </font>
    <font>
      <name val="Arial"/>
      <color rgb="008C8C8C"/>
      <sz val="8"/>
    </font>
    <font>
      <name val="Arial"/>
      <color rgb="008C8C8C"/>
      <sz val="9"/>
    </font>
  </fonts>
  <fills count="15">
    <fill>
      <patternFill/>
    </fill>
    <fill>
      <patternFill patternType="gray125"/>
    </fill>
    <fill>
      <patternFill patternType="solid">
        <fgColor rgb="FF1F3864"/>
      </patternFill>
    </fill>
    <fill>
      <patternFill patternType="solid">
        <fgColor rgb="FFD9E1F2"/>
      </patternFill>
    </fill>
    <fill>
      <patternFill patternType="solid">
        <fgColor rgb="FFFFFF99"/>
      </patternFill>
    </fill>
    <fill>
      <patternFill patternType="solid">
        <fgColor rgb="FF2E75B6"/>
      </patternFill>
    </fill>
    <fill>
      <patternFill patternType="solid">
        <fgColor rgb="FFEEF2F8"/>
      </patternFill>
    </fill>
    <fill>
      <patternFill patternType="solid">
        <fgColor rgb="FFF2F2F2"/>
      </patternFill>
    </fill>
    <fill>
      <patternFill patternType="solid">
        <fgColor rgb="FFF7F7F7"/>
      </patternFill>
    </fill>
    <fill>
      <patternFill patternType="solid">
        <fgColor rgb="002E75B6"/>
      </patternFill>
    </fill>
    <fill>
      <patternFill patternType="solid">
        <fgColor rgb="00FFFF99"/>
      </patternFill>
    </fill>
    <fill>
      <patternFill patternType="solid">
        <fgColor rgb="00EEF2F8"/>
      </patternFill>
    </fill>
    <fill>
      <patternFill patternType="solid">
        <fgColor rgb="00D9E1F2"/>
      </patternFill>
    </fill>
    <fill>
      <patternFill patternType="solid">
        <fgColor rgb="001F3864"/>
      </patternFill>
    </fill>
    <fill>
      <patternFill patternType="solid">
        <fgColor rgb="00F2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ck">
        <color rgb="FF1F3864"/>
      </left>
    </border>
    <border>
      <left style="thick">
        <color rgb="FF1F3864"/>
      </left>
      <right/>
      <bottom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17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5" borderId="0" applyAlignment="1" pivotButton="0" quotePrefix="0" xfId="0">
      <alignment horizontal="center" vertical="center"/>
    </xf>
    <xf numFmtId="0" fontId="0" fillId="5" borderId="0" pivotButton="0" quotePrefix="0" xfId="0"/>
    <xf numFmtId="0" fontId="5" fillId="0" borderId="0" pivotButton="0" quotePrefix="0" xfId="0"/>
    <xf numFmtId="164" fontId="10" fillId="4" borderId="0" pivotButton="0" quotePrefix="0" xfId="0"/>
    <xf numFmtId="0" fontId="11" fillId="6" borderId="2" pivotButton="0" quotePrefix="0" xfId="0"/>
    <xf numFmtId="0" fontId="0" fillId="6" borderId="0" pivotButton="0" quotePrefix="0" xfId="0"/>
    <xf numFmtId="165" fontId="1" fillId="6" borderId="2" applyAlignment="1" pivotButton="0" quotePrefix="0" xfId="0">
      <alignment horizontal="left"/>
    </xf>
    <xf numFmtId="1" fontId="1" fillId="6" borderId="2" applyAlignment="1" pivotButton="0" quotePrefix="0" xfId="0">
      <alignment horizontal="left"/>
    </xf>
    <xf numFmtId="0" fontId="12" fillId="6" borderId="2" pivotButton="0" quotePrefix="0" xfId="0"/>
    <xf numFmtId="0" fontId="5" fillId="3" borderId="0" pivotButton="0" quotePrefix="0" xfId="0"/>
    <xf numFmtId="0" fontId="0" fillId="3" borderId="0" pivotButton="0" quotePrefix="0" xfId="0"/>
    <xf numFmtId="0" fontId="3" fillId="2" borderId="0" applyAlignment="1" pivotButton="0" quotePrefix="0" xfId="0">
      <alignment horizontal="left" vertical="center" wrapText="1"/>
    </xf>
    <xf numFmtId="0" fontId="3" fillId="2" borderId="0" applyAlignment="1" pivotButton="0" quotePrefix="0" xfId="0">
      <alignment horizontal="center" vertical="center" wrapText="1"/>
    </xf>
    <xf numFmtId="0" fontId="4" fillId="0" borderId="1" pivotButton="0" quotePrefix="0" xfId="0"/>
    <xf numFmtId="165" fontId="4" fillId="4" borderId="1" pivotButton="0" quotePrefix="0" xfId="0"/>
    <xf numFmtId="166" fontId="4" fillId="4" borderId="1" pivotButton="0" quotePrefix="0" xfId="0"/>
    <xf numFmtId="165" fontId="5" fillId="0" borderId="1" pivotButton="0" quotePrefix="0" xfId="0"/>
    <xf numFmtId="9" fontId="8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166" fontId="8" fillId="0" borderId="1" applyAlignment="1" pivotButton="0" quotePrefix="0" xfId="0">
      <alignment horizontal="center"/>
    </xf>
    <xf numFmtId="165" fontId="8" fillId="0" borderId="1" pivotButton="0" quotePrefix="0" xfId="0"/>
    <xf numFmtId="165" fontId="4" fillId="0" borderId="1" pivotButton="0" quotePrefix="0" xfId="0"/>
    <xf numFmtId="166" fontId="4" fillId="0" borderId="1" pivotButton="0" quotePrefix="0" xfId="0"/>
    <xf numFmtId="0" fontId="5" fillId="7" borderId="1" pivotButton="0" quotePrefix="0" xfId="0"/>
    <xf numFmtId="165" fontId="5" fillId="7" borderId="1" pivotButton="0" quotePrefix="0" xfId="0"/>
    <xf numFmtId="0" fontId="13" fillId="2" borderId="0" applyAlignment="1" pivotButton="0" quotePrefix="0" xfId="0">
      <alignment horizontal="center" vertical="center" wrapText="1"/>
    </xf>
    <xf numFmtId="0" fontId="14" fillId="8" borderId="0" applyAlignment="1" pivotButton="0" quotePrefix="0" xfId="0">
      <alignment horizontal="center" wrapText="1"/>
    </xf>
    <xf numFmtId="166" fontId="0" fillId="0" borderId="0" pivotButton="0" quotePrefix="0" xfId="0"/>
    <xf numFmtId="165" fontId="0" fillId="0" borderId="0" pivotButton="0" quotePrefix="0" xfId="0"/>
    <xf numFmtId="9" fontId="0" fillId="0" borderId="0" applyAlignment="1" pivotButton="0" quotePrefix="0" xfId="0">
      <alignment horizontal="center"/>
    </xf>
    <xf numFmtId="164" fontId="0" fillId="0" borderId="0" pivotButton="0" quotePrefix="0" xfId="0"/>
    <xf numFmtId="167" fontId="12" fillId="0" borderId="0" pivotButton="0" quotePrefix="0" xfId="0"/>
    <xf numFmtId="1" fontId="10" fillId="4" borderId="0" pivotButton="0" quotePrefix="0" xfId="0"/>
    <xf numFmtId="168" fontId="8" fillId="0" borderId="1" pivotButton="0" quotePrefix="0" xfId="0"/>
    <xf numFmtId="0" fontId="8" fillId="0" borderId="1" applyAlignment="1" pivotButton="0" quotePrefix="0" xfId="0">
      <alignment horizontal="center"/>
    </xf>
    <xf numFmtId="1" fontId="5" fillId="7" borderId="1" pivotButton="0" quotePrefix="0" xfId="0"/>
    <xf numFmtId="169" fontId="3" fillId="2" borderId="0" applyAlignment="1" pivotButton="0" quotePrefix="0" xfId="0">
      <alignment horizontal="center"/>
    </xf>
    <xf numFmtId="0" fontId="5" fillId="0" borderId="1" pivotButton="0" quotePrefix="0" xfId="0"/>
    <xf numFmtId="170" fontId="8" fillId="0" borderId="1" pivotButton="0" quotePrefix="0" xfId="0"/>
    <xf numFmtId="170" fontId="5" fillId="0" borderId="1" pivotButton="0" quotePrefix="0" xfId="0"/>
    <xf numFmtId="0" fontId="4" fillId="0" borderId="0" pivotButton="0" quotePrefix="0" xfId="0"/>
    <xf numFmtId="165" fontId="4" fillId="0" borderId="0" pivotButton="0" quotePrefix="0" xfId="0"/>
    <xf numFmtId="0" fontId="5" fillId="7" borderId="0" pivotButton="0" quotePrefix="0" xfId="0"/>
    <xf numFmtId="165" fontId="5" fillId="7" borderId="0" pivotButton="0" quotePrefix="0" xfId="0"/>
    <xf numFmtId="0" fontId="5" fillId="3" borderId="0" applyAlignment="1" pivotButton="0" quotePrefix="0" xfId="0">
      <alignment horizontal="center"/>
    </xf>
    <xf numFmtId="9" fontId="4" fillId="0" borderId="1" applyAlignment="1" pivotButton="0" quotePrefix="0" xfId="0">
      <alignment horizontal="center"/>
    </xf>
    <xf numFmtId="0" fontId="2" fillId="0" borderId="1" pivotButton="0" quotePrefix="0" xfId="0"/>
    <xf numFmtId="164" fontId="15" fillId="0" borderId="0" pivotButton="0" quotePrefix="0" xfId="0"/>
    <xf numFmtId="1" fontId="0" fillId="0" borderId="0" pivotButton="0" quotePrefix="0" xfId="0"/>
    <xf numFmtId="0" fontId="15" fillId="0" borderId="1" pivotButton="0" quotePrefix="0" xfId="0"/>
    <xf numFmtId="9" fontId="4" fillId="0" borderId="0" applyAlignment="1" pivotButton="0" quotePrefix="0" xfId="0">
      <alignment horizontal="center"/>
    </xf>
    <xf numFmtId="0" fontId="7" fillId="0" borderId="0" pivotButton="0" quotePrefix="0" xfId="0"/>
    <xf numFmtId="0" fontId="8" fillId="0" borderId="0" pivotButton="0" quotePrefix="0" xfId="0"/>
    <xf numFmtId="49" fontId="4" fillId="4" borderId="0" pivotButton="0" quotePrefix="0" xfId="0"/>
    <xf numFmtId="166" fontId="4" fillId="4" borderId="0" pivotButton="0" quotePrefix="0" xfId="0"/>
    <xf numFmtId="165" fontId="4" fillId="4" borderId="0" pivotButton="0" quotePrefix="0" xfId="0"/>
    <xf numFmtId="9" fontId="4" fillId="4" borderId="0" pivotButton="0" quotePrefix="0" xfId="0"/>
    <xf numFmtId="0" fontId="8" fillId="0" borderId="0" applyAlignment="1" pivotButton="0" quotePrefix="0" xfId="0">
      <alignment vertical="top" wrapText="1"/>
    </xf>
    <xf numFmtId="49" fontId="4" fillId="4" borderId="0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6" fillId="0" borderId="1" pivotButton="0" quotePrefix="0" xfId="0"/>
    <xf numFmtId="0" fontId="16" fillId="0" borderId="0" pivotButton="0" quotePrefix="0" xfId="0"/>
    <xf numFmtId="0" fontId="17" fillId="0" borderId="0" pivotButton="0" quotePrefix="0" xfId="0"/>
    <xf numFmtId="0" fontId="18" fillId="9" borderId="0" applyAlignment="1" pivotButton="0" quotePrefix="0" xfId="0">
      <alignment horizontal="center" vertical="center"/>
    </xf>
    <xf numFmtId="164" fontId="19" fillId="10" borderId="0" pivotButton="0" quotePrefix="0" xfId="0"/>
    <xf numFmtId="0" fontId="20" fillId="11" borderId="0" pivotButton="0" quotePrefix="0" xfId="0"/>
    <xf numFmtId="165" fontId="16" fillId="11" borderId="0" applyAlignment="1" pivotButton="0" quotePrefix="0" xfId="0">
      <alignment horizontal="left"/>
    </xf>
    <xf numFmtId="1" fontId="16" fillId="11" borderId="0" applyAlignment="1" pivotButton="0" quotePrefix="0" xfId="0">
      <alignment horizontal="left"/>
    </xf>
    <xf numFmtId="0" fontId="21" fillId="11" borderId="0" pivotButton="0" quotePrefix="0" xfId="0"/>
    <xf numFmtId="0" fontId="5" fillId="12" borderId="0" pivotButton="0" quotePrefix="0" xfId="0"/>
    <xf numFmtId="0" fontId="22" fillId="13" borderId="0" applyAlignment="1" pivotButton="0" quotePrefix="0" xfId="0">
      <alignment horizontal="left" vertical="center" wrapText="1"/>
    </xf>
    <xf numFmtId="0" fontId="22" fillId="13" borderId="0" applyAlignment="1" pivotButton="0" quotePrefix="0" xfId="0">
      <alignment horizontal="center" vertical="center" wrapText="1"/>
    </xf>
    <xf numFmtId="0" fontId="23" fillId="0" borderId="4" pivotButton="0" quotePrefix="0" xfId="0"/>
    <xf numFmtId="49" fontId="23" fillId="0" borderId="4" pivotButton="0" quotePrefix="0" xfId="0"/>
    <xf numFmtId="165" fontId="23" fillId="10" borderId="4" pivotButton="0" quotePrefix="0" xfId="0"/>
    <xf numFmtId="166" fontId="23" fillId="0" borderId="4" pivotButton="0" quotePrefix="0" xfId="0"/>
    <xf numFmtId="165" fontId="23" fillId="0" borderId="4" pivotButton="0" quotePrefix="0" xfId="0"/>
    <xf numFmtId="165" fontId="5" fillId="0" borderId="4" pivotButton="0" quotePrefix="0" xfId="0"/>
    <xf numFmtId="9" fontId="8" fillId="0" borderId="4" applyAlignment="1" pivotButton="0" quotePrefix="0" xfId="0">
      <alignment horizontal="center"/>
    </xf>
    <xf numFmtId="0" fontId="23" fillId="0" borderId="4" applyAlignment="1" pivotButton="0" quotePrefix="0" xfId="0">
      <alignment horizontal="center"/>
    </xf>
    <xf numFmtId="166" fontId="8" fillId="0" borderId="4" applyAlignment="1" pivotButton="0" quotePrefix="0" xfId="0">
      <alignment horizontal="center"/>
    </xf>
    <xf numFmtId="165" fontId="8" fillId="0" borderId="4" pivotButton="0" quotePrefix="0" xfId="0"/>
    <xf numFmtId="0" fontId="5" fillId="14" borderId="4" pivotButton="0" quotePrefix="0" xfId="0"/>
    <xf numFmtId="0" fontId="8" fillId="14" borderId="4" pivotButton="0" quotePrefix="0" xfId="0"/>
    <xf numFmtId="165" fontId="5" fillId="14" borderId="4" pivotButton="0" quotePrefix="0" xfId="0"/>
    <xf numFmtId="0" fontId="8" fillId="0" borderId="4" pivotButton="0" quotePrefix="0" xfId="0"/>
    <xf numFmtId="0" fontId="24" fillId="0" borderId="4" pivotButton="0" quotePrefix="0" xfId="0"/>
    <xf numFmtId="165" fontId="24" fillId="0" borderId="4" pivotButton="0" quotePrefix="0" xfId="0"/>
    <xf numFmtId="9" fontId="24" fillId="0" borderId="4" applyAlignment="1" pivotButton="0" quotePrefix="0" xfId="0">
      <alignment horizontal="center"/>
    </xf>
    <xf numFmtId="166" fontId="8" fillId="0" borderId="0" pivotButton="0" quotePrefix="0" xfId="0"/>
    <xf numFmtId="165" fontId="8" fillId="0" borderId="0" pivotButton="0" quotePrefix="0" xfId="0"/>
    <xf numFmtId="0" fontId="23" fillId="0" borderId="0" pivotButton="0" quotePrefix="0" xfId="0"/>
    <xf numFmtId="0" fontId="25" fillId="0" borderId="0" pivotButton="0" quotePrefix="0" xfId="0"/>
    <xf numFmtId="1" fontId="19" fillId="10" borderId="0" pivotButton="0" quotePrefix="0" xfId="0"/>
    <xf numFmtId="168" fontId="8" fillId="0" borderId="4" pivotButton="0" quotePrefix="0" xfId="0"/>
    <xf numFmtId="1" fontId="8" fillId="0" borderId="4" applyAlignment="1" pivotButton="0" quotePrefix="0" xfId="0">
      <alignment horizontal="center"/>
    </xf>
    <xf numFmtId="1" fontId="5" fillId="14" borderId="4" applyAlignment="1" pivotButton="0" quotePrefix="0" xfId="0">
      <alignment horizontal="center"/>
    </xf>
    <xf numFmtId="165" fontId="17" fillId="0" borderId="0" pivotButton="0" quotePrefix="0" xfId="0"/>
    <xf numFmtId="169" fontId="22" fillId="13" borderId="0" applyAlignment="1" pivotButton="0" quotePrefix="0" xfId="0">
      <alignment horizontal="center" vertical="center" wrapText="1"/>
    </xf>
    <xf numFmtId="0" fontId="5" fillId="0" borderId="4" pivotButton="0" quotePrefix="0" xfId="0"/>
    <xf numFmtId="171" fontId="8" fillId="0" borderId="4" pivotButton="0" quotePrefix="0" xfId="0"/>
    <xf numFmtId="171" fontId="5" fillId="0" borderId="4" pivotButton="0" quotePrefix="0" xfId="0"/>
    <xf numFmtId="171" fontId="24" fillId="0" borderId="4" pivotButton="0" quotePrefix="0" xfId="0"/>
    <xf numFmtId="171" fontId="5" fillId="14" borderId="4" pivotButton="0" quotePrefix="0" xfId="0"/>
    <xf numFmtId="1" fontId="23" fillId="0" borderId="4" applyAlignment="1" pivotButton="0" quotePrefix="0" xfId="0">
      <alignment horizontal="center"/>
    </xf>
    <xf numFmtId="0" fontId="17" fillId="0" borderId="4" pivotButton="0" quotePrefix="0" xfId="0"/>
    <xf numFmtId="165" fontId="8" fillId="14" borderId="4" pivotButton="0" quotePrefix="0" xfId="0"/>
    <xf numFmtId="0" fontId="8" fillId="0" borderId="4" applyAlignment="1" pivotButton="0" quotePrefix="0" xfId="0">
      <alignment wrapText="1"/>
    </xf>
    <xf numFmtId="49" fontId="23" fillId="10" borderId="4" pivotButton="0" quotePrefix="0" xfId="0"/>
    <xf numFmtId="9" fontId="23" fillId="10" borderId="4" pivotButton="0" quotePrefix="0" xfId="0"/>
    <xf numFmtId="0" fontId="17" fillId="0" borderId="0" applyAlignment="1" pivotButton="0" quotePrefix="0" xfId="0">
      <alignment vertical="top" wrapText="1"/>
    </xf>
    <xf numFmtId="0" fontId="8" fillId="12" borderId="0" pivotButton="0" quotePrefix="0" xfId="0"/>
    <xf numFmtId="0" fontId="5" fillId="0" borderId="0" applyAlignment="1" pivotButton="0" quotePrefix="0" xfId="0">
      <alignment vertical="top"/>
    </xf>
    <xf numFmtId="164" fontId="26" fillId="0" borderId="0" pivotButton="0" quotePrefix="0" xfId="0"/>
  </cellXfs>
  <cellStyles count="1">
    <cellStyle name="Normal" xfId="0" builtinId="0" hidden="0"/>
  </cellStyles>
  <dxfs count="23">
    <dxf>
      <font>
        <name val="Arial"/>
        <b val="1"/>
        <color rgb="FF9C0006"/>
      </font>
      <fill>
        <patternFill patternType="solid">
          <fgColor rgb="FFFFC7CE"/>
        </patternFill>
      </fill>
    </dxf>
    <dxf>
      <fill>
        <patternFill patternType="solid">
          <fgColor rgb="FFFFE0B2"/>
        </patternFill>
      </fill>
    </dxf>
    <dxf>
      <font>
        <name val="Arial"/>
        <b val="1"/>
        <color rgb="FFC00000"/>
        <sz val="16"/>
      </font>
    </dxf>
    <dxf>
      <fill>
        <patternFill patternType="solid">
          <fgColor rgb="FFFFFF99"/>
        </patternFill>
      </fill>
    </dxf>
    <dxf>
      <fill>
        <patternFill patternType="solid">
          <fgColor rgb="FFFFC7CE"/>
        </patternFill>
      </fill>
    </dxf>
    <dxf>
      <font>
        <name val="Arial"/>
        <color rgb="FF8C8C8C"/>
      </font>
    </dxf>
    <dxf>
      <font>
        <name val="Arial"/>
        <color rgb="FFBFBFBF"/>
      </font>
    </dxf>
    <dxf>
      <font>
        <name val="Arial"/>
        <b val="1"/>
        <color rgb="FFC00000"/>
      </font>
    </dxf>
    <dxf>
      <font>
        <name val="Arial"/>
        <b val="1"/>
        <color rgb="FF006100"/>
      </font>
    </dxf>
    <dxf>
      <font>
        <name val="Arial"/>
        <color rgb="FFD0D0D0"/>
      </font>
    </dxf>
    <dxf>
      <fill>
        <patternFill patternType="solid">
          <fgColor rgb="FFE2EFDA"/>
        </patternFill>
      </fill>
    </dxf>
    <dxf>
      <font>
        <name val="Arial"/>
        <b val="1"/>
        <color rgb="00C00000"/>
        <sz val="16"/>
      </font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FFE0B2"/>
        </patternFill>
      </fill>
    </dxf>
    <dxf>
      <font>
        <name val="Arial"/>
        <color rgb="00BFBFBF"/>
      </font>
    </dxf>
    <dxf>
      <fill>
        <patternFill patternType="solid">
          <fgColor rgb="00FFFF99"/>
        </patternFill>
      </fill>
    </dxf>
    <dxf>
      <font>
        <name val="Arial"/>
        <color rgb="008C8C8C"/>
      </font>
    </dxf>
    <dxf>
      <font>
        <name val="Arial"/>
        <color rgb="00006100"/>
      </font>
    </dxf>
    <dxf>
      <font>
        <name val="Arial"/>
        <b val="1"/>
        <color rgb="00C00000"/>
      </font>
    </dxf>
    <dxf>
      <font>
        <name val="Arial"/>
        <b val="1"/>
        <color rgb="00006100"/>
      </font>
    </dxf>
    <dxf>
      <font>
        <name val="Arial"/>
        <color rgb="00C00000"/>
      </font>
    </dxf>
    <dxf>
      <font>
        <name val="Arial"/>
        <color rgb="00D0D0D0"/>
      </font>
    </dxf>
    <dxf>
      <fill>
        <patternFill patternType="solid">
          <fgColor rgb="00E2EFDA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Einnahmen vs. Ausgaben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'Monatsübersicht'!B5</f>
            </strRef>
          </tx>
          <spPr>
            <a:solidFill xmlns:a="http://schemas.openxmlformats.org/drawingml/2006/main">
              <a:srgbClr val="1F3864"/>
            </a:solidFill>
            <a:ln xmlns:a="http://schemas.openxmlformats.org/drawingml/2006/main">
              <a:solidFill>
                <a:srgbClr val="1F3864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'Monatsübersicht'!$B$6:$B$17</f>
            </numRef>
          </val>
        </ser>
        <ser>
          <idx val="1"/>
          <order val="1"/>
          <tx>
            <strRef>
              <f>'Monatsübersicht'!E5</f>
            </strRef>
          </tx>
          <spPr>
            <a:solidFill xmlns:a="http://schemas.openxmlformats.org/drawingml/2006/main">
              <a:srgbClr val="ED7D31"/>
            </a:solidFill>
            <a:ln xmlns:a="http://schemas.openxmlformats.org/drawingml/2006/main">
              <a:solidFill>
                <a:srgbClr val="ED7D31"/>
              </a:solidFill>
              <a:prstDash val="solid"/>
            </a:ln>
          </spPr>
          <cat>
            <numRef>
              <f>'Monatsübersicht'!$A$6:$A$17</f>
            </numRef>
          </cat>
          <val>
            <numRef>
              <f>'Monatsübersicht'!$E$6:$E$17</f>
            </numRef>
          </val>
        </ser>
        <gapWidth val="60"/>
        <axId val="10"/>
        <axId val="100"/>
      </barChart>
      <catAx>
        <axId val="10"/>
        <scaling>
          <orientation val="minMax"/>
        </scaling>
        <delete val="0"/>
        <axPos val="l"/>
        <numFmt formatCode="MMM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numFmt formatCode="#,##0&quot; €&quot;" sourceLinked="0"/>
        <majorTickMark val="none"/>
        <minorTickMark val="none"/>
        <crossAx val="10"/>
      </valAx>
    </plotArea>
    <legend>
      <legendPos val="b"/>
    </legend>
    <plotVisOnly val="1"/>
    <dispBlanksAs val="gap"/>
  </chart>
</chartSpace>
</file>

<file path=xl/comments/comment1.xml><?xml version="1.0" encoding="utf-8"?>
<comments xmlns="http://schemas.openxmlformats.org/spreadsheetml/2006/main">
  <authors>
    <author>Finanzen</author>
  </authors>
  <commentList>
    <comment ref="B7" authorId="0" shapeId="0">
      <text>
        <t>Standard: aktueller Monat. Für einen anderen Monat einfach ein Datum eintragen (z. B. 1.9.2026). Gilt für Übersicht und Fixkosten (Ist).</t>
      </text>
    </comment>
    <comment ref="D14" authorId="0" shapeId="0">
      <text>
        <t>Darüber erkennt der Import das Konto und Umbuchungen zwischen deinen Konten. Wird beim ersten Import automatisch eingetragen.</t>
      </text>
    </comment>
    <comment ref="E14" authorId="0" shapeId="0">
      <text>
        <t>Kontostand aus George mit Vorzeichen (Kreditkarte: offene Umsätze negativ). Der Export enthält keinen Saldo.</t>
      </text>
    </comment>
    <comment ref="G14" authorId="0" shapeId="0">
      <text>
        <t>Überziehungsrahmen bzw. Kartenlimit – jederzeit änderbar.</t>
      </text>
    </comment>
    <comment ref="M14" authorId="0" shapeId="0">
      <text>
        <t>Buchungen ab diesem Tag zählen zum nächsten Monat – z. B. 28 bei der Kreditkarte, deren Abrechnungszeitraum vom 28. bis zum 27. läuft. Leer = Kalendermonat.</t>
      </text>
    </comment>
  </commentList>
</comments>
</file>

<file path=xl/comments/comment2.xml><?xml version="1.0" encoding="utf-8"?>
<comments xmlns="http://schemas.openxmlformats.org/spreadsheetml/2006/main">
  <authors>
    <author>Finanzen</author>
  </authors>
  <commentList>
    <comment ref="J5" authorId="0" shapeId="0">
      <text>
        <t>Wie der Import die Buchung eingeordnet hat (Regel, Fixkosten, bekannter Händler, …).</t>
      </text>
    </comment>
    <comment ref="K5" authorId="0" shapeId="0">
      <text>
        <t>Technischer Schlüssel gegen Doppelimporte – nicht ändern.</t>
      </text>
    </comment>
    <comment ref="L5" authorId="0" shapeId="0">
      <text>
        <t>Auswertungsmonat der Buchung (Formel – nicht ändern): Kalendermonat; bei Konten mit „Monatswechsel (Tag)“ in der Übersicht zählen Buchungen ab diesem Tag zum Folgemonat (Kreditkarte: ab dem 28.).</t>
      </text>
    </comment>
  </commentList>
</comments>
</file>

<file path=xl/comments/comment3.xml><?xml version="1.0" encoding="utf-8"?>
<comments xmlns="http://schemas.openxmlformats.org/spreadsheetml/2006/main">
  <authors>
    <author>Finanzen</author>
  </authors>
  <commentList>
    <comment ref="F12" authorId="0" shapeId="0">
      <text>
        <t>Abo teilen: Anzahl Personen inklusive dir eintragen (z. B. 5 → ein Fünftel ist deins) oder deinen Anteil in Prozent (z. B. 50 %). Leer = alles deins. Du zahlst den vollen Betrag, die Rückzahlungen der anderen kommen als Einnahme herein.</t>
      </text>
    </comment>
  </commentList>
</comments>
</file>

<file path=xl/comments/comment4.xml><?xml version="1.0" encoding="utf-8"?>
<comments xmlns="http://schemas.openxmlformats.org/spreadsheetml/2006/main">
  <authors>
    <author>Finanzen</author>
  </authors>
  <commentList>
    <comment ref="E5" authorId="0" shapeId="0">
      <text>
        <t>zählt als variable Ausgabe</t>
      </text>
    </comment>
    <comment ref="E6" authorId="0" shapeId="0">
      <text>
        <t>Posten aus dem Blatt Fixkosten</t>
      </text>
    </comment>
    <comment ref="E7" authorId="0" shapeId="0">
      <text>
        <t>Lohn &amp; andere Eingänge</t>
      </text>
    </comment>
    <comment ref="E8" authorId="0" shapeId="0">
      <text>
        <t>zwischen eigenen Konten – zählt nirgends</t>
      </text>
    </comment>
    <comment ref="E9" authorId="0" shapeId="0">
      <text>
        <t>wird nirgends gezählt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9</col>
      <colOff>0</colOff>
      <row>3</row>
      <rowOff>0</rowOff>
    </from>
    <ext cx="6480000" cy="306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&#220;bersicht'!A4" TargetMode="External" Id="rId1"/><Relationship Type="http://schemas.openxmlformats.org/officeDocument/2006/relationships/hyperlink" Target="#'&#220;bersicht'!D4" TargetMode="External" Id="rId2"/><Relationship Type="http://schemas.openxmlformats.org/officeDocument/2006/relationships/hyperlink" Target="#'&#220;bersicht'!G4" TargetMode="External" Id="rId3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#'Buchungen'!D1" TargetMode="External" Id="rId1"/><Relationship Type="http://schemas.openxmlformats.org/officeDocument/2006/relationships/hyperlink" Target="#'Buchungen'!F1" TargetMode="External" Id="rId2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sheet1.xml><?xml version="1.0" encoding="utf-8"?>
<worksheet xmlns="http://schemas.openxmlformats.org/spreadsheetml/2006/main">
  <sheetPr codeName="shUebersicht">
    <tabColor rgb="001F3864"/>
    <outlinePr summaryBelow="1" summaryRight="1"/>
    <pageSetUpPr/>
  </sheetPr>
  <dimension ref="A1:M55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4" customWidth="1" min="2" max="2"/>
    <col width="16" customWidth="1" min="3" max="3"/>
    <col width="24" customWidth="1" min="4" max="4"/>
    <col width="15" customWidth="1" min="5" max="5"/>
    <col width="12" customWidth="1" min="6" max="6"/>
    <col width="14" customWidth="1" min="7" max="7"/>
    <col width="15" customWidth="1" min="8" max="8"/>
    <col width="12" customWidth="1" min="9" max="9"/>
    <col width="11" customWidth="1" min="10" max="10"/>
    <col width="13" customWidth="1" min="11" max="11"/>
    <col width="15" customWidth="1" min="12" max="12"/>
    <col width="13" customWidth="1" min="13" max="13"/>
  </cols>
  <sheetData>
    <row r="1">
      <c r="A1" s="64" t="inlineStr">
        <is>
          <t>Finanzen – Übersicht</t>
        </is>
      </c>
    </row>
    <row r="2">
      <c r="A2" s="65" t="inlineStr">
        <is>
          <t>Import über die Schaltflächen oder das Menüband „Finanzen“. Blau = Eingabe · Schwarz = Formel · Gelb = bitte ausfüllen.</t>
        </is>
      </c>
    </row>
    <row r="4" ht="26" customHeight="1">
      <c r="A4" s="66" t="inlineStr">
        <is>
          <t>▶  Dateien importieren …</t>
        </is>
      </c>
      <c r="D4" s="66" t="inlineStr">
        <is>
          <t>▶  Import-Ordner einlesen</t>
        </is>
      </c>
      <c r="G4" s="66" t="inlineStr">
        <is>
          <t>Import-Ordner öffnen</t>
        </is>
      </c>
    </row>
    <row r="5">
      <c r="A5" s="65" t="inlineStr">
        <is>
          <t>Letzter Import:</t>
        </is>
      </c>
      <c r="B5" s="65" t="n"/>
    </row>
    <row r="7">
      <c r="A7" s="5" t="inlineStr">
        <is>
          <t>Auswertungsmonat</t>
        </is>
      </c>
      <c r="B7" s="67">
        <f>DATE(YEAR(TODAY()),MONTH(TODAY()),1)</f>
        <v/>
      </c>
      <c r="C7" s="65" t="inlineStr">
        <is>
          <t>← Datum eintragen (z. B. 1.9.2026), um einen anderen Monat auszuwerten</t>
        </is>
      </c>
    </row>
    <row r="9">
      <c r="A9" s="68" t="inlineStr">
        <is>
          <t>Einnahmen im Monat</t>
        </is>
      </c>
      <c r="C9" s="68" t="inlineStr">
        <is>
          <t>Ausgaben im Monat</t>
        </is>
      </c>
      <c r="E9" s="68" t="inlineStr">
        <is>
          <t>Saldo im Monat</t>
        </is>
      </c>
      <c r="G9" s="68" t="inlineStr">
        <is>
          <t>Verfügbar gesamt</t>
        </is>
      </c>
      <c r="I9" s="68" t="inlineStr">
        <is>
          <t>Nettovermögen</t>
        </is>
      </c>
      <c r="K9" s="68" t="inlineStr">
        <is>
          <t>Ohne Kategorie</t>
        </is>
      </c>
    </row>
    <row r="10" ht="26" customHeight="1">
      <c r="A10" s="69">
        <f>SUMIFS(Buchungen!$E:$E,Buchungen!$H:$H,"Einnahme",Buchungen!$L:$L,$B$7)</f>
        <v/>
      </c>
      <c r="C10" s="69">
        <f>-SUMIFS(Buchungen!$E:$E,Buchungen!$H:$H,"Ausgabe",Buchungen!$L:$L,$B$7)-SUMIFS(Buchungen!$E:$E,Buchungen!$H:$H,"Fixkosten",Buchungen!$L:$L,$B$7)</f>
        <v/>
      </c>
      <c r="E10" s="69">
        <f>A10-C10</f>
        <v/>
      </c>
      <c r="G10" s="69">
        <f>SUMIFS($H$15:$H$22,$J$15:$J$22,"ja")</f>
        <v/>
      </c>
      <c r="I10" s="69">
        <f>SUM($E$15:$E$22)</f>
        <v/>
      </c>
      <c r="K10" s="70">
        <f>COUNTIFS(Buchungen!$H:$H,"Ausgabe",Buchungen!$G:$G,"",Buchungen!$A:$A,"&lt;&gt;")</f>
        <v/>
      </c>
    </row>
    <row r="11">
      <c r="A11" s="71" t="inlineStr">
        <is>
          <t>Art „Einnahme“</t>
        </is>
      </c>
      <c r="C11" s="71" t="inlineStr">
        <is>
          <t>Fixkosten + variable Ausgaben</t>
        </is>
      </c>
      <c r="E11" s="71" t="inlineStr">
        <is>
          <t>Einnahmen − Ausgaben</t>
        </is>
      </c>
      <c r="G11" s="71" t="inlineStr">
        <is>
          <t>Konten mit „In Summe = ja“</t>
        </is>
      </c>
      <c r="I11" s="71" t="inlineStr">
        <is>
          <t>Summe aller Kontostände</t>
        </is>
      </c>
      <c r="K11" s="71" t="inlineStr">
        <is>
          <t>Ausgaben zum Nachtragen</t>
        </is>
      </c>
    </row>
    <row r="13">
      <c r="A13" s="72" t="inlineStr">
        <is>
          <t>Konten</t>
        </is>
      </c>
    </row>
    <row r="14" ht="30" customHeight="1">
      <c r="A14" s="73" t="inlineStr">
        <is>
          <t>Konto</t>
        </is>
      </c>
      <c r="B14" s="74" t="inlineStr">
        <is>
          <t>Typ</t>
        </is>
      </c>
      <c r="C14" s="74" t="inlineStr">
        <is>
          <t>Bank</t>
        </is>
      </c>
      <c r="D14" s="74" t="inlineStr">
        <is>
          <t>IBAN / Karte</t>
        </is>
      </c>
      <c r="E14" s="74" t="inlineStr">
        <is>
          <t>Kontostand</t>
        </is>
      </c>
      <c r="F14" s="74" t="inlineStr">
        <is>
          <t>Stand vom</t>
        </is>
      </c>
      <c r="G14" s="74" t="inlineStr">
        <is>
          <t>Rahmen</t>
        </is>
      </c>
      <c r="H14" s="74" t="inlineStr">
        <is>
          <t>Verfügbar</t>
        </is>
      </c>
      <c r="I14" s="74" t="inlineStr">
        <is>
          <t>Rahmen genutzt</t>
        </is>
      </c>
      <c r="J14" s="74" t="inlineStr">
        <is>
          <t>In Summe?</t>
        </is>
      </c>
      <c r="K14" s="74" t="inlineStr">
        <is>
          <t>Letzte Buchung</t>
        </is>
      </c>
      <c r="L14" s="74" t="inlineStr">
        <is>
          <t>Saldo Buchungen im Monat</t>
        </is>
      </c>
      <c r="M14" s="74" t="inlineStr">
        <is>
          <t>Monatswechsel (Tag)</t>
        </is>
      </c>
    </row>
    <row r="15">
      <c r="A15" s="75" t="inlineStr">
        <is>
          <t>Girokonto</t>
        </is>
      </c>
      <c r="B15" s="75" t="inlineStr">
        <is>
          <t>Girokonto</t>
        </is>
      </c>
      <c r="C15" s="75" t="n"/>
      <c r="D15" s="76" t="n"/>
      <c r="E15" s="77" t="n"/>
      <c r="F15" s="78" t="n"/>
      <c r="G15" s="79" t="n"/>
      <c r="H15" s="80">
        <f>IF(OR($A15="",$E15=""),"",$E15+N($G15))</f>
        <v/>
      </c>
      <c r="I15" s="81">
        <f>IF(OR($A15="",N($G15)=0,$E15=""),"",MAX(0,-$E15)/$G15)</f>
        <v/>
      </c>
      <c r="J15" s="82" t="inlineStr">
        <is>
          <t>ja</t>
        </is>
      </c>
      <c r="K15" s="83">
        <f>IF($A15="","",IFERROR(1/(1/_xlfn.MAXIFS(Buchungen!$A:$A,Buchungen!$B:$B,$A15)),"–"))</f>
        <v/>
      </c>
      <c r="L15" s="84">
        <f>IF($A15="","",SUMIFS(Buchungen!$E:$E,Buchungen!$B:$B,$A15,Buchungen!$L:$L,$B$7))</f>
        <v/>
      </c>
      <c r="M15" s="107" t="n"/>
    </row>
    <row r="16">
      <c r="A16" s="75" t="inlineStr">
        <is>
          <t>Sparkonto</t>
        </is>
      </c>
      <c r="B16" s="75" t="inlineStr">
        <is>
          <t>Sparkonto</t>
        </is>
      </c>
      <c r="C16" s="75" t="n"/>
      <c r="D16" s="76" t="n"/>
      <c r="E16" s="77" t="n"/>
      <c r="F16" s="78" t="n"/>
      <c r="G16" s="79" t="n"/>
      <c r="H16" s="80">
        <f>IF(OR($A16="",$E16=""),"",$E16+N($G16))</f>
        <v/>
      </c>
      <c r="I16" s="81">
        <f>IF(OR($A16="",N($G16)=0,$E16=""),"",MAX(0,-$E16)/$G16)</f>
        <v/>
      </c>
      <c r="J16" s="82" t="inlineStr">
        <is>
          <t>ja</t>
        </is>
      </c>
      <c r="K16" s="83">
        <f>IF($A16="","",IFERROR(1/(1/_xlfn.MAXIFS(Buchungen!$A:$A,Buchungen!$B:$B,$A16)),"–"))</f>
        <v/>
      </c>
      <c r="L16" s="84">
        <f>IF($A16="","",SUMIFS(Buchungen!$E:$E,Buchungen!$B:$B,$A16,Buchungen!$L:$L,$B$7))</f>
        <v/>
      </c>
      <c r="M16" s="107" t="n"/>
    </row>
    <row r="17">
      <c r="A17" s="75" t="inlineStr">
        <is>
          <t>Bausparkonto</t>
        </is>
      </c>
      <c r="B17" s="75" t="inlineStr">
        <is>
          <t>Bausparkonto</t>
        </is>
      </c>
      <c r="C17" s="75" t="n"/>
      <c r="D17" s="76" t="n"/>
      <c r="E17" s="77" t="n"/>
      <c r="F17" s="78" t="n"/>
      <c r="G17" s="79" t="n"/>
      <c r="H17" s="80">
        <f>IF(OR($A17="",$E17=""),"",$E17+N($G17))</f>
        <v/>
      </c>
      <c r="I17" s="81">
        <f>IF(OR($A17="",N($G17)=0,$E17=""),"",MAX(0,-$E17)/$G17)</f>
        <v/>
      </c>
      <c r="J17" s="82" t="inlineStr">
        <is>
          <t>nein</t>
        </is>
      </c>
      <c r="K17" s="83">
        <f>IF($A17="","",IFERROR(1/(1/_xlfn.MAXIFS(Buchungen!$A:$A,Buchungen!$B:$B,$A17)),"–"))</f>
        <v/>
      </c>
      <c r="L17" s="84">
        <f>IF($A17="","",SUMIFS(Buchungen!$E:$E,Buchungen!$B:$B,$A17,Buchungen!$L:$L,$B$7))</f>
        <v/>
      </c>
      <c r="M17" s="107" t="n"/>
    </row>
    <row r="18">
      <c r="A18" s="75" t="inlineStr">
        <is>
          <t>Kreditkarte</t>
        </is>
      </c>
      <c r="B18" s="75" t="inlineStr">
        <is>
          <t>Kreditkarte</t>
        </is>
      </c>
      <c r="C18" s="75" t="n"/>
      <c r="D18" s="76" t="n"/>
      <c r="E18" s="77" t="n"/>
      <c r="F18" s="78" t="n"/>
      <c r="G18" s="79" t="n"/>
      <c r="H18" s="80">
        <f>IF(OR($A18="",$E18=""),"",$E18+N($G18))</f>
        <v/>
      </c>
      <c r="I18" s="81">
        <f>IF(OR($A18="",N($G18)=0,$E18=""),"",MAX(0,-$E18)/$G18)</f>
        <v/>
      </c>
      <c r="J18" s="82" t="inlineStr">
        <is>
          <t>ja</t>
        </is>
      </c>
      <c r="K18" s="83">
        <f>IF($A18="","",IFERROR(1/(1/_xlfn.MAXIFS(Buchungen!$A:$A,Buchungen!$B:$B,$A18)),"–"))</f>
        <v/>
      </c>
      <c r="L18" s="84">
        <f>IF($A18="","",SUMIFS(Buchungen!$E:$E,Buchungen!$B:$B,$A18,Buchungen!$L:$L,$B$7))</f>
        <v/>
      </c>
      <c r="M18" s="107" t="n">
        <v>28</v>
      </c>
    </row>
    <row r="19">
      <c r="A19" s="75" t="n"/>
      <c r="B19" s="75" t="n"/>
      <c r="C19" s="75" t="n"/>
      <c r="D19" s="76" t="n"/>
      <c r="E19" s="77" t="n"/>
      <c r="F19" s="78" t="n"/>
      <c r="G19" s="79" t="n"/>
      <c r="H19" s="80">
        <f>IF(OR($A19="",$E19=""),"",$E19+N($G19))</f>
        <v/>
      </c>
      <c r="I19" s="81">
        <f>IF(OR($A19="",N($G19)=0,$E19=""),"",MAX(0,-$E19)/$G19)</f>
        <v/>
      </c>
      <c r="J19" s="82" t="n"/>
      <c r="K19" s="83">
        <f>IF($A19="","",IFERROR(1/(1/_xlfn.MAXIFS(Buchungen!$A:$A,Buchungen!$B:$B,$A19)),"–"))</f>
        <v/>
      </c>
      <c r="L19" s="84">
        <f>IF($A19="","",SUMIFS(Buchungen!$E:$E,Buchungen!$B:$B,$A19,Buchungen!$L:$L,$B$7))</f>
        <v/>
      </c>
      <c r="M19" s="107" t="n"/>
    </row>
    <row r="20">
      <c r="A20" s="75" t="n"/>
      <c r="B20" s="75" t="n"/>
      <c r="C20" s="75" t="n"/>
      <c r="D20" s="76" t="n"/>
      <c r="E20" s="77" t="n"/>
      <c r="F20" s="78" t="n"/>
      <c r="G20" s="79" t="n"/>
      <c r="H20" s="80">
        <f>IF(OR($A20="",$E20=""),"",$E20+N($G20))</f>
        <v/>
      </c>
      <c r="I20" s="81">
        <f>IF(OR($A20="",N($G20)=0,$E20=""),"",MAX(0,-$E20)/$G20)</f>
        <v/>
      </c>
      <c r="J20" s="82" t="n"/>
      <c r="K20" s="83">
        <f>IF($A20="","",IFERROR(1/(1/_xlfn.MAXIFS(Buchungen!$A:$A,Buchungen!$B:$B,$A20)),"–"))</f>
        <v/>
      </c>
      <c r="L20" s="84">
        <f>IF($A20="","",SUMIFS(Buchungen!$E:$E,Buchungen!$B:$B,$A20,Buchungen!$L:$L,$B$7))</f>
        <v/>
      </c>
      <c r="M20" s="107" t="n"/>
    </row>
    <row r="21">
      <c r="A21" s="75" t="n"/>
      <c r="B21" s="75" t="n"/>
      <c r="C21" s="75" t="n"/>
      <c r="D21" s="76" t="n"/>
      <c r="E21" s="77" t="n"/>
      <c r="F21" s="78" t="n"/>
      <c r="G21" s="79" t="n"/>
      <c r="H21" s="80">
        <f>IF(OR($A21="",$E21=""),"",$E21+N($G21))</f>
        <v/>
      </c>
      <c r="I21" s="81">
        <f>IF(OR($A21="",N($G21)=0,$E21=""),"",MAX(0,-$E21)/$G21)</f>
        <v/>
      </c>
      <c r="J21" s="82" t="n"/>
      <c r="K21" s="83">
        <f>IF($A21="","",IFERROR(1/(1/_xlfn.MAXIFS(Buchungen!$A:$A,Buchungen!$B:$B,$A21)),"–"))</f>
        <v/>
      </c>
      <c r="L21" s="84">
        <f>IF($A21="","",SUMIFS(Buchungen!$E:$E,Buchungen!$B:$B,$A21,Buchungen!$L:$L,$B$7))</f>
        <v/>
      </c>
      <c r="M21" s="107" t="n"/>
    </row>
    <row r="22">
      <c r="A22" s="75" t="n"/>
      <c r="B22" s="75" t="n"/>
      <c r="C22" s="75" t="n"/>
      <c r="D22" s="76" t="n"/>
      <c r="E22" s="77" t="n"/>
      <c r="F22" s="78" t="n"/>
      <c r="G22" s="79" t="n"/>
      <c r="H22" s="80">
        <f>IF(OR($A22="",$E22=""),"",$E22+N($G22))</f>
        <v/>
      </c>
      <c r="I22" s="81">
        <f>IF(OR($A22="",N($G22)=0,$E22=""),"",MAX(0,-$E22)/$G22)</f>
        <v/>
      </c>
      <c r="J22" s="82" t="n"/>
      <c r="K22" s="83">
        <f>IF($A22="","",IFERROR(1/(1/_xlfn.MAXIFS(Buchungen!$A:$A,Buchungen!$B:$B,$A22)),"–"))</f>
        <v/>
      </c>
      <c r="L22" s="84">
        <f>IF($A22="","",SUMIFS(Buchungen!$E:$E,Buchungen!$B:$B,$A22,Buchungen!$L:$L,$B$7))</f>
        <v/>
      </c>
      <c r="M22" s="107" t="n"/>
    </row>
    <row r="23">
      <c r="A23" s="85" t="inlineStr">
        <is>
          <t>Summe</t>
        </is>
      </c>
      <c r="B23" s="86" t="n"/>
      <c r="C23" s="86" t="n"/>
      <c r="D23" s="86" t="n"/>
      <c r="E23" s="87">
        <f>SUM(E15:E22)</f>
        <v/>
      </c>
      <c r="F23" s="86" t="n"/>
      <c r="G23" s="87">
        <f>SUM(G15:G22)</f>
        <v/>
      </c>
      <c r="H23" s="87">
        <f>SUM(H15:H22)</f>
        <v/>
      </c>
      <c r="I23" s="86" t="n"/>
      <c r="J23" s="86" t="n"/>
      <c r="K23" s="86" t="n"/>
      <c r="L23" s="87">
        <f>SUM(L15:L22)</f>
        <v/>
      </c>
      <c r="M23" s="86" t="n"/>
    </row>
    <row r="24">
      <c r="A24" s="65" t="inlineStr">
        <is>
          <t>Kontostand und „Stand vom“ aus George übernehmen (der Export enthält keinen Saldo). „Saldo Buchungen im Monat“ = Summe der importierten Umsätze des Kontos im Auswertungsmonat. „Monatswechsel“: Buchungen ab diesem Tag zählen zum Folgemonat (Kreditkarte: 28).</t>
        </is>
      </c>
    </row>
    <row r="26">
      <c r="A26" s="72" t="inlineStr">
        <is>
          <t>Ausgaben im Auswertungsmonat nach Kategorie</t>
        </is>
      </c>
    </row>
    <row r="27" ht="30" customHeight="1">
      <c r="A27" s="73" t="inlineStr">
        <is>
          <t>Kategorie</t>
        </is>
      </c>
      <c r="B27" s="74" t="inlineStr">
        <is>
          <t>Fixkosten</t>
        </is>
      </c>
      <c r="C27" s="74" t="inlineStr">
        <is>
          <t>Variabel</t>
        </is>
      </c>
      <c r="D27" s="74" t="inlineStr">
        <is>
          <t>Gesamt</t>
        </is>
      </c>
      <c r="E27" s="74" t="inlineStr">
        <is>
          <t>Anteil</t>
        </is>
      </c>
    </row>
    <row r="28">
      <c r="A28" s="88">
        <f>IF(Einstellungen!$A5="","",Einstellungen!$A5)</f>
        <v/>
      </c>
      <c r="B28" s="84">
        <f>IF($A28="","",-SUMIFS(Buchungen!$E:$E,Buchungen!$G:$G,$A28,Buchungen!$H:$H,"Fixkosten",Buchungen!$L:$L,$B$7))</f>
        <v/>
      </c>
      <c r="C28" s="84">
        <f>IF($A28="","",-SUMIFS(Buchungen!$E:$E,Buchungen!$G:$G,$A28,Buchungen!$H:$H,"Ausgabe",Buchungen!$L:$L,$B$7))</f>
        <v/>
      </c>
      <c r="D28" s="80">
        <f>IF($A28="","",B28+C28)</f>
        <v/>
      </c>
      <c r="E28" s="81">
        <f>IF(OR($A28="",$D$54=0),"",D28/$D$54)</f>
        <v/>
      </c>
    </row>
    <row r="29">
      <c r="A29" s="88">
        <f>IF(Einstellungen!$A6="","",Einstellungen!$A6)</f>
        <v/>
      </c>
      <c r="B29" s="84">
        <f>IF($A29="","",-SUMIFS(Buchungen!$E:$E,Buchungen!$G:$G,$A29,Buchungen!$H:$H,"Fixkosten",Buchungen!$L:$L,$B$7))</f>
        <v/>
      </c>
      <c r="C29" s="84">
        <f>IF($A29="","",-SUMIFS(Buchungen!$E:$E,Buchungen!$G:$G,$A29,Buchungen!$H:$H,"Ausgabe",Buchungen!$L:$L,$B$7))</f>
        <v/>
      </c>
      <c r="D29" s="80">
        <f>IF($A29="","",B29+C29)</f>
        <v/>
      </c>
      <c r="E29" s="81">
        <f>IF(OR($A29="",$D$54=0),"",D29/$D$54)</f>
        <v/>
      </c>
    </row>
    <row r="30">
      <c r="A30" s="88">
        <f>IF(Einstellungen!$A7="","",Einstellungen!$A7)</f>
        <v/>
      </c>
      <c r="B30" s="84">
        <f>IF($A30="","",-SUMIFS(Buchungen!$E:$E,Buchungen!$G:$G,$A30,Buchungen!$H:$H,"Fixkosten",Buchungen!$L:$L,$B$7))</f>
        <v/>
      </c>
      <c r="C30" s="84">
        <f>IF($A30="","",-SUMIFS(Buchungen!$E:$E,Buchungen!$G:$G,$A30,Buchungen!$H:$H,"Ausgabe",Buchungen!$L:$L,$B$7))</f>
        <v/>
      </c>
      <c r="D30" s="80">
        <f>IF($A30="","",B30+C30)</f>
        <v/>
      </c>
      <c r="E30" s="81">
        <f>IF(OR($A30="",$D$54=0),"",D30/$D$54)</f>
        <v/>
      </c>
    </row>
    <row r="31">
      <c r="A31" s="88">
        <f>IF(Einstellungen!$A8="","",Einstellungen!$A8)</f>
        <v/>
      </c>
      <c r="B31" s="84">
        <f>IF($A31="","",-SUMIFS(Buchungen!$E:$E,Buchungen!$G:$G,$A31,Buchungen!$H:$H,"Fixkosten",Buchungen!$L:$L,$B$7))</f>
        <v/>
      </c>
      <c r="C31" s="84">
        <f>IF($A31="","",-SUMIFS(Buchungen!$E:$E,Buchungen!$G:$G,$A31,Buchungen!$H:$H,"Ausgabe",Buchungen!$L:$L,$B$7))</f>
        <v/>
      </c>
      <c r="D31" s="80">
        <f>IF($A31="","",B31+C31)</f>
        <v/>
      </c>
      <c r="E31" s="81">
        <f>IF(OR($A31="",$D$54=0),"",D31/$D$54)</f>
        <v/>
      </c>
    </row>
    <row r="32">
      <c r="A32" s="88">
        <f>IF(Einstellungen!$A9="","",Einstellungen!$A9)</f>
        <v/>
      </c>
      <c r="B32" s="84">
        <f>IF($A32="","",-SUMIFS(Buchungen!$E:$E,Buchungen!$G:$G,$A32,Buchungen!$H:$H,"Fixkosten",Buchungen!$L:$L,$B$7))</f>
        <v/>
      </c>
      <c r="C32" s="84">
        <f>IF($A32="","",-SUMIFS(Buchungen!$E:$E,Buchungen!$G:$G,$A32,Buchungen!$H:$H,"Ausgabe",Buchungen!$L:$L,$B$7))</f>
        <v/>
      </c>
      <c r="D32" s="80">
        <f>IF($A32="","",B32+C32)</f>
        <v/>
      </c>
      <c r="E32" s="81">
        <f>IF(OR($A32="",$D$54=0),"",D32/$D$54)</f>
        <v/>
      </c>
    </row>
    <row r="33">
      <c r="A33" s="88">
        <f>IF(Einstellungen!$A10="","",Einstellungen!$A10)</f>
        <v/>
      </c>
      <c r="B33" s="84">
        <f>IF($A33="","",-SUMIFS(Buchungen!$E:$E,Buchungen!$G:$G,$A33,Buchungen!$H:$H,"Fixkosten",Buchungen!$L:$L,$B$7))</f>
        <v/>
      </c>
      <c r="C33" s="84">
        <f>IF($A33="","",-SUMIFS(Buchungen!$E:$E,Buchungen!$G:$G,$A33,Buchungen!$H:$H,"Ausgabe",Buchungen!$L:$L,$B$7))</f>
        <v/>
      </c>
      <c r="D33" s="80">
        <f>IF($A33="","",B33+C33)</f>
        <v/>
      </c>
      <c r="E33" s="81">
        <f>IF(OR($A33="",$D$54=0),"",D33/$D$54)</f>
        <v/>
      </c>
    </row>
    <row r="34">
      <c r="A34" s="88">
        <f>IF(Einstellungen!$A11="","",Einstellungen!$A11)</f>
        <v/>
      </c>
      <c r="B34" s="84">
        <f>IF($A34="","",-SUMIFS(Buchungen!$E:$E,Buchungen!$G:$G,$A34,Buchungen!$H:$H,"Fixkosten",Buchungen!$L:$L,$B$7))</f>
        <v/>
      </c>
      <c r="C34" s="84">
        <f>IF($A34="","",-SUMIFS(Buchungen!$E:$E,Buchungen!$G:$G,$A34,Buchungen!$H:$H,"Ausgabe",Buchungen!$L:$L,$B$7))</f>
        <v/>
      </c>
      <c r="D34" s="80">
        <f>IF($A34="","",B34+C34)</f>
        <v/>
      </c>
      <c r="E34" s="81">
        <f>IF(OR($A34="",$D$54=0),"",D34/$D$54)</f>
        <v/>
      </c>
    </row>
    <row r="35">
      <c r="A35" s="88">
        <f>IF(Einstellungen!$A12="","",Einstellungen!$A12)</f>
        <v/>
      </c>
      <c r="B35" s="84">
        <f>IF($A35="","",-SUMIFS(Buchungen!$E:$E,Buchungen!$G:$G,$A35,Buchungen!$H:$H,"Fixkosten",Buchungen!$L:$L,$B$7))</f>
        <v/>
      </c>
      <c r="C35" s="84">
        <f>IF($A35="","",-SUMIFS(Buchungen!$E:$E,Buchungen!$G:$G,$A35,Buchungen!$H:$H,"Ausgabe",Buchungen!$L:$L,$B$7))</f>
        <v/>
      </c>
      <c r="D35" s="80">
        <f>IF($A35="","",B35+C35)</f>
        <v/>
      </c>
      <c r="E35" s="81">
        <f>IF(OR($A35="",$D$54=0),"",D35/$D$54)</f>
        <v/>
      </c>
    </row>
    <row r="36">
      <c r="A36" s="88">
        <f>IF(Einstellungen!$A13="","",Einstellungen!$A13)</f>
        <v/>
      </c>
      <c r="B36" s="84">
        <f>IF($A36="","",-SUMIFS(Buchungen!$E:$E,Buchungen!$G:$G,$A36,Buchungen!$H:$H,"Fixkosten",Buchungen!$L:$L,$B$7))</f>
        <v/>
      </c>
      <c r="C36" s="84">
        <f>IF($A36="","",-SUMIFS(Buchungen!$E:$E,Buchungen!$G:$G,$A36,Buchungen!$H:$H,"Ausgabe",Buchungen!$L:$L,$B$7))</f>
        <v/>
      </c>
      <c r="D36" s="80">
        <f>IF($A36="","",B36+C36)</f>
        <v/>
      </c>
      <c r="E36" s="81">
        <f>IF(OR($A36="",$D$54=0),"",D36/$D$54)</f>
        <v/>
      </c>
    </row>
    <row r="37">
      <c r="A37" s="88">
        <f>IF(Einstellungen!$A14="","",Einstellungen!$A14)</f>
        <v/>
      </c>
      <c r="B37" s="84">
        <f>IF($A37="","",-SUMIFS(Buchungen!$E:$E,Buchungen!$G:$G,$A37,Buchungen!$H:$H,"Fixkosten",Buchungen!$L:$L,$B$7))</f>
        <v/>
      </c>
      <c r="C37" s="84">
        <f>IF($A37="","",-SUMIFS(Buchungen!$E:$E,Buchungen!$G:$G,$A37,Buchungen!$H:$H,"Ausgabe",Buchungen!$L:$L,$B$7))</f>
        <v/>
      </c>
      <c r="D37" s="80">
        <f>IF($A37="","",B37+C37)</f>
        <v/>
      </c>
      <c r="E37" s="81">
        <f>IF(OR($A37="",$D$54=0),"",D37/$D$54)</f>
        <v/>
      </c>
    </row>
    <row r="38">
      <c r="A38" s="88">
        <f>IF(Einstellungen!$A15="","",Einstellungen!$A15)</f>
        <v/>
      </c>
      <c r="B38" s="84">
        <f>IF($A38="","",-SUMIFS(Buchungen!$E:$E,Buchungen!$G:$G,$A38,Buchungen!$H:$H,"Fixkosten",Buchungen!$L:$L,$B$7))</f>
        <v/>
      </c>
      <c r="C38" s="84">
        <f>IF($A38="","",-SUMIFS(Buchungen!$E:$E,Buchungen!$G:$G,$A38,Buchungen!$H:$H,"Ausgabe",Buchungen!$L:$L,$B$7))</f>
        <v/>
      </c>
      <c r="D38" s="80">
        <f>IF($A38="","",B38+C38)</f>
        <v/>
      </c>
      <c r="E38" s="81">
        <f>IF(OR($A38="",$D$54=0),"",D38/$D$54)</f>
        <v/>
      </c>
    </row>
    <row r="39">
      <c r="A39" s="88">
        <f>IF(Einstellungen!$A16="","",Einstellungen!$A16)</f>
        <v/>
      </c>
      <c r="B39" s="84">
        <f>IF($A39="","",-SUMIFS(Buchungen!$E:$E,Buchungen!$G:$G,$A39,Buchungen!$H:$H,"Fixkosten",Buchungen!$L:$L,$B$7))</f>
        <v/>
      </c>
      <c r="C39" s="84">
        <f>IF($A39="","",-SUMIFS(Buchungen!$E:$E,Buchungen!$G:$G,$A39,Buchungen!$H:$H,"Ausgabe",Buchungen!$L:$L,$B$7))</f>
        <v/>
      </c>
      <c r="D39" s="80">
        <f>IF($A39="","",B39+C39)</f>
        <v/>
      </c>
      <c r="E39" s="81">
        <f>IF(OR($A39="",$D$54=0),"",D39/$D$54)</f>
        <v/>
      </c>
    </row>
    <row r="40">
      <c r="A40" s="88">
        <f>IF(Einstellungen!$A17="","",Einstellungen!$A17)</f>
        <v/>
      </c>
      <c r="B40" s="84">
        <f>IF($A40="","",-SUMIFS(Buchungen!$E:$E,Buchungen!$G:$G,$A40,Buchungen!$H:$H,"Fixkosten",Buchungen!$L:$L,$B$7))</f>
        <v/>
      </c>
      <c r="C40" s="84">
        <f>IF($A40="","",-SUMIFS(Buchungen!$E:$E,Buchungen!$G:$G,$A40,Buchungen!$H:$H,"Ausgabe",Buchungen!$L:$L,$B$7))</f>
        <v/>
      </c>
      <c r="D40" s="80">
        <f>IF($A40="","",B40+C40)</f>
        <v/>
      </c>
      <c r="E40" s="81">
        <f>IF(OR($A40="",$D$54=0),"",D40/$D$54)</f>
        <v/>
      </c>
    </row>
    <row r="41">
      <c r="A41" s="88">
        <f>IF(Einstellungen!$A18="","",Einstellungen!$A18)</f>
        <v/>
      </c>
      <c r="B41" s="84">
        <f>IF($A41="","",-SUMIFS(Buchungen!$E:$E,Buchungen!$G:$G,$A41,Buchungen!$H:$H,"Fixkosten",Buchungen!$L:$L,$B$7))</f>
        <v/>
      </c>
      <c r="C41" s="84">
        <f>IF($A41="","",-SUMIFS(Buchungen!$E:$E,Buchungen!$G:$G,$A41,Buchungen!$H:$H,"Ausgabe",Buchungen!$L:$L,$B$7))</f>
        <v/>
      </c>
      <c r="D41" s="80">
        <f>IF($A41="","",B41+C41)</f>
        <v/>
      </c>
      <c r="E41" s="81">
        <f>IF(OR($A41="",$D$54=0),"",D41/$D$54)</f>
        <v/>
      </c>
    </row>
    <row r="42">
      <c r="A42" s="88">
        <f>IF(Einstellungen!$A19="","",Einstellungen!$A19)</f>
        <v/>
      </c>
      <c r="B42" s="84">
        <f>IF($A42="","",-SUMIFS(Buchungen!$E:$E,Buchungen!$G:$G,$A42,Buchungen!$H:$H,"Fixkosten",Buchungen!$L:$L,$B$7))</f>
        <v/>
      </c>
      <c r="C42" s="84">
        <f>IF($A42="","",-SUMIFS(Buchungen!$E:$E,Buchungen!$G:$G,$A42,Buchungen!$H:$H,"Ausgabe",Buchungen!$L:$L,$B$7))</f>
        <v/>
      </c>
      <c r="D42" s="80">
        <f>IF($A42="","",B42+C42)</f>
        <v/>
      </c>
      <c r="E42" s="81">
        <f>IF(OR($A42="",$D$54=0),"",D42/$D$54)</f>
        <v/>
      </c>
    </row>
    <row r="43">
      <c r="A43" s="88">
        <f>IF(Einstellungen!$A20="","",Einstellungen!$A20)</f>
        <v/>
      </c>
      <c r="B43" s="84">
        <f>IF($A43="","",-SUMIFS(Buchungen!$E:$E,Buchungen!$G:$G,$A43,Buchungen!$H:$H,"Fixkosten",Buchungen!$L:$L,$B$7))</f>
        <v/>
      </c>
      <c r="C43" s="84">
        <f>IF($A43="","",-SUMIFS(Buchungen!$E:$E,Buchungen!$G:$G,$A43,Buchungen!$H:$H,"Ausgabe",Buchungen!$L:$L,$B$7))</f>
        <v/>
      </c>
      <c r="D43" s="80">
        <f>IF($A43="","",B43+C43)</f>
        <v/>
      </c>
      <c r="E43" s="81">
        <f>IF(OR($A43="",$D$54=0),"",D43/$D$54)</f>
        <v/>
      </c>
    </row>
    <row r="44">
      <c r="A44" s="88">
        <f>IF(Einstellungen!$A21="","",Einstellungen!$A21)</f>
        <v/>
      </c>
      <c r="B44" s="84">
        <f>IF($A44="","",-SUMIFS(Buchungen!$E:$E,Buchungen!$G:$G,$A44,Buchungen!$H:$H,"Fixkosten",Buchungen!$L:$L,$B$7))</f>
        <v/>
      </c>
      <c r="C44" s="84">
        <f>IF($A44="","",-SUMIFS(Buchungen!$E:$E,Buchungen!$G:$G,$A44,Buchungen!$H:$H,"Ausgabe",Buchungen!$L:$L,$B$7))</f>
        <v/>
      </c>
      <c r="D44" s="80">
        <f>IF($A44="","",B44+C44)</f>
        <v/>
      </c>
      <c r="E44" s="81">
        <f>IF(OR($A44="",$D$54=0),"",D44/$D$54)</f>
        <v/>
      </c>
    </row>
    <row r="45">
      <c r="A45" s="88">
        <f>IF(Einstellungen!$A22="","",Einstellungen!$A22)</f>
        <v/>
      </c>
      <c r="B45" s="84">
        <f>IF($A45="","",-SUMIFS(Buchungen!$E:$E,Buchungen!$G:$G,$A45,Buchungen!$H:$H,"Fixkosten",Buchungen!$L:$L,$B$7))</f>
        <v/>
      </c>
      <c r="C45" s="84">
        <f>IF($A45="","",-SUMIFS(Buchungen!$E:$E,Buchungen!$G:$G,$A45,Buchungen!$H:$H,"Ausgabe",Buchungen!$L:$L,$B$7))</f>
        <v/>
      </c>
      <c r="D45" s="80">
        <f>IF($A45="","",B45+C45)</f>
        <v/>
      </c>
      <c r="E45" s="81">
        <f>IF(OR($A45="",$D$54=0),"",D45/$D$54)</f>
        <v/>
      </c>
    </row>
    <row r="46">
      <c r="A46" s="88">
        <f>IF(Einstellungen!$A23="","",Einstellungen!$A23)</f>
        <v/>
      </c>
      <c r="B46" s="84">
        <f>IF($A46="","",-SUMIFS(Buchungen!$E:$E,Buchungen!$G:$G,$A46,Buchungen!$H:$H,"Fixkosten",Buchungen!$L:$L,$B$7))</f>
        <v/>
      </c>
      <c r="C46" s="84">
        <f>IF($A46="","",-SUMIFS(Buchungen!$E:$E,Buchungen!$G:$G,$A46,Buchungen!$H:$H,"Ausgabe",Buchungen!$L:$L,$B$7))</f>
        <v/>
      </c>
      <c r="D46" s="80">
        <f>IF($A46="","",B46+C46)</f>
        <v/>
      </c>
      <c r="E46" s="81">
        <f>IF(OR($A46="",$D$54=0),"",D46/$D$54)</f>
        <v/>
      </c>
    </row>
    <row r="47">
      <c r="A47" s="88">
        <f>IF(Einstellungen!$A24="","",Einstellungen!$A24)</f>
        <v/>
      </c>
      <c r="B47" s="84">
        <f>IF($A47="","",-SUMIFS(Buchungen!$E:$E,Buchungen!$G:$G,$A47,Buchungen!$H:$H,"Fixkosten",Buchungen!$L:$L,$B$7))</f>
        <v/>
      </c>
      <c r="C47" s="84">
        <f>IF($A47="","",-SUMIFS(Buchungen!$E:$E,Buchungen!$G:$G,$A47,Buchungen!$H:$H,"Ausgabe",Buchungen!$L:$L,$B$7))</f>
        <v/>
      </c>
      <c r="D47" s="80">
        <f>IF($A47="","",B47+C47)</f>
        <v/>
      </c>
      <c r="E47" s="81">
        <f>IF(OR($A47="",$D$54=0),"",D47/$D$54)</f>
        <v/>
      </c>
    </row>
    <row r="48">
      <c r="A48" s="88">
        <f>IF(Einstellungen!$A25="","",Einstellungen!$A25)</f>
        <v/>
      </c>
      <c r="B48" s="84">
        <f>IF($A48="","",-SUMIFS(Buchungen!$E:$E,Buchungen!$G:$G,$A48,Buchungen!$H:$H,"Fixkosten",Buchungen!$L:$L,$B$7))</f>
        <v/>
      </c>
      <c r="C48" s="84">
        <f>IF($A48="","",-SUMIFS(Buchungen!$E:$E,Buchungen!$G:$G,$A48,Buchungen!$H:$H,"Ausgabe",Buchungen!$L:$L,$B$7))</f>
        <v/>
      </c>
      <c r="D48" s="80">
        <f>IF($A48="","",B48+C48)</f>
        <v/>
      </c>
      <c r="E48" s="81">
        <f>IF(OR($A48="",$D$54=0),"",D48/$D$54)</f>
        <v/>
      </c>
    </row>
    <row r="49">
      <c r="A49" s="88">
        <f>IF(Einstellungen!$A26="","",Einstellungen!$A26)</f>
        <v/>
      </c>
      <c r="B49" s="84">
        <f>IF($A49="","",-SUMIFS(Buchungen!$E:$E,Buchungen!$G:$G,$A49,Buchungen!$H:$H,"Fixkosten",Buchungen!$L:$L,$B$7))</f>
        <v/>
      </c>
      <c r="C49" s="84">
        <f>IF($A49="","",-SUMIFS(Buchungen!$E:$E,Buchungen!$G:$G,$A49,Buchungen!$H:$H,"Ausgabe",Buchungen!$L:$L,$B$7))</f>
        <v/>
      </c>
      <c r="D49" s="80">
        <f>IF($A49="","",B49+C49)</f>
        <v/>
      </c>
      <c r="E49" s="81">
        <f>IF(OR($A49="",$D$54=0),"",D49/$D$54)</f>
        <v/>
      </c>
    </row>
    <row r="50">
      <c r="A50" s="88">
        <f>IF(Einstellungen!$A27="","",Einstellungen!$A27)</f>
        <v/>
      </c>
      <c r="B50" s="84">
        <f>IF($A50="","",-SUMIFS(Buchungen!$E:$E,Buchungen!$G:$G,$A50,Buchungen!$H:$H,"Fixkosten",Buchungen!$L:$L,$B$7))</f>
        <v/>
      </c>
      <c r="C50" s="84">
        <f>IF($A50="","",-SUMIFS(Buchungen!$E:$E,Buchungen!$G:$G,$A50,Buchungen!$H:$H,"Ausgabe",Buchungen!$L:$L,$B$7))</f>
        <v/>
      </c>
      <c r="D50" s="80">
        <f>IF($A50="","",B50+C50)</f>
        <v/>
      </c>
      <c r="E50" s="81">
        <f>IF(OR($A50="",$D$54=0),"",D50/$D$54)</f>
        <v/>
      </c>
    </row>
    <row r="51">
      <c r="A51" s="88">
        <f>IF(Einstellungen!$A28="","",Einstellungen!$A28)</f>
        <v/>
      </c>
      <c r="B51" s="84">
        <f>IF($A51="","",-SUMIFS(Buchungen!$E:$E,Buchungen!$G:$G,$A51,Buchungen!$H:$H,"Fixkosten",Buchungen!$L:$L,$B$7))</f>
        <v/>
      </c>
      <c r="C51" s="84">
        <f>IF($A51="","",-SUMIFS(Buchungen!$E:$E,Buchungen!$G:$G,$A51,Buchungen!$H:$H,"Ausgabe",Buchungen!$L:$L,$B$7))</f>
        <v/>
      </c>
      <c r="D51" s="80">
        <f>IF($A51="","",B51+C51)</f>
        <v/>
      </c>
      <c r="E51" s="81">
        <f>IF(OR($A51="",$D$54=0),"",D51/$D$54)</f>
        <v/>
      </c>
    </row>
    <row r="52">
      <c r="A52" s="88">
        <f>IF(Einstellungen!$A29="","",Einstellungen!$A29)</f>
        <v/>
      </c>
      <c r="B52" s="84">
        <f>IF($A52="","",-SUMIFS(Buchungen!$E:$E,Buchungen!$G:$G,$A52,Buchungen!$H:$H,"Fixkosten",Buchungen!$L:$L,$B$7))</f>
        <v/>
      </c>
      <c r="C52" s="84">
        <f>IF($A52="","",-SUMIFS(Buchungen!$E:$E,Buchungen!$G:$G,$A52,Buchungen!$H:$H,"Ausgabe",Buchungen!$L:$L,$B$7))</f>
        <v/>
      </c>
      <c r="D52" s="80">
        <f>IF($A52="","",B52+C52)</f>
        <v/>
      </c>
      <c r="E52" s="81">
        <f>IF(OR($A52="",$D$54=0),"",D52/$D$54)</f>
        <v/>
      </c>
    </row>
    <row r="53">
      <c r="A53" s="89" t="inlineStr">
        <is>
          <t>ohne Kategorie</t>
        </is>
      </c>
      <c r="B53" s="90">
        <f>-SUMIFS(Buchungen!$E:$E,Buchungen!$G:$G,"",Buchungen!$H:$H,"Fixkosten",Buchungen!$L:$L,$B$7)</f>
        <v/>
      </c>
      <c r="C53" s="90">
        <f>-SUMIFS(Buchungen!$E:$E,Buchungen!$G:$G,"",Buchungen!$H:$H,"Ausgabe",Buchungen!$L:$L,$B$7)</f>
        <v/>
      </c>
      <c r="D53" s="80">
        <f>B53+C53</f>
        <v/>
      </c>
      <c r="E53" s="91">
        <f>IF($D$54=0,"",D53/$D$54)</f>
        <v/>
      </c>
    </row>
    <row r="54">
      <c r="A54" s="85" t="inlineStr">
        <is>
          <t>Summe</t>
        </is>
      </c>
      <c r="B54" s="87">
        <f>SUM(B28:B53)</f>
        <v/>
      </c>
      <c r="C54" s="87">
        <f>SUM(C28:C53)</f>
        <v/>
      </c>
      <c r="D54" s="87">
        <f>SUM(D28:D53)</f>
        <v/>
      </c>
      <c r="E54" s="86" t="n"/>
    </row>
    <row r="55">
      <c r="A55" s="65" t="inlineStr">
        <is>
          <t>Die Summe entspricht „Ausgaben im Monat“. Kategorien werden im Blatt Einstellungen gepflegt.</t>
        </is>
      </c>
    </row>
  </sheetData>
  <mergeCells count="22">
    <mergeCell ref="A11:B11"/>
    <mergeCell ref="G11:H11"/>
    <mergeCell ref="I11:J11"/>
    <mergeCell ref="K9:L9"/>
    <mergeCell ref="K11:L11"/>
    <mergeCell ref="C10:D10"/>
    <mergeCell ref="E10:F10"/>
    <mergeCell ref="G10:H10"/>
    <mergeCell ref="C9:D9"/>
    <mergeCell ref="E9:F9"/>
    <mergeCell ref="C11:D11"/>
    <mergeCell ref="E11:F11"/>
    <mergeCell ref="D4:E4"/>
    <mergeCell ref="A4:B4"/>
    <mergeCell ref="G4:H4"/>
    <mergeCell ref="I10:J10"/>
    <mergeCell ref="A10:B10"/>
    <mergeCell ref="K10:L10"/>
    <mergeCell ref="B5:L5"/>
    <mergeCell ref="A9:B9"/>
    <mergeCell ref="G9:H9"/>
    <mergeCell ref="I9:J9"/>
  </mergeCells>
  <conditionalFormatting sqref="E10">
    <cfRule type="cellIs" priority="1" operator="lessThan" dxfId="11">
      <formula>0</formula>
    </cfRule>
  </conditionalFormatting>
  <conditionalFormatting sqref="K10">
    <cfRule type="cellIs" priority="2" operator="greaterThan" dxfId="11">
      <formula>0</formula>
    </cfRule>
  </conditionalFormatting>
  <conditionalFormatting sqref="H15:H22">
    <cfRule type="expression" priority="3" dxfId="12">
      <formula>AND($H15&lt;&gt;"",$J15&lt;&gt;"nein",$H15&lt;Einstellungen!$H$6)</formula>
    </cfRule>
  </conditionalFormatting>
  <conditionalFormatting sqref="F15:F22">
    <cfRule type="expression" priority="4" dxfId="13">
      <formula>AND($F15&lt;&gt;"",TODAY()-$F15&gt;30)</formula>
    </cfRule>
  </conditionalFormatting>
  <conditionalFormatting sqref="I15:I22">
    <cfRule type="dataBar" priority="5">
      <dataBar>
        <cfvo type="num" val="0"/>
        <cfvo type="num" val="1"/>
        <color rgb="00ED7D31"/>
      </dataBar>
    </cfRule>
  </conditionalFormatting>
  <conditionalFormatting sqref="E28:E53">
    <cfRule type="dataBar" priority="6">
      <dataBar>
        <cfvo type="num" val="0"/>
        <cfvo type="num" val="1"/>
        <color rgb="002E75B6"/>
      </dataBar>
    </cfRule>
  </conditionalFormatting>
  <conditionalFormatting sqref="B28:D53">
    <cfRule type="cellIs" priority="7" operator="equal" dxfId="14">
      <formula>0</formula>
    </cfRule>
  </conditionalFormatting>
  <dataValidations count="3">
    <dataValidation sqref="B15:B22" showDropDown="0" showInputMessage="0" showErrorMessage="0" allowBlank="1" type="list">
      <formula1>Einstellungen!$C$5:$C$9</formula1>
    </dataValidation>
    <dataValidation sqref="J15:J22" showDropDown="0" showInputMessage="0" showErrorMessage="0" allowBlank="1" type="list">
      <formula1>"ja,nein"</formula1>
    </dataValidation>
    <dataValidation sqref="M15:M22" showDropDown="0" showInputMessage="0" showErrorMessage="1" allowBlank="1" errorTitle="Monatswechsel" error="Tag 1–31 eintragen (Buchungen ab diesem Tag zählen zum nächsten Monat) oder leer lassen." type="whole" operator="between">
      <formula1>1</formula1>
      <formula2>31</formula2>
    </dataValidation>
  </dataValidations>
  <hyperlinks>
    <hyperlink xmlns:r="http://schemas.openxmlformats.org/officeDocument/2006/relationships" ref="A4" r:id="rId1"/>
    <hyperlink xmlns:r="http://schemas.openxmlformats.org/officeDocument/2006/relationships" ref="D4" r:id="rId2"/>
    <hyperlink xmlns:r="http://schemas.openxmlformats.org/officeDocument/2006/relationships" ref="G4" r:id="rId3"/>
  </hyperlinks>
  <pageMargins left="0.75" right="0.75" top="1" bottom="1" header="0.5" footer="0.5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Buchungen">
    <outlinePr summaryBelow="1" summaryRight="1"/>
    <pageSetUpPr fitToPage="1"/>
  </sheetPr>
  <dimension ref="A1:L500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1" customWidth="1" min="1" max="1"/>
    <col width="13" customWidth="1" min="2" max="2"/>
    <col width="26" customWidth="1" min="3" max="3"/>
    <col width="44" customWidth="1" min="4" max="4"/>
    <col width="12" customWidth="1" min="5" max="5"/>
    <col width="24" customWidth="1" min="6" max="6"/>
    <col width="20" customWidth="1" min="7" max="7"/>
    <col width="11" customWidth="1" min="8" max="8"/>
    <col width="26" customWidth="1" min="9" max="9"/>
    <col width="30" customWidth="1" min="10" max="10"/>
    <col width="8" customWidth="1" min="11" max="11"/>
    <col width="11" customWidth="1" min="12" max="12"/>
  </cols>
  <sheetData>
    <row r="1" ht="24" customHeight="1">
      <c r="A1" s="64" t="inlineStr">
        <is>
          <t>Buchungen (alle Konten)</t>
        </is>
      </c>
      <c r="D1" s="66" t="inlineStr">
        <is>
          <t>▶  Dateien importieren …</t>
        </is>
      </c>
      <c r="F1" s="66" t="inlineStr">
        <is>
          <t>▶  Import-Ordner einlesen</t>
        </is>
      </c>
    </row>
    <row r="2">
      <c r="A2" s="65" t="inlineStr">
        <is>
          <t>Wird vom Import befüllt. Ändern darfst du: Bezeichnung, Kategorie, Art und Notiz. Gelb = Ausgabe ohne Kategorie. Grau = zählt nicht (Umbuchung / Ignorieren). „Monat“ = Auswertungsmonat (Formel).</t>
        </is>
      </c>
    </row>
    <row r="3">
      <c r="A3" s="65" t="inlineStr">
        <is>
          <t>Art: Ausgabe = variable Ausgabe · Fixkosten = Posten aus dem Blatt Fixkosten · Einnahme · Umbuchung = zwischen eigenen Konten · Ignorieren</t>
        </is>
      </c>
    </row>
    <row r="5" ht="30" customHeight="1">
      <c r="A5" s="73" t="inlineStr">
        <is>
          <t>Datum</t>
        </is>
      </c>
      <c r="B5" s="74" t="inlineStr">
        <is>
          <t>Konto</t>
        </is>
      </c>
      <c r="C5" s="74" t="inlineStr">
        <is>
          <t>Empfänger / Auftraggeber</t>
        </is>
      </c>
      <c r="D5" s="74" t="inlineStr">
        <is>
          <t>Verwendungszweck / Zahlungsreferenz</t>
        </is>
      </c>
      <c r="E5" s="74" t="inlineStr">
        <is>
          <t>Betrag</t>
        </is>
      </c>
      <c r="F5" s="74" t="inlineStr">
        <is>
          <t>Bezeichnung</t>
        </is>
      </c>
      <c r="G5" s="74" t="inlineStr">
        <is>
          <t>Kategorie</t>
        </is>
      </c>
      <c r="H5" s="74" t="inlineStr">
        <is>
          <t>Art</t>
        </is>
      </c>
      <c r="I5" s="74" t="inlineStr">
        <is>
          <t>Notiz</t>
        </is>
      </c>
      <c r="J5" s="74" t="inlineStr">
        <is>
          <t>Import-Info</t>
        </is>
      </c>
      <c r="K5" s="74" t="inlineStr">
        <is>
          <t>Schlüssel</t>
        </is>
      </c>
      <c r="L5" s="74" t="inlineStr">
        <is>
          <t>Monat</t>
        </is>
      </c>
    </row>
    <row r="6">
      <c r="A6" s="92" t="n"/>
      <c r="B6" s="55" t="n"/>
      <c r="C6" s="55" t="n"/>
      <c r="D6" s="55" t="n"/>
      <c r="E6" s="93" t="n"/>
      <c r="F6" s="94" t="n"/>
      <c r="G6" s="94" t="n"/>
      <c r="H6" s="94" t="n"/>
      <c r="I6" s="94" t="n"/>
      <c r="J6" s="55" t="n"/>
      <c r="K6" s="95" t="n"/>
      <c r="L6" s="116">
        <f>IF($A6="","",DATE(YEAR($A6),MONTH($A6)+IF(AND(IFERROR(N(INDEX(Übersicht!$M$15:$M$22,MATCH($B6,Übersicht!$A$15:$A$22,0))),0)&gt;1,DAY($A6)&gt;=IFERROR(N(INDEX(Übersicht!$M$15:$M$22,MATCH($B6,Übersicht!$A$15:$A$22,0))),0)),1,0),1))</f>
        <v/>
      </c>
    </row>
    <row r="7">
      <c r="A7" s="92" t="n"/>
      <c r="B7" s="55" t="n"/>
      <c r="C7" s="55" t="n"/>
      <c r="D7" s="55" t="n"/>
      <c r="E7" s="93" t="n"/>
      <c r="F7" s="94" t="n"/>
      <c r="G7" s="94" t="n"/>
      <c r="H7" s="94" t="n"/>
      <c r="I7" s="94" t="n"/>
      <c r="J7" s="55" t="n"/>
      <c r="K7" s="95" t="n"/>
      <c r="L7" s="116">
        <f>IF($A7="","",DATE(YEAR($A7),MONTH($A7)+IF(AND(IFERROR(N(INDEX(Übersicht!$M$15:$M$22,MATCH($B7,Übersicht!$A$15:$A$22,0))),0)&gt;1,DAY($A7)&gt;=IFERROR(N(INDEX(Übersicht!$M$15:$M$22,MATCH($B7,Übersicht!$A$15:$A$22,0))),0)),1,0),1))</f>
        <v/>
      </c>
    </row>
    <row r="8">
      <c r="A8" s="92" t="n"/>
      <c r="B8" s="55" t="n"/>
      <c r="C8" s="55" t="n"/>
      <c r="D8" s="55" t="n"/>
      <c r="E8" s="93" t="n"/>
      <c r="F8" s="94" t="n"/>
      <c r="G8" s="94" t="n"/>
      <c r="H8" s="94" t="n"/>
      <c r="I8" s="94" t="n"/>
      <c r="J8" s="55" t="n"/>
      <c r="K8" s="95" t="n"/>
      <c r="L8" s="116">
        <f>IF($A8="","",DATE(YEAR($A8),MONTH($A8)+IF(AND(IFERROR(N(INDEX(Übersicht!$M$15:$M$22,MATCH($B8,Übersicht!$A$15:$A$22,0))),0)&gt;1,DAY($A8)&gt;=IFERROR(N(INDEX(Übersicht!$M$15:$M$22,MATCH($B8,Übersicht!$A$15:$A$22,0))),0)),1,0),1))</f>
        <v/>
      </c>
    </row>
    <row r="9">
      <c r="A9" s="92" t="n"/>
      <c r="B9" s="55" t="n"/>
      <c r="C9" s="55" t="n"/>
      <c r="D9" s="55" t="n"/>
      <c r="E9" s="93" t="n"/>
      <c r="F9" s="94" t="n"/>
      <c r="G9" s="94" t="n"/>
      <c r="H9" s="94" t="n"/>
      <c r="I9" s="94" t="n"/>
      <c r="J9" s="55" t="n"/>
      <c r="K9" s="95" t="n"/>
      <c r="L9" s="116">
        <f>IF($A9="","",DATE(YEAR($A9),MONTH($A9)+IF(AND(IFERROR(N(INDEX(Übersicht!$M$15:$M$22,MATCH($B9,Übersicht!$A$15:$A$22,0))),0)&gt;1,DAY($A9)&gt;=IFERROR(N(INDEX(Übersicht!$M$15:$M$22,MATCH($B9,Übersicht!$A$15:$A$22,0))),0)),1,0),1))</f>
        <v/>
      </c>
    </row>
    <row r="10">
      <c r="A10" s="92" t="n"/>
      <c r="B10" s="55" t="n"/>
      <c r="C10" s="55" t="n"/>
      <c r="D10" s="55" t="n"/>
      <c r="E10" s="93" t="n"/>
      <c r="F10" s="94" t="n"/>
      <c r="G10" s="94" t="n"/>
      <c r="H10" s="94" t="n"/>
      <c r="I10" s="94" t="n"/>
      <c r="J10" s="55" t="n"/>
      <c r="K10" s="95" t="n"/>
      <c r="L10" s="116">
        <f>IF($A10="","",DATE(YEAR($A10),MONTH($A10)+IF(AND(IFERROR(N(INDEX(Übersicht!$M$15:$M$22,MATCH($B10,Übersicht!$A$15:$A$22,0))),0)&gt;1,DAY($A10)&gt;=IFERROR(N(INDEX(Übersicht!$M$15:$M$22,MATCH($B10,Übersicht!$A$15:$A$22,0))),0)),1,0),1))</f>
        <v/>
      </c>
    </row>
    <row r="11">
      <c r="A11" s="92" t="n"/>
      <c r="B11" s="55" t="n"/>
      <c r="C11" s="55" t="n"/>
      <c r="D11" s="55" t="n"/>
      <c r="E11" s="93" t="n"/>
      <c r="F11" s="94" t="n"/>
      <c r="G11" s="94" t="n"/>
      <c r="H11" s="94" t="n"/>
      <c r="I11" s="94" t="n"/>
      <c r="J11" s="55" t="n"/>
      <c r="K11" s="95" t="n"/>
      <c r="L11" s="116">
        <f>IF($A11="","",DATE(YEAR($A11),MONTH($A11)+IF(AND(IFERROR(N(INDEX(Übersicht!$M$15:$M$22,MATCH($B11,Übersicht!$A$15:$A$22,0))),0)&gt;1,DAY($A11)&gt;=IFERROR(N(INDEX(Übersicht!$M$15:$M$22,MATCH($B11,Übersicht!$A$15:$A$22,0))),0)),1,0),1))</f>
        <v/>
      </c>
    </row>
    <row r="12">
      <c r="A12" s="92" t="n"/>
      <c r="B12" s="55" t="n"/>
      <c r="C12" s="55" t="n"/>
      <c r="D12" s="55" t="n"/>
      <c r="E12" s="93" t="n"/>
      <c r="F12" s="94" t="n"/>
      <c r="G12" s="94" t="n"/>
      <c r="H12" s="94" t="n"/>
      <c r="I12" s="94" t="n"/>
      <c r="J12" s="55" t="n"/>
      <c r="K12" s="95" t="n"/>
      <c r="L12" s="116">
        <f>IF($A12="","",DATE(YEAR($A12),MONTH($A12)+IF(AND(IFERROR(N(INDEX(Übersicht!$M$15:$M$22,MATCH($B12,Übersicht!$A$15:$A$22,0))),0)&gt;1,DAY($A12)&gt;=IFERROR(N(INDEX(Übersicht!$M$15:$M$22,MATCH($B12,Übersicht!$A$15:$A$22,0))),0)),1,0),1))</f>
        <v/>
      </c>
    </row>
    <row r="13">
      <c r="A13" s="92" t="n"/>
      <c r="B13" s="55" t="n"/>
      <c r="C13" s="55" t="n"/>
      <c r="D13" s="55" t="n"/>
      <c r="E13" s="93" t="n"/>
      <c r="F13" s="94" t="n"/>
      <c r="G13" s="94" t="n"/>
      <c r="H13" s="94" t="n"/>
      <c r="I13" s="94" t="n"/>
      <c r="J13" s="55" t="n"/>
      <c r="K13" s="95" t="n"/>
      <c r="L13" s="116">
        <f>IF($A13="","",DATE(YEAR($A13),MONTH($A13)+IF(AND(IFERROR(N(INDEX(Übersicht!$M$15:$M$22,MATCH($B13,Übersicht!$A$15:$A$22,0))),0)&gt;1,DAY($A13)&gt;=IFERROR(N(INDEX(Übersicht!$M$15:$M$22,MATCH($B13,Übersicht!$A$15:$A$22,0))),0)),1,0),1))</f>
        <v/>
      </c>
    </row>
    <row r="14">
      <c r="A14" s="92" t="n"/>
      <c r="B14" s="55" t="n"/>
      <c r="C14" s="55" t="n"/>
      <c r="D14" s="55" t="n"/>
      <c r="E14" s="93" t="n"/>
      <c r="F14" s="94" t="n"/>
      <c r="G14" s="94" t="n"/>
      <c r="H14" s="94" t="n"/>
      <c r="I14" s="94" t="n"/>
      <c r="J14" s="55" t="n"/>
      <c r="K14" s="95" t="n"/>
      <c r="L14" s="116">
        <f>IF($A14="","",DATE(YEAR($A14),MONTH($A14)+IF(AND(IFERROR(N(INDEX(Übersicht!$M$15:$M$22,MATCH($B14,Übersicht!$A$15:$A$22,0))),0)&gt;1,DAY($A14)&gt;=IFERROR(N(INDEX(Übersicht!$M$15:$M$22,MATCH($B14,Übersicht!$A$15:$A$22,0))),0)),1,0),1))</f>
        <v/>
      </c>
    </row>
    <row r="15">
      <c r="A15" s="92" t="n"/>
      <c r="B15" s="55" t="n"/>
      <c r="C15" s="55" t="n"/>
      <c r="D15" s="55" t="n"/>
      <c r="E15" s="93" t="n"/>
      <c r="F15" s="94" t="n"/>
      <c r="G15" s="94" t="n"/>
      <c r="H15" s="94" t="n"/>
      <c r="I15" s="94" t="n"/>
      <c r="J15" s="55" t="n"/>
      <c r="K15" s="95" t="n"/>
      <c r="L15" s="116">
        <f>IF($A15="","",DATE(YEAR($A15),MONTH($A15)+IF(AND(IFERROR(N(INDEX(Übersicht!$M$15:$M$22,MATCH($B15,Übersicht!$A$15:$A$22,0))),0)&gt;1,DAY($A15)&gt;=IFERROR(N(INDEX(Übersicht!$M$15:$M$22,MATCH($B15,Übersicht!$A$15:$A$22,0))),0)),1,0),1))</f>
        <v/>
      </c>
    </row>
    <row r="16">
      <c r="A16" s="92" t="n"/>
      <c r="B16" s="55" t="n"/>
      <c r="C16" s="55" t="n"/>
      <c r="D16" s="55" t="n"/>
      <c r="E16" s="93" t="n"/>
      <c r="F16" s="94" t="n"/>
      <c r="G16" s="94" t="n"/>
      <c r="H16" s="94" t="n"/>
      <c r="I16" s="94" t="n"/>
      <c r="J16" s="55" t="n"/>
      <c r="K16" s="95" t="n"/>
      <c r="L16" s="116">
        <f>IF($A16="","",DATE(YEAR($A16),MONTH($A16)+IF(AND(IFERROR(N(INDEX(Übersicht!$M$15:$M$22,MATCH($B16,Übersicht!$A$15:$A$22,0))),0)&gt;1,DAY($A16)&gt;=IFERROR(N(INDEX(Übersicht!$M$15:$M$22,MATCH($B16,Übersicht!$A$15:$A$22,0))),0)),1,0),1))</f>
        <v/>
      </c>
    </row>
    <row r="17">
      <c r="A17" s="92" t="n"/>
      <c r="B17" s="55" t="n"/>
      <c r="C17" s="55" t="n"/>
      <c r="D17" s="55" t="n"/>
      <c r="E17" s="93" t="n"/>
      <c r="F17" s="94" t="n"/>
      <c r="G17" s="94" t="n"/>
      <c r="H17" s="94" t="n"/>
      <c r="I17" s="94" t="n"/>
      <c r="J17" s="55" t="n"/>
      <c r="K17" s="95" t="n"/>
      <c r="L17" s="116">
        <f>IF($A17="","",DATE(YEAR($A17),MONTH($A17)+IF(AND(IFERROR(N(INDEX(Übersicht!$M$15:$M$22,MATCH($B17,Übersicht!$A$15:$A$22,0))),0)&gt;1,DAY($A17)&gt;=IFERROR(N(INDEX(Übersicht!$M$15:$M$22,MATCH($B17,Übersicht!$A$15:$A$22,0))),0)),1,0),1))</f>
        <v/>
      </c>
    </row>
    <row r="18">
      <c r="A18" s="92" t="n"/>
      <c r="B18" s="55" t="n"/>
      <c r="C18" s="55" t="n"/>
      <c r="D18" s="55" t="n"/>
      <c r="E18" s="93" t="n"/>
      <c r="F18" s="94" t="n"/>
      <c r="G18" s="94" t="n"/>
      <c r="H18" s="94" t="n"/>
      <c r="I18" s="94" t="n"/>
      <c r="J18" s="55" t="n"/>
      <c r="K18" s="95" t="n"/>
      <c r="L18" s="116">
        <f>IF($A18="","",DATE(YEAR($A18),MONTH($A18)+IF(AND(IFERROR(N(INDEX(Übersicht!$M$15:$M$22,MATCH($B18,Übersicht!$A$15:$A$22,0))),0)&gt;1,DAY($A18)&gt;=IFERROR(N(INDEX(Übersicht!$M$15:$M$22,MATCH($B18,Übersicht!$A$15:$A$22,0))),0)),1,0),1))</f>
        <v/>
      </c>
    </row>
    <row r="19">
      <c r="A19" s="92" t="n"/>
      <c r="B19" s="55" t="n"/>
      <c r="C19" s="55" t="n"/>
      <c r="D19" s="55" t="n"/>
      <c r="E19" s="93" t="n"/>
      <c r="F19" s="94" t="n"/>
      <c r="G19" s="94" t="n"/>
      <c r="H19" s="94" t="n"/>
      <c r="I19" s="94" t="n"/>
      <c r="J19" s="55" t="n"/>
      <c r="K19" s="95" t="n"/>
      <c r="L19" s="116">
        <f>IF($A19="","",DATE(YEAR($A19),MONTH($A19)+IF(AND(IFERROR(N(INDEX(Übersicht!$M$15:$M$22,MATCH($B19,Übersicht!$A$15:$A$22,0))),0)&gt;1,DAY($A19)&gt;=IFERROR(N(INDEX(Übersicht!$M$15:$M$22,MATCH($B19,Übersicht!$A$15:$A$22,0))),0)),1,0),1))</f>
        <v/>
      </c>
    </row>
    <row r="20">
      <c r="A20" s="92" t="n"/>
      <c r="B20" s="55" t="n"/>
      <c r="C20" s="55" t="n"/>
      <c r="D20" s="55" t="n"/>
      <c r="E20" s="93" t="n"/>
      <c r="F20" s="94" t="n"/>
      <c r="G20" s="94" t="n"/>
      <c r="H20" s="94" t="n"/>
      <c r="I20" s="94" t="n"/>
      <c r="J20" s="55" t="n"/>
      <c r="K20" s="95" t="n"/>
      <c r="L20" s="116">
        <f>IF($A20="","",DATE(YEAR($A20),MONTH($A20)+IF(AND(IFERROR(N(INDEX(Übersicht!$M$15:$M$22,MATCH($B20,Übersicht!$A$15:$A$22,0))),0)&gt;1,DAY($A20)&gt;=IFERROR(N(INDEX(Übersicht!$M$15:$M$22,MATCH($B20,Übersicht!$A$15:$A$22,0))),0)),1,0),1))</f>
        <v/>
      </c>
    </row>
    <row r="21">
      <c r="A21" s="92" t="n"/>
      <c r="B21" s="55" t="n"/>
      <c r="C21" s="55" t="n"/>
      <c r="D21" s="55" t="n"/>
      <c r="E21" s="93" t="n"/>
      <c r="F21" s="94" t="n"/>
      <c r="G21" s="94" t="n"/>
      <c r="H21" s="94" t="n"/>
      <c r="I21" s="94" t="n"/>
      <c r="J21" s="55" t="n"/>
      <c r="K21" s="95" t="n"/>
      <c r="L21" s="116">
        <f>IF($A21="","",DATE(YEAR($A21),MONTH($A21)+IF(AND(IFERROR(N(INDEX(Übersicht!$M$15:$M$22,MATCH($B21,Übersicht!$A$15:$A$22,0))),0)&gt;1,DAY($A21)&gt;=IFERROR(N(INDEX(Übersicht!$M$15:$M$22,MATCH($B21,Übersicht!$A$15:$A$22,0))),0)),1,0),1))</f>
        <v/>
      </c>
    </row>
    <row r="22">
      <c r="A22" s="92" t="n"/>
      <c r="B22" s="55" t="n"/>
      <c r="C22" s="55" t="n"/>
      <c r="D22" s="55" t="n"/>
      <c r="E22" s="93" t="n"/>
      <c r="F22" s="94" t="n"/>
      <c r="G22" s="94" t="n"/>
      <c r="H22" s="94" t="n"/>
      <c r="I22" s="94" t="n"/>
      <c r="J22" s="55" t="n"/>
      <c r="K22" s="95" t="n"/>
      <c r="L22" s="116">
        <f>IF($A22="","",DATE(YEAR($A22),MONTH($A22)+IF(AND(IFERROR(N(INDEX(Übersicht!$M$15:$M$22,MATCH($B22,Übersicht!$A$15:$A$22,0))),0)&gt;1,DAY($A22)&gt;=IFERROR(N(INDEX(Übersicht!$M$15:$M$22,MATCH($B22,Übersicht!$A$15:$A$22,0))),0)),1,0),1))</f>
        <v/>
      </c>
    </row>
    <row r="23">
      <c r="A23" s="92" t="n"/>
      <c r="B23" s="55" t="n"/>
      <c r="C23" s="55" t="n"/>
      <c r="D23" s="55" t="n"/>
      <c r="E23" s="93" t="n"/>
      <c r="F23" s="94" t="n"/>
      <c r="G23" s="94" t="n"/>
      <c r="H23" s="94" t="n"/>
      <c r="I23" s="94" t="n"/>
      <c r="J23" s="55" t="n"/>
      <c r="K23" s="95" t="n"/>
      <c r="L23" s="116">
        <f>IF($A23="","",DATE(YEAR($A23),MONTH($A23)+IF(AND(IFERROR(N(INDEX(Übersicht!$M$15:$M$22,MATCH($B23,Übersicht!$A$15:$A$22,0))),0)&gt;1,DAY($A23)&gt;=IFERROR(N(INDEX(Übersicht!$M$15:$M$22,MATCH($B23,Übersicht!$A$15:$A$22,0))),0)),1,0),1))</f>
        <v/>
      </c>
    </row>
    <row r="24">
      <c r="A24" s="92" t="n"/>
      <c r="B24" s="55" t="n"/>
      <c r="C24" s="55" t="n"/>
      <c r="D24" s="55" t="n"/>
      <c r="E24" s="93" t="n"/>
      <c r="F24" s="94" t="n"/>
      <c r="G24" s="94" t="n"/>
      <c r="H24" s="94" t="n"/>
      <c r="I24" s="94" t="n"/>
      <c r="J24" s="55" t="n"/>
      <c r="K24" s="95" t="n"/>
      <c r="L24" s="116">
        <f>IF($A24="","",DATE(YEAR($A24),MONTH($A24)+IF(AND(IFERROR(N(INDEX(Übersicht!$M$15:$M$22,MATCH($B24,Übersicht!$A$15:$A$22,0))),0)&gt;1,DAY($A24)&gt;=IFERROR(N(INDEX(Übersicht!$M$15:$M$22,MATCH($B24,Übersicht!$A$15:$A$22,0))),0)),1,0),1))</f>
        <v/>
      </c>
    </row>
    <row r="25">
      <c r="A25" s="92" t="n"/>
      <c r="B25" s="55" t="n"/>
      <c r="C25" s="55" t="n"/>
      <c r="D25" s="55" t="n"/>
      <c r="E25" s="93" t="n"/>
      <c r="F25" s="94" t="n"/>
      <c r="G25" s="94" t="n"/>
      <c r="H25" s="94" t="n"/>
      <c r="I25" s="94" t="n"/>
      <c r="J25" s="55" t="n"/>
      <c r="K25" s="95" t="n"/>
      <c r="L25" s="116">
        <f>IF($A25="","",DATE(YEAR($A25),MONTH($A25)+IF(AND(IFERROR(N(INDEX(Übersicht!$M$15:$M$22,MATCH($B25,Übersicht!$A$15:$A$22,0))),0)&gt;1,DAY($A25)&gt;=IFERROR(N(INDEX(Übersicht!$M$15:$M$22,MATCH($B25,Übersicht!$A$15:$A$22,0))),0)),1,0),1))</f>
        <v/>
      </c>
    </row>
    <row r="26">
      <c r="A26" s="92" t="n"/>
      <c r="B26" s="55" t="n"/>
      <c r="C26" s="55" t="n"/>
      <c r="D26" s="55" t="n"/>
      <c r="E26" s="93" t="n"/>
      <c r="F26" s="94" t="n"/>
      <c r="G26" s="94" t="n"/>
      <c r="H26" s="94" t="n"/>
      <c r="I26" s="94" t="n"/>
      <c r="J26" s="55" t="n"/>
      <c r="K26" s="95" t="n"/>
      <c r="L26" s="116">
        <f>IF($A26="","",DATE(YEAR($A26),MONTH($A26)+IF(AND(IFERROR(N(INDEX(Übersicht!$M$15:$M$22,MATCH($B26,Übersicht!$A$15:$A$22,0))),0)&gt;1,DAY($A26)&gt;=IFERROR(N(INDEX(Übersicht!$M$15:$M$22,MATCH($B26,Übersicht!$A$15:$A$22,0))),0)),1,0),1))</f>
        <v/>
      </c>
    </row>
    <row r="27">
      <c r="A27" s="92" t="n"/>
      <c r="B27" s="55" t="n"/>
      <c r="C27" s="55" t="n"/>
      <c r="D27" s="55" t="n"/>
      <c r="E27" s="93" t="n"/>
      <c r="F27" s="94" t="n"/>
      <c r="G27" s="94" t="n"/>
      <c r="H27" s="94" t="n"/>
      <c r="I27" s="94" t="n"/>
      <c r="J27" s="55" t="n"/>
      <c r="K27" s="95" t="n"/>
      <c r="L27" s="116">
        <f>IF($A27="","",DATE(YEAR($A27),MONTH($A27)+IF(AND(IFERROR(N(INDEX(Übersicht!$M$15:$M$22,MATCH($B27,Übersicht!$A$15:$A$22,0))),0)&gt;1,DAY($A27)&gt;=IFERROR(N(INDEX(Übersicht!$M$15:$M$22,MATCH($B27,Übersicht!$A$15:$A$22,0))),0)),1,0),1))</f>
        <v/>
      </c>
    </row>
    <row r="28">
      <c r="A28" s="92" t="n"/>
      <c r="B28" s="55" t="n"/>
      <c r="C28" s="55" t="n"/>
      <c r="D28" s="55" t="n"/>
      <c r="E28" s="93" t="n"/>
      <c r="F28" s="94" t="n"/>
      <c r="G28" s="94" t="n"/>
      <c r="H28" s="94" t="n"/>
      <c r="I28" s="94" t="n"/>
      <c r="J28" s="55" t="n"/>
      <c r="K28" s="95" t="n"/>
      <c r="L28" s="116">
        <f>IF($A28="","",DATE(YEAR($A28),MONTH($A28)+IF(AND(IFERROR(N(INDEX(Übersicht!$M$15:$M$22,MATCH($B28,Übersicht!$A$15:$A$22,0))),0)&gt;1,DAY($A28)&gt;=IFERROR(N(INDEX(Übersicht!$M$15:$M$22,MATCH($B28,Übersicht!$A$15:$A$22,0))),0)),1,0),1))</f>
        <v/>
      </c>
    </row>
    <row r="29">
      <c r="A29" s="92" t="n"/>
      <c r="B29" s="55" t="n"/>
      <c r="C29" s="55" t="n"/>
      <c r="D29" s="55" t="n"/>
      <c r="E29" s="93" t="n"/>
      <c r="F29" s="94" t="n"/>
      <c r="G29" s="94" t="n"/>
      <c r="H29" s="94" t="n"/>
      <c r="I29" s="94" t="n"/>
      <c r="J29" s="55" t="n"/>
      <c r="K29" s="95" t="n"/>
      <c r="L29" s="116">
        <f>IF($A29="","",DATE(YEAR($A29),MONTH($A29)+IF(AND(IFERROR(N(INDEX(Übersicht!$M$15:$M$22,MATCH($B29,Übersicht!$A$15:$A$22,0))),0)&gt;1,DAY($A29)&gt;=IFERROR(N(INDEX(Übersicht!$M$15:$M$22,MATCH($B29,Übersicht!$A$15:$A$22,0))),0)),1,0),1))</f>
        <v/>
      </c>
    </row>
    <row r="30">
      <c r="A30" s="92" t="n"/>
      <c r="B30" s="55" t="n"/>
      <c r="C30" s="55" t="n"/>
      <c r="D30" s="55" t="n"/>
      <c r="E30" s="93" t="n"/>
      <c r="F30" s="94" t="n"/>
      <c r="G30" s="94" t="n"/>
      <c r="H30" s="94" t="n"/>
      <c r="I30" s="94" t="n"/>
      <c r="J30" s="55" t="n"/>
      <c r="K30" s="95" t="n"/>
      <c r="L30" s="116">
        <f>IF($A30="","",DATE(YEAR($A30),MONTH($A30)+IF(AND(IFERROR(N(INDEX(Übersicht!$M$15:$M$22,MATCH($B30,Übersicht!$A$15:$A$22,0))),0)&gt;1,DAY($A30)&gt;=IFERROR(N(INDEX(Übersicht!$M$15:$M$22,MATCH($B30,Übersicht!$A$15:$A$22,0))),0)),1,0),1))</f>
        <v/>
      </c>
    </row>
    <row r="31">
      <c r="A31" s="92" t="n"/>
      <c r="B31" s="55" t="n"/>
      <c r="C31" s="55" t="n"/>
      <c r="D31" s="55" t="n"/>
      <c r="E31" s="93" t="n"/>
      <c r="F31" s="94" t="n"/>
      <c r="G31" s="94" t="n"/>
      <c r="H31" s="94" t="n"/>
      <c r="I31" s="94" t="n"/>
      <c r="J31" s="55" t="n"/>
      <c r="K31" s="95" t="n"/>
      <c r="L31" s="116">
        <f>IF($A31="","",DATE(YEAR($A31),MONTH($A31)+IF(AND(IFERROR(N(INDEX(Übersicht!$M$15:$M$22,MATCH($B31,Übersicht!$A$15:$A$22,0))),0)&gt;1,DAY($A31)&gt;=IFERROR(N(INDEX(Übersicht!$M$15:$M$22,MATCH($B31,Übersicht!$A$15:$A$22,0))),0)),1,0),1))</f>
        <v/>
      </c>
    </row>
    <row r="32">
      <c r="A32" s="92" t="n"/>
      <c r="B32" s="55" t="n"/>
      <c r="C32" s="55" t="n"/>
      <c r="D32" s="55" t="n"/>
      <c r="E32" s="93" t="n"/>
      <c r="F32" s="94" t="n"/>
      <c r="G32" s="94" t="n"/>
      <c r="H32" s="94" t="n"/>
      <c r="I32" s="94" t="n"/>
      <c r="J32" s="55" t="n"/>
      <c r="K32" s="95" t="n"/>
      <c r="L32" s="116">
        <f>IF($A32="","",DATE(YEAR($A32),MONTH($A32)+IF(AND(IFERROR(N(INDEX(Übersicht!$M$15:$M$22,MATCH($B32,Übersicht!$A$15:$A$22,0))),0)&gt;1,DAY($A32)&gt;=IFERROR(N(INDEX(Übersicht!$M$15:$M$22,MATCH($B32,Übersicht!$A$15:$A$22,0))),0)),1,0),1))</f>
        <v/>
      </c>
    </row>
    <row r="33">
      <c r="A33" s="92" t="n"/>
      <c r="B33" s="55" t="n"/>
      <c r="C33" s="55" t="n"/>
      <c r="D33" s="55" t="n"/>
      <c r="E33" s="93" t="n"/>
      <c r="F33" s="94" t="n"/>
      <c r="G33" s="94" t="n"/>
      <c r="H33" s="94" t="n"/>
      <c r="I33" s="94" t="n"/>
      <c r="J33" s="55" t="n"/>
      <c r="K33" s="95" t="n"/>
      <c r="L33" s="116">
        <f>IF($A33="","",DATE(YEAR($A33),MONTH($A33)+IF(AND(IFERROR(N(INDEX(Übersicht!$M$15:$M$22,MATCH($B33,Übersicht!$A$15:$A$22,0))),0)&gt;1,DAY($A33)&gt;=IFERROR(N(INDEX(Übersicht!$M$15:$M$22,MATCH($B33,Übersicht!$A$15:$A$22,0))),0)),1,0),1))</f>
        <v/>
      </c>
    </row>
    <row r="34">
      <c r="A34" s="92" t="n"/>
      <c r="B34" s="55" t="n"/>
      <c r="C34" s="55" t="n"/>
      <c r="D34" s="55" t="n"/>
      <c r="E34" s="93" t="n"/>
      <c r="F34" s="94" t="n"/>
      <c r="G34" s="94" t="n"/>
      <c r="H34" s="94" t="n"/>
      <c r="I34" s="94" t="n"/>
      <c r="J34" s="55" t="n"/>
      <c r="K34" s="95" t="n"/>
      <c r="L34" s="116">
        <f>IF($A34="","",DATE(YEAR($A34),MONTH($A34)+IF(AND(IFERROR(N(INDEX(Übersicht!$M$15:$M$22,MATCH($B34,Übersicht!$A$15:$A$22,0))),0)&gt;1,DAY($A34)&gt;=IFERROR(N(INDEX(Übersicht!$M$15:$M$22,MATCH($B34,Übersicht!$A$15:$A$22,0))),0)),1,0),1))</f>
        <v/>
      </c>
    </row>
    <row r="35">
      <c r="A35" s="92" t="n"/>
      <c r="B35" s="55" t="n"/>
      <c r="C35" s="55" t="n"/>
      <c r="D35" s="55" t="n"/>
      <c r="E35" s="93" t="n"/>
      <c r="F35" s="94" t="n"/>
      <c r="G35" s="94" t="n"/>
      <c r="H35" s="94" t="n"/>
      <c r="I35" s="94" t="n"/>
      <c r="J35" s="55" t="n"/>
      <c r="K35" s="95" t="n"/>
      <c r="L35" s="116">
        <f>IF($A35="","",DATE(YEAR($A35),MONTH($A35)+IF(AND(IFERROR(N(INDEX(Übersicht!$M$15:$M$22,MATCH($B35,Übersicht!$A$15:$A$22,0))),0)&gt;1,DAY($A35)&gt;=IFERROR(N(INDEX(Übersicht!$M$15:$M$22,MATCH($B35,Übersicht!$A$15:$A$22,0))),0)),1,0),1))</f>
        <v/>
      </c>
    </row>
    <row r="36">
      <c r="A36" s="92" t="n"/>
      <c r="B36" s="55" t="n"/>
      <c r="C36" s="55" t="n"/>
      <c r="D36" s="55" t="n"/>
      <c r="E36" s="93" t="n"/>
      <c r="F36" s="94" t="n"/>
      <c r="G36" s="94" t="n"/>
      <c r="H36" s="94" t="n"/>
      <c r="I36" s="94" t="n"/>
      <c r="J36" s="55" t="n"/>
      <c r="K36" s="95" t="n"/>
      <c r="L36" s="116">
        <f>IF($A36="","",DATE(YEAR($A36),MONTH($A36)+IF(AND(IFERROR(N(INDEX(Übersicht!$M$15:$M$22,MATCH($B36,Übersicht!$A$15:$A$22,0))),0)&gt;1,DAY($A36)&gt;=IFERROR(N(INDEX(Übersicht!$M$15:$M$22,MATCH($B36,Übersicht!$A$15:$A$22,0))),0)),1,0),1))</f>
        <v/>
      </c>
    </row>
    <row r="37">
      <c r="A37" s="92" t="n"/>
      <c r="B37" s="55" t="n"/>
      <c r="C37" s="55" t="n"/>
      <c r="D37" s="55" t="n"/>
      <c r="E37" s="93" t="n"/>
      <c r="F37" s="94" t="n"/>
      <c r="G37" s="94" t="n"/>
      <c r="H37" s="94" t="n"/>
      <c r="I37" s="94" t="n"/>
      <c r="J37" s="55" t="n"/>
      <c r="K37" s="95" t="n"/>
      <c r="L37" s="116">
        <f>IF($A37="","",DATE(YEAR($A37),MONTH($A37)+IF(AND(IFERROR(N(INDEX(Übersicht!$M$15:$M$22,MATCH($B37,Übersicht!$A$15:$A$22,0))),0)&gt;1,DAY($A37)&gt;=IFERROR(N(INDEX(Übersicht!$M$15:$M$22,MATCH($B37,Übersicht!$A$15:$A$22,0))),0)),1,0),1))</f>
        <v/>
      </c>
    </row>
    <row r="38">
      <c r="A38" s="92" t="n"/>
      <c r="B38" s="55" t="n"/>
      <c r="C38" s="55" t="n"/>
      <c r="D38" s="55" t="n"/>
      <c r="E38" s="93" t="n"/>
      <c r="F38" s="94" t="n"/>
      <c r="G38" s="94" t="n"/>
      <c r="H38" s="94" t="n"/>
      <c r="I38" s="94" t="n"/>
      <c r="J38" s="55" t="n"/>
      <c r="K38" s="95" t="n"/>
      <c r="L38" s="116">
        <f>IF($A38="","",DATE(YEAR($A38),MONTH($A38)+IF(AND(IFERROR(N(INDEX(Übersicht!$M$15:$M$22,MATCH($B38,Übersicht!$A$15:$A$22,0))),0)&gt;1,DAY($A38)&gt;=IFERROR(N(INDEX(Übersicht!$M$15:$M$22,MATCH($B38,Übersicht!$A$15:$A$22,0))),0)),1,0),1))</f>
        <v/>
      </c>
    </row>
    <row r="39">
      <c r="A39" s="92" t="n"/>
      <c r="B39" s="55" t="n"/>
      <c r="C39" s="55" t="n"/>
      <c r="D39" s="55" t="n"/>
      <c r="E39" s="93" t="n"/>
      <c r="F39" s="94" t="n"/>
      <c r="G39" s="94" t="n"/>
      <c r="H39" s="94" t="n"/>
      <c r="I39" s="94" t="n"/>
      <c r="J39" s="55" t="n"/>
      <c r="K39" s="95" t="n"/>
      <c r="L39" s="116">
        <f>IF($A39="","",DATE(YEAR($A39),MONTH($A39)+IF(AND(IFERROR(N(INDEX(Übersicht!$M$15:$M$22,MATCH($B39,Übersicht!$A$15:$A$22,0))),0)&gt;1,DAY($A39)&gt;=IFERROR(N(INDEX(Übersicht!$M$15:$M$22,MATCH($B39,Übersicht!$A$15:$A$22,0))),0)),1,0),1))</f>
        <v/>
      </c>
    </row>
    <row r="40">
      <c r="A40" s="92" t="n"/>
      <c r="B40" s="55" t="n"/>
      <c r="C40" s="55" t="n"/>
      <c r="D40" s="55" t="n"/>
      <c r="E40" s="93" t="n"/>
      <c r="F40" s="94" t="n"/>
      <c r="G40" s="94" t="n"/>
      <c r="H40" s="94" t="n"/>
      <c r="I40" s="94" t="n"/>
      <c r="J40" s="55" t="n"/>
      <c r="K40" s="95" t="n"/>
      <c r="L40" s="116">
        <f>IF($A40="","",DATE(YEAR($A40),MONTH($A40)+IF(AND(IFERROR(N(INDEX(Übersicht!$M$15:$M$22,MATCH($B40,Übersicht!$A$15:$A$22,0))),0)&gt;1,DAY($A40)&gt;=IFERROR(N(INDEX(Übersicht!$M$15:$M$22,MATCH($B40,Übersicht!$A$15:$A$22,0))),0)),1,0),1))</f>
        <v/>
      </c>
    </row>
    <row r="41">
      <c r="A41" s="92" t="n"/>
      <c r="B41" s="55" t="n"/>
      <c r="C41" s="55" t="n"/>
      <c r="D41" s="55" t="n"/>
      <c r="E41" s="93" t="n"/>
      <c r="F41" s="94" t="n"/>
      <c r="G41" s="94" t="n"/>
      <c r="H41" s="94" t="n"/>
      <c r="I41" s="94" t="n"/>
      <c r="J41" s="55" t="n"/>
      <c r="K41" s="95" t="n"/>
      <c r="L41" s="116">
        <f>IF($A41="","",DATE(YEAR($A41),MONTH($A41)+IF(AND(IFERROR(N(INDEX(Übersicht!$M$15:$M$22,MATCH($B41,Übersicht!$A$15:$A$22,0))),0)&gt;1,DAY($A41)&gt;=IFERROR(N(INDEX(Übersicht!$M$15:$M$22,MATCH($B41,Übersicht!$A$15:$A$22,0))),0)),1,0),1))</f>
        <v/>
      </c>
    </row>
    <row r="42">
      <c r="A42" s="92" t="n"/>
      <c r="B42" s="55" t="n"/>
      <c r="C42" s="55" t="n"/>
      <c r="D42" s="55" t="n"/>
      <c r="E42" s="93" t="n"/>
      <c r="F42" s="94" t="n"/>
      <c r="G42" s="94" t="n"/>
      <c r="H42" s="94" t="n"/>
      <c r="I42" s="94" t="n"/>
      <c r="J42" s="55" t="n"/>
      <c r="K42" s="95" t="n"/>
      <c r="L42" s="116">
        <f>IF($A42="","",DATE(YEAR($A42),MONTH($A42)+IF(AND(IFERROR(N(INDEX(Übersicht!$M$15:$M$22,MATCH($B42,Übersicht!$A$15:$A$22,0))),0)&gt;1,DAY($A42)&gt;=IFERROR(N(INDEX(Übersicht!$M$15:$M$22,MATCH($B42,Übersicht!$A$15:$A$22,0))),0)),1,0),1))</f>
        <v/>
      </c>
    </row>
    <row r="43">
      <c r="A43" s="92" t="n"/>
      <c r="B43" s="55" t="n"/>
      <c r="C43" s="55" t="n"/>
      <c r="D43" s="55" t="n"/>
      <c r="E43" s="93" t="n"/>
      <c r="F43" s="94" t="n"/>
      <c r="G43" s="94" t="n"/>
      <c r="H43" s="94" t="n"/>
      <c r="I43" s="94" t="n"/>
      <c r="J43" s="55" t="n"/>
      <c r="K43" s="95" t="n"/>
      <c r="L43" s="116">
        <f>IF($A43="","",DATE(YEAR($A43),MONTH($A43)+IF(AND(IFERROR(N(INDEX(Übersicht!$M$15:$M$22,MATCH($B43,Übersicht!$A$15:$A$22,0))),0)&gt;1,DAY($A43)&gt;=IFERROR(N(INDEX(Übersicht!$M$15:$M$22,MATCH($B43,Übersicht!$A$15:$A$22,0))),0)),1,0),1))</f>
        <v/>
      </c>
    </row>
    <row r="44">
      <c r="A44" s="92" t="n"/>
      <c r="B44" s="55" t="n"/>
      <c r="C44" s="55" t="n"/>
      <c r="D44" s="55" t="n"/>
      <c r="E44" s="93" t="n"/>
      <c r="F44" s="94" t="n"/>
      <c r="G44" s="94" t="n"/>
      <c r="H44" s="94" t="n"/>
      <c r="I44" s="94" t="n"/>
      <c r="J44" s="55" t="n"/>
      <c r="K44" s="95" t="n"/>
      <c r="L44" s="116">
        <f>IF($A44="","",DATE(YEAR($A44),MONTH($A44)+IF(AND(IFERROR(N(INDEX(Übersicht!$M$15:$M$22,MATCH($B44,Übersicht!$A$15:$A$22,0))),0)&gt;1,DAY($A44)&gt;=IFERROR(N(INDEX(Übersicht!$M$15:$M$22,MATCH($B44,Übersicht!$A$15:$A$22,0))),0)),1,0),1))</f>
        <v/>
      </c>
    </row>
    <row r="45">
      <c r="A45" s="92" t="n"/>
      <c r="B45" s="55" t="n"/>
      <c r="C45" s="55" t="n"/>
      <c r="D45" s="55" t="n"/>
      <c r="E45" s="93" t="n"/>
      <c r="F45" s="94" t="n"/>
      <c r="G45" s="94" t="n"/>
      <c r="H45" s="94" t="n"/>
      <c r="I45" s="94" t="n"/>
      <c r="J45" s="55" t="n"/>
      <c r="K45" s="95" t="n"/>
      <c r="L45" s="116">
        <f>IF($A45="","",DATE(YEAR($A45),MONTH($A45)+IF(AND(IFERROR(N(INDEX(Übersicht!$M$15:$M$22,MATCH($B45,Übersicht!$A$15:$A$22,0))),0)&gt;1,DAY($A45)&gt;=IFERROR(N(INDEX(Übersicht!$M$15:$M$22,MATCH($B45,Übersicht!$A$15:$A$22,0))),0)),1,0),1))</f>
        <v/>
      </c>
    </row>
    <row r="46">
      <c r="A46" s="92" t="n"/>
      <c r="B46" s="55" t="n"/>
      <c r="C46" s="55" t="n"/>
      <c r="D46" s="55" t="n"/>
      <c r="E46" s="93" t="n"/>
      <c r="F46" s="94" t="n"/>
      <c r="G46" s="94" t="n"/>
      <c r="H46" s="94" t="n"/>
      <c r="I46" s="94" t="n"/>
      <c r="J46" s="55" t="n"/>
      <c r="K46" s="95" t="n"/>
      <c r="L46" s="116">
        <f>IF($A46="","",DATE(YEAR($A46),MONTH($A46)+IF(AND(IFERROR(N(INDEX(Übersicht!$M$15:$M$22,MATCH($B46,Übersicht!$A$15:$A$22,0))),0)&gt;1,DAY($A46)&gt;=IFERROR(N(INDEX(Übersicht!$M$15:$M$22,MATCH($B46,Übersicht!$A$15:$A$22,0))),0)),1,0),1))</f>
        <v/>
      </c>
    </row>
    <row r="47">
      <c r="A47" s="92" t="n"/>
      <c r="B47" s="55" t="n"/>
      <c r="C47" s="55" t="n"/>
      <c r="D47" s="55" t="n"/>
      <c r="E47" s="93" t="n"/>
      <c r="F47" s="94" t="n"/>
      <c r="G47" s="94" t="n"/>
      <c r="H47" s="94" t="n"/>
      <c r="I47" s="94" t="n"/>
      <c r="J47" s="55" t="n"/>
      <c r="K47" s="95" t="n"/>
      <c r="L47" s="116">
        <f>IF($A47="","",DATE(YEAR($A47),MONTH($A47)+IF(AND(IFERROR(N(INDEX(Übersicht!$M$15:$M$22,MATCH($B47,Übersicht!$A$15:$A$22,0))),0)&gt;1,DAY($A47)&gt;=IFERROR(N(INDEX(Übersicht!$M$15:$M$22,MATCH($B47,Übersicht!$A$15:$A$22,0))),0)),1,0),1))</f>
        <v/>
      </c>
    </row>
    <row r="48">
      <c r="A48" s="92" t="n"/>
      <c r="B48" s="55" t="n"/>
      <c r="C48" s="55" t="n"/>
      <c r="D48" s="55" t="n"/>
      <c r="E48" s="93" t="n"/>
      <c r="F48" s="94" t="n"/>
      <c r="G48" s="94" t="n"/>
      <c r="H48" s="94" t="n"/>
      <c r="I48" s="94" t="n"/>
      <c r="J48" s="55" t="n"/>
      <c r="K48" s="95" t="n"/>
      <c r="L48" s="116">
        <f>IF($A48="","",DATE(YEAR($A48),MONTH($A48)+IF(AND(IFERROR(N(INDEX(Übersicht!$M$15:$M$22,MATCH($B48,Übersicht!$A$15:$A$22,0))),0)&gt;1,DAY($A48)&gt;=IFERROR(N(INDEX(Übersicht!$M$15:$M$22,MATCH($B48,Übersicht!$A$15:$A$22,0))),0)),1,0),1))</f>
        <v/>
      </c>
    </row>
    <row r="49">
      <c r="A49" s="92" t="n"/>
      <c r="B49" s="55" t="n"/>
      <c r="C49" s="55" t="n"/>
      <c r="D49" s="55" t="n"/>
      <c r="E49" s="93" t="n"/>
      <c r="F49" s="94" t="n"/>
      <c r="G49" s="94" t="n"/>
      <c r="H49" s="94" t="n"/>
      <c r="I49" s="94" t="n"/>
      <c r="J49" s="55" t="n"/>
      <c r="K49" s="95" t="n"/>
      <c r="L49" s="116">
        <f>IF($A49="","",DATE(YEAR($A49),MONTH($A49)+IF(AND(IFERROR(N(INDEX(Übersicht!$M$15:$M$22,MATCH($B49,Übersicht!$A$15:$A$22,0))),0)&gt;1,DAY($A49)&gt;=IFERROR(N(INDEX(Übersicht!$M$15:$M$22,MATCH($B49,Übersicht!$A$15:$A$22,0))),0)),1,0),1))</f>
        <v/>
      </c>
    </row>
    <row r="50">
      <c r="A50" s="92" t="n"/>
      <c r="B50" s="55" t="n"/>
      <c r="C50" s="55" t="n"/>
      <c r="D50" s="55" t="n"/>
      <c r="E50" s="93" t="n"/>
      <c r="F50" s="94" t="n"/>
      <c r="G50" s="94" t="n"/>
      <c r="H50" s="94" t="n"/>
      <c r="I50" s="94" t="n"/>
      <c r="J50" s="55" t="n"/>
      <c r="K50" s="95" t="n"/>
      <c r="L50" s="116">
        <f>IF($A50="","",DATE(YEAR($A50),MONTH($A50)+IF(AND(IFERROR(N(INDEX(Übersicht!$M$15:$M$22,MATCH($B50,Übersicht!$A$15:$A$22,0))),0)&gt;1,DAY($A50)&gt;=IFERROR(N(INDEX(Übersicht!$M$15:$M$22,MATCH($B50,Übersicht!$A$15:$A$22,0))),0)),1,0),1))</f>
        <v/>
      </c>
    </row>
    <row r="51">
      <c r="A51" s="92" t="n"/>
      <c r="B51" s="55" t="n"/>
      <c r="C51" s="55" t="n"/>
      <c r="D51" s="55" t="n"/>
      <c r="E51" s="93" t="n"/>
      <c r="F51" s="94" t="n"/>
      <c r="G51" s="94" t="n"/>
      <c r="H51" s="94" t="n"/>
      <c r="I51" s="94" t="n"/>
      <c r="J51" s="55" t="n"/>
      <c r="K51" s="95" t="n"/>
      <c r="L51" s="116">
        <f>IF($A51="","",DATE(YEAR($A51),MONTH($A51)+IF(AND(IFERROR(N(INDEX(Übersicht!$M$15:$M$22,MATCH($B51,Übersicht!$A$15:$A$22,0))),0)&gt;1,DAY($A51)&gt;=IFERROR(N(INDEX(Übersicht!$M$15:$M$22,MATCH($B51,Übersicht!$A$15:$A$22,0))),0)),1,0),1))</f>
        <v/>
      </c>
    </row>
    <row r="52">
      <c r="A52" s="92" t="n"/>
      <c r="B52" s="55" t="n"/>
      <c r="C52" s="55" t="n"/>
      <c r="D52" s="55" t="n"/>
      <c r="E52" s="93" t="n"/>
      <c r="F52" s="94" t="n"/>
      <c r="G52" s="94" t="n"/>
      <c r="H52" s="94" t="n"/>
      <c r="I52" s="94" t="n"/>
      <c r="J52" s="55" t="n"/>
      <c r="K52" s="95" t="n"/>
      <c r="L52" s="116">
        <f>IF($A52="","",DATE(YEAR($A52),MONTH($A52)+IF(AND(IFERROR(N(INDEX(Übersicht!$M$15:$M$22,MATCH($B52,Übersicht!$A$15:$A$22,0))),0)&gt;1,DAY($A52)&gt;=IFERROR(N(INDEX(Übersicht!$M$15:$M$22,MATCH($B52,Übersicht!$A$15:$A$22,0))),0)),1,0),1))</f>
        <v/>
      </c>
    </row>
    <row r="53">
      <c r="A53" s="92" t="n"/>
      <c r="B53" s="55" t="n"/>
      <c r="C53" s="55" t="n"/>
      <c r="D53" s="55" t="n"/>
      <c r="E53" s="93" t="n"/>
      <c r="F53" s="94" t="n"/>
      <c r="G53" s="94" t="n"/>
      <c r="H53" s="94" t="n"/>
      <c r="I53" s="94" t="n"/>
      <c r="J53" s="55" t="n"/>
      <c r="K53" s="95" t="n"/>
      <c r="L53" s="116">
        <f>IF($A53="","",DATE(YEAR($A53),MONTH($A53)+IF(AND(IFERROR(N(INDEX(Übersicht!$M$15:$M$22,MATCH($B53,Übersicht!$A$15:$A$22,0))),0)&gt;1,DAY($A53)&gt;=IFERROR(N(INDEX(Übersicht!$M$15:$M$22,MATCH($B53,Übersicht!$A$15:$A$22,0))),0)),1,0),1))</f>
        <v/>
      </c>
    </row>
    <row r="54">
      <c r="A54" s="92" t="n"/>
      <c r="B54" s="55" t="n"/>
      <c r="C54" s="55" t="n"/>
      <c r="D54" s="55" t="n"/>
      <c r="E54" s="93" t="n"/>
      <c r="F54" s="94" t="n"/>
      <c r="G54" s="94" t="n"/>
      <c r="H54" s="94" t="n"/>
      <c r="I54" s="94" t="n"/>
      <c r="J54" s="55" t="n"/>
      <c r="K54" s="95" t="n"/>
      <c r="L54" s="116">
        <f>IF($A54="","",DATE(YEAR($A54),MONTH($A54)+IF(AND(IFERROR(N(INDEX(Übersicht!$M$15:$M$22,MATCH($B54,Übersicht!$A$15:$A$22,0))),0)&gt;1,DAY($A54)&gt;=IFERROR(N(INDEX(Übersicht!$M$15:$M$22,MATCH($B54,Übersicht!$A$15:$A$22,0))),0)),1,0),1))</f>
        <v/>
      </c>
    </row>
    <row r="55">
      <c r="A55" s="92" t="n"/>
      <c r="B55" s="55" t="n"/>
      <c r="C55" s="55" t="n"/>
      <c r="D55" s="55" t="n"/>
      <c r="E55" s="93" t="n"/>
      <c r="F55" s="94" t="n"/>
      <c r="G55" s="94" t="n"/>
      <c r="H55" s="94" t="n"/>
      <c r="I55" s="94" t="n"/>
      <c r="J55" s="55" t="n"/>
      <c r="K55" s="95" t="n"/>
      <c r="L55" s="116">
        <f>IF($A55="","",DATE(YEAR($A55),MONTH($A55)+IF(AND(IFERROR(N(INDEX(Übersicht!$M$15:$M$22,MATCH($B55,Übersicht!$A$15:$A$22,0))),0)&gt;1,DAY($A55)&gt;=IFERROR(N(INDEX(Übersicht!$M$15:$M$22,MATCH($B55,Übersicht!$A$15:$A$22,0))),0)),1,0),1))</f>
        <v/>
      </c>
    </row>
    <row r="56">
      <c r="A56" s="92" t="n"/>
      <c r="B56" s="55" t="n"/>
      <c r="C56" s="55" t="n"/>
      <c r="D56" s="55" t="n"/>
      <c r="E56" s="93" t="n"/>
      <c r="F56" s="94" t="n"/>
      <c r="G56" s="94" t="n"/>
      <c r="H56" s="94" t="n"/>
      <c r="I56" s="94" t="n"/>
      <c r="J56" s="55" t="n"/>
      <c r="K56" s="95" t="n"/>
      <c r="L56" s="116">
        <f>IF($A56="","",DATE(YEAR($A56),MONTH($A56)+IF(AND(IFERROR(N(INDEX(Übersicht!$M$15:$M$22,MATCH($B56,Übersicht!$A$15:$A$22,0))),0)&gt;1,DAY($A56)&gt;=IFERROR(N(INDEX(Übersicht!$M$15:$M$22,MATCH($B56,Übersicht!$A$15:$A$22,0))),0)),1,0),1))</f>
        <v/>
      </c>
    </row>
    <row r="57">
      <c r="A57" s="92" t="n"/>
      <c r="B57" s="55" t="n"/>
      <c r="C57" s="55" t="n"/>
      <c r="D57" s="55" t="n"/>
      <c r="E57" s="93" t="n"/>
      <c r="F57" s="94" t="n"/>
      <c r="G57" s="94" t="n"/>
      <c r="H57" s="94" t="n"/>
      <c r="I57" s="94" t="n"/>
      <c r="J57" s="55" t="n"/>
      <c r="K57" s="95" t="n"/>
      <c r="L57" s="116">
        <f>IF($A57="","",DATE(YEAR($A57),MONTH($A57)+IF(AND(IFERROR(N(INDEX(Übersicht!$M$15:$M$22,MATCH($B57,Übersicht!$A$15:$A$22,0))),0)&gt;1,DAY($A57)&gt;=IFERROR(N(INDEX(Übersicht!$M$15:$M$22,MATCH($B57,Übersicht!$A$15:$A$22,0))),0)),1,0),1))</f>
        <v/>
      </c>
    </row>
    <row r="58">
      <c r="A58" s="92" t="n"/>
      <c r="B58" s="55" t="n"/>
      <c r="C58" s="55" t="n"/>
      <c r="D58" s="55" t="n"/>
      <c r="E58" s="93" t="n"/>
      <c r="F58" s="94" t="n"/>
      <c r="G58" s="94" t="n"/>
      <c r="H58" s="94" t="n"/>
      <c r="I58" s="94" t="n"/>
      <c r="J58" s="55" t="n"/>
      <c r="K58" s="95" t="n"/>
      <c r="L58" s="116">
        <f>IF($A58="","",DATE(YEAR($A58),MONTH($A58)+IF(AND(IFERROR(N(INDEX(Übersicht!$M$15:$M$22,MATCH($B58,Übersicht!$A$15:$A$22,0))),0)&gt;1,DAY($A58)&gt;=IFERROR(N(INDEX(Übersicht!$M$15:$M$22,MATCH($B58,Übersicht!$A$15:$A$22,0))),0)),1,0),1))</f>
        <v/>
      </c>
    </row>
    <row r="59">
      <c r="A59" s="92" t="n"/>
      <c r="B59" s="55" t="n"/>
      <c r="C59" s="55" t="n"/>
      <c r="D59" s="55" t="n"/>
      <c r="E59" s="93" t="n"/>
      <c r="F59" s="94" t="n"/>
      <c r="G59" s="94" t="n"/>
      <c r="H59" s="94" t="n"/>
      <c r="I59" s="94" t="n"/>
      <c r="J59" s="55" t="n"/>
      <c r="K59" s="95" t="n"/>
      <c r="L59" s="116">
        <f>IF($A59="","",DATE(YEAR($A59),MONTH($A59)+IF(AND(IFERROR(N(INDEX(Übersicht!$M$15:$M$22,MATCH($B59,Übersicht!$A$15:$A$22,0))),0)&gt;1,DAY($A59)&gt;=IFERROR(N(INDEX(Übersicht!$M$15:$M$22,MATCH($B59,Übersicht!$A$15:$A$22,0))),0)),1,0),1))</f>
        <v/>
      </c>
    </row>
    <row r="60">
      <c r="A60" s="92" t="n"/>
      <c r="B60" s="55" t="n"/>
      <c r="C60" s="55" t="n"/>
      <c r="D60" s="55" t="n"/>
      <c r="E60" s="93" t="n"/>
      <c r="F60" s="94" t="n"/>
      <c r="G60" s="94" t="n"/>
      <c r="H60" s="94" t="n"/>
      <c r="I60" s="94" t="n"/>
      <c r="J60" s="55" t="n"/>
      <c r="K60" s="95" t="n"/>
      <c r="L60" s="116">
        <f>IF($A60="","",DATE(YEAR($A60),MONTH($A60)+IF(AND(IFERROR(N(INDEX(Übersicht!$M$15:$M$22,MATCH($B60,Übersicht!$A$15:$A$22,0))),0)&gt;1,DAY($A60)&gt;=IFERROR(N(INDEX(Übersicht!$M$15:$M$22,MATCH($B60,Übersicht!$A$15:$A$22,0))),0)),1,0),1))</f>
        <v/>
      </c>
    </row>
    <row r="61">
      <c r="A61" s="92" t="n"/>
      <c r="B61" s="55" t="n"/>
      <c r="C61" s="55" t="n"/>
      <c r="D61" s="55" t="n"/>
      <c r="E61" s="93" t="n"/>
      <c r="F61" s="94" t="n"/>
      <c r="G61" s="94" t="n"/>
      <c r="H61" s="94" t="n"/>
      <c r="I61" s="94" t="n"/>
      <c r="J61" s="55" t="n"/>
      <c r="K61" s="95" t="n"/>
      <c r="L61" s="116">
        <f>IF($A61="","",DATE(YEAR($A61),MONTH($A61)+IF(AND(IFERROR(N(INDEX(Übersicht!$M$15:$M$22,MATCH($B61,Übersicht!$A$15:$A$22,0))),0)&gt;1,DAY($A61)&gt;=IFERROR(N(INDEX(Übersicht!$M$15:$M$22,MATCH($B61,Übersicht!$A$15:$A$22,0))),0)),1,0),1))</f>
        <v/>
      </c>
    </row>
    <row r="62">
      <c r="A62" s="92" t="n"/>
      <c r="B62" s="55" t="n"/>
      <c r="C62" s="55" t="n"/>
      <c r="D62" s="55" t="n"/>
      <c r="E62" s="93" t="n"/>
      <c r="F62" s="94" t="n"/>
      <c r="G62" s="94" t="n"/>
      <c r="H62" s="94" t="n"/>
      <c r="I62" s="94" t="n"/>
      <c r="J62" s="55" t="n"/>
      <c r="K62" s="95" t="n"/>
      <c r="L62" s="116">
        <f>IF($A62="","",DATE(YEAR($A62),MONTH($A62)+IF(AND(IFERROR(N(INDEX(Übersicht!$M$15:$M$22,MATCH($B62,Übersicht!$A$15:$A$22,0))),0)&gt;1,DAY($A62)&gt;=IFERROR(N(INDEX(Übersicht!$M$15:$M$22,MATCH($B62,Übersicht!$A$15:$A$22,0))),0)),1,0),1))</f>
        <v/>
      </c>
    </row>
    <row r="63">
      <c r="A63" s="92" t="n"/>
      <c r="B63" s="55" t="n"/>
      <c r="C63" s="55" t="n"/>
      <c r="D63" s="55" t="n"/>
      <c r="E63" s="93" t="n"/>
      <c r="F63" s="94" t="n"/>
      <c r="G63" s="94" t="n"/>
      <c r="H63" s="94" t="n"/>
      <c r="I63" s="94" t="n"/>
      <c r="J63" s="55" t="n"/>
      <c r="K63" s="95" t="n"/>
      <c r="L63" s="116">
        <f>IF($A63="","",DATE(YEAR($A63),MONTH($A63)+IF(AND(IFERROR(N(INDEX(Übersicht!$M$15:$M$22,MATCH($B63,Übersicht!$A$15:$A$22,0))),0)&gt;1,DAY($A63)&gt;=IFERROR(N(INDEX(Übersicht!$M$15:$M$22,MATCH($B63,Übersicht!$A$15:$A$22,0))),0)),1,0),1))</f>
        <v/>
      </c>
    </row>
    <row r="64">
      <c r="A64" s="92" t="n"/>
      <c r="B64" s="55" t="n"/>
      <c r="C64" s="55" t="n"/>
      <c r="D64" s="55" t="n"/>
      <c r="E64" s="93" t="n"/>
      <c r="F64" s="94" t="n"/>
      <c r="G64" s="94" t="n"/>
      <c r="H64" s="94" t="n"/>
      <c r="I64" s="94" t="n"/>
      <c r="J64" s="55" t="n"/>
      <c r="K64" s="95" t="n"/>
      <c r="L64" s="116">
        <f>IF($A64="","",DATE(YEAR($A64),MONTH($A64)+IF(AND(IFERROR(N(INDEX(Übersicht!$M$15:$M$22,MATCH($B64,Übersicht!$A$15:$A$22,0))),0)&gt;1,DAY($A64)&gt;=IFERROR(N(INDEX(Übersicht!$M$15:$M$22,MATCH($B64,Übersicht!$A$15:$A$22,0))),0)),1,0),1))</f>
        <v/>
      </c>
    </row>
    <row r="65">
      <c r="A65" s="92" t="n"/>
      <c r="B65" s="55" t="n"/>
      <c r="C65" s="55" t="n"/>
      <c r="D65" s="55" t="n"/>
      <c r="E65" s="93" t="n"/>
      <c r="F65" s="94" t="n"/>
      <c r="G65" s="94" t="n"/>
      <c r="H65" s="94" t="n"/>
      <c r="I65" s="94" t="n"/>
      <c r="J65" s="55" t="n"/>
      <c r="K65" s="95" t="n"/>
      <c r="L65" s="116">
        <f>IF($A65="","",DATE(YEAR($A65),MONTH($A65)+IF(AND(IFERROR(N(INDEX(Übersicht!$M$15:$M$22,MATCH($B65,Übersicht!$A$15:$A$22,0))),0)&gt;1,DAY($A65)&gt;=IFERROR(N(INDEX(Übersicht!$M$15:$M$22,MATCH($B65,Übersicht!$A$15:$A$22,0))),0)),1,0),1))</f>
        <v/>
      </c>
    </row>
    <row r="66">
      <c r="A66" s="92" t="n"/>
      <c r="B66" s="55" t="n"/>
      <c r="C66" s="55" t="n"/>
      <c r="D66" s="55" t="n"/>
      <c r="E66" s="93" t="n"/>
      <c r="F66" s="94" t="n"/>
      <c r="G66" s="94" t="n"/>
      <c r="H66" s="94" t="n"/>
      <c r="I66" s="94" t="n"/>
      <c r="J66" s="55" t="n"/>
      <c r="K66" s="95" t="n"/>
      <c r="L66" s="116">
        <f>IF($A66="","",DATE(YEAR($A66),MONTH($A66)+IF(AND(IFERROR(N(INDEX(Übersicht!$M$15:$M$22,MATCH($B66,Übersicht!$A$15:$A$22,0))),0)&gt;1,DAY($A66)&gt;=IFERROR(N(INDEX(Übersicht!$M$15:$M$22,MATCH($B66,Übersicht!$A$15:$A$22,0))),0)),1,0),1))</f>
        <v/>
      </c>
    </row>
    <row r="67">
      <c r="A67" s="92" t="n"/>
      <c r="B67" s="55" t="n"/>
      <c r="C67" s="55" t="n"/>
      <c r="D67" s="55" t="n"/>
      <c r="E67" s="93" t="n"/>
      <c r="F67" s="94" t="n"/>
      <c r="G67" s="94" t="n"/>
      <c r="H67" s="94" t="n"/>
      <c r="I67" s="94" t="n"/>
      <c r="J67" s="55" t="n"/>
      <c r="K67" s="95" t="n"/>
      <c r="L67" s="116">
        <f>IF($A67="","",DATE(YEAR($A67),MONTH($A67)+IF(AND(IFERROR(N(INDEX(Übersicht!$M$15:$M$22,MATCH($B67,Übersicht!$A$15:$A$22,0))),0)&gt;1,DAY($A67)&gt;=IFERROR(N(INDEX(Übersicht!$M$15:$M$22,MATCH($B67,Übersicht!$A$15:$A$22,0))),0)),1,0),1))</f>
        <v/>
      </c>
    </row>
    <row r="68">
      <c r="A68" s="92" t="n"/>
      <c r="B68" s="55" t="n"/>
      <c r="C68" s="55" t="n"/>
      <c r="D68" s="55" t="n"/>
      <c r="E68" s="93" t="n"/>
      <c r="F68" s="94" t="n"/>
      <c r="G68" s="94" t="n"/>
      <c r="H68" s="94" t="n"/>
      <c r="I68" s="94" t="n"/>
      <c r="J68" s="55" t="n"/>
      <c r="K68" s="95" t="n"/>
      <c r="L68" s="116">
        <f>IF($A68="","",DATE(YEAR($A68),MONTH($A68)+IF(AND(IFERROR(N(INDEX(Übersicht!$M$15:$M$22,MATCH($B68,Übersicht!$A$15:$A$22,0))),0)&gt;1,DAY($A68)&gt;=IFERROR(N(INDEX(Übersicht!$M$15:$M$22,MATCH($B68,Übersicht!$A$15:$A$22,0))),0)),1,0),1))</f>
        <v/>
      </c>
    </row>
    <row r="69">
      <c r="A69" s="92" t="n"/>
      <c r="B69" s="55" t="n"/>
      <c r="C69" s="55" t="n"/>
      <c r="D69" s="55" t="n"/>
      <c r="E69" s="93" t="n"/>
      <c r="F69" s="94" t="n"/>
      <c r="G69" s="94" t="n"/>
      <c r="H69" s="94" t="n"/>
      <c r="I69" s="94" t="n"/>
      <c r="J69" s="55" t="n"/>
      <c r="K69" s="95" t="n"/>
      <c r="L69" s="116">
        <f>IF($A69="","",DATE(YEAR($A69),MONTH($A69)+IF(AND(IFERROR(N(INDEX(Übersicht!$M$15:$M$22,MATCH($B69,Übersicht!$A$15:$A$22,0))),0)&gt;1,DAY($A69)&gt;=IFERROR(N(INDEX(Übersicht!$M$15:$M$22,MATCH($B69,Übersicht!$A$15:$A$22,0))),0)),1,0),1))</f>
        <v/>
      </c>
    </row>
    <row r="70">
      <c r="A70" s="92" t="n"/>
      <c r="B70" s="55" t="n"/>
      <c r="C70" s="55" t="n"/>
      <c r="D70" s="55" t="n"/>
      <c r="E70" s="93" t="n"/>
      <c r="F70" s="94" t="n"/>
      <c r="G70" s="94" t="n"/>
      <c r="H70" s="94" t="n"/>
      <c r="I70" s="94" t="n"/>
      <c r="J70" s="55" t="n"/>
      <c r="K70" s="95" t="n"/>
      <c r="L70" s="116">
        <f>IF($A70="","",DATE(YEAR($A70),MONTH($A70)+IF(AND(IFERROR(N(INDEX(Übersicht!$M$15:$M$22,MATCH($B70,Übersicht!$A$15:$A$22,0))),0)&gt;1,DAY($A70)&gt;=IFERROR(N(INDEX(Übersicht!$M$15:$M$22,MATCH($B70,Übersicht!$A$15:$A$22,0))),0)),1,0),1))</f>
        <v/>
      </c>
    </row>
    <row r="71">
      <c r="A71" s="92" t="n"/>
      <c r="B71" s="55" t="n"/>
      <c r="C71" s="55" t="n"/>
      <c r="D71" s="55" t="n"/>
      <c r="E71" s="93" t="n"/>
      <c r="F71" s="94" t="n"/>
      <c r="G71" s="94" t="n"/>
      <c r="H71" s="94" t="n"/>
      <c r="I71" s="94" t="n"/>
      <c r="J71" s="55" t="n"/>
      <c r="K71" s="95" t="n"/>
      <c r="L71" s="116">
        <f>IF($A71="","",DATE(YEAR($A71),MONTH($A71)+IF(AND(IFERROR(N(INDEX(Übersicht!$M$15:$M$22,MATCH($B71,Übersicht!$A$15:$A$22,0))),0)&gt;1,DAY($A71)&gt;=IFERROR(N(INDEX(Übersicht!$M$15:$M$22,MATCH($B71,Übersicht!$A$15:$A$22,0))),0)),1,0),1))</f>
        <v/>
      </c>
    </row>
    <row r="72">
      <c r="A72" s="92" t="n"/>
      <c r="B72" s="55" t="n"/>
      <c r="C72" s="55" t="n"/>
      <c r="D72" s="55" t="n"/>
      <c r="E72" s="93" t="n"/>
      <c r="F72" s="94" t="n"/>
      <c r="G72" s="94" t="n"/>
      <c r="H72" s="94" t="n"/>
      <c r="I72" s="94" t="n"/>
      <c r="J72" s="55" t="n"/>
      <c r="K72" s="95" t="n"/>
      <c r="L72" s="116">
        <f>IF($A72="","",DATE(YEAR($A72),MONTH($A72)+IF(AND(IFERROR(N(INDEX(Übersicht!$M$15:$M$22,MATCH($B72,Übersicht!$A$15:$A$22,0))),0)&gt;1,DAY($A72)&gt;=IFERROR(N(INDEX(Übersicht!$M$15:$M$22,MATCH($B72,Übersicht!$A$15:$A$22,0))),0)),1,0),1))</f>
        <v/>
      </c>
    </row>
    <row r="73">
      <c r="A73" s="92" t="n"/>
      <c r="B73" s="55" t="n"/>
      <c r="C73" s="55" t="n"/>
      <c r="D73" s="55" t="n"/>
      <c r="E73" s="93" t="n"/>
      <c r="F73" s="94" t="n"/>
      <c r="G73" s="94" t="n"/>
      <c r="H73" s="94" t="n"/>
      <c r="I73" s="94" t="n"/>
      <c r="J73" s="55" t="n"/>
      <c r="K73" s="95" t="n"/>
      <c r="L73" s="116">
        <f>IF($A73="","",DATE(YEAR($A73),MONTH($A73)+IF(AND(IFERROR(N(INDEX(Übersicht!$M$15:$M$22,MATCH($B73,Übersicht!$A$15:$A$22,0))),0)&gt;1,DAY($A73)&gt;=IFERROR(N(INDEX(Übersicht!$M$15:$M$22,MATCH($B73,Übersicht!$A$15:$A$22,0))),0)),1,0),1))</f>
        <v/>
      </c>
    </row>
    <row r="74">
      <c r="A74" s="92" t="n"/>
      <c r="B74" s="55" t="n"/>
      <c r="C74" s="55" t="n"/>
      <c r="D74" s="55" t="n"/>
      <c r="E74" s="93" t="n"/>
      <c r="F74" s="94" t="n"/>
      <c r="G74" s="94" t="n"/>
      <c r="H74" s="94" t="n"/>
      <c r="I74" s="94" t="n"/>
      <c r="J74" s="55" t="n"/>
      <c r="K74" s="95" t="n"/>
      <c r="L74" s="116">
        <f>IF($A74="","",DATE(YEAR($A74),MONTH($A74)+IF(AND(IFERROR(N(INDEX(Übersicht!$M$15:$M$22,MATCH($B74,Übersicht!$A$15:$A$22,0))),0)&gt;1,DAY($A74)&gt;=IFERROR(N(INDEX(Übersicht!$M$15:$M$22,MATCH($B74,Übersicht!$A$15:$A$22,0))),0)),1,0),1))</f>
        <v/>
      </c>
    </row>
    <row r="75">
      <c r="A75" s="92" t="n"/>
      <c r="B75" s="55" t="n"/>
      <c r="C75" s="55" t="n"/>
      <c r="D75" s="55" t="n"/>
      <c r="E75" s="93" t="n"/>
      <c r="F75" s="94" t="n"/>
      <c r="G75" s="94" t="n"/>
      <c r="H75" s="94" t="n"/>
      <c r="I75" s="94" t="n"/>
      <c r="J75" s="55" t="n"/>
      <c r="K75" s="95" t="n"/>
      <c r="L75" s="116">
        <f>IF($A75="","",DATE(YEAR($A75),MONTH($A75)+IF(AND(IFERROR(N(INDEX(Übersicht!$M$15:$M$22,MATCH($B75,Übersicht!$A$15:$A$22,0))),0)&gt;1,DAY($A75)&gt;=IFERROR(N(INDEX(Übersicht!$M$15:$M$22,MATCH($B75,Übersicht!$A$15:$A$22,0))),0)),1,0),1))</f>
        <v/>
      </c>
    </row>
    <row r="76">
      <c r="A76" s="92" t="n"/>
      <c r="B76" s="55" t="n"/>
      <c r="C76" s="55" t="n"/>
      <c r="D76" s="55" t="n"/>
      <c r="E76" s="93" t="n"/>
      <c r="F76" s="94" t="n"/>
      <c r="G76" s="94" t="n"/>
      <c r="H76" s="94" t="n"/>
      <c r="I76" s="94" t="n"/>
      <c r="J76" s="55" t="n"/>
      <c r="K76" s="95" t="n"/>
      <c r="L76" s="116">
        <f>IF($A76="","",DATE(YEAR($A76),MONTH($A76)+IF(AND(IFERROR(N(INDEX(Übersicht!$M$15:$M$22,MATCH($B76,Übersicht!$A$15:$A$22,0))),0)&gt;1,DAY($A76)&gt;=IFERROR(N(INDEX(Übersicht!$M$15:$M$22,MATCH($B76,Übersicht!$A$15:$A$22,0))),0)),1,0),1))</f>
        <v/>
      </c>
    </row>
    <row r="77">
      <c r="A77" s="92" t="n"/>
      <c r="B77" s="55" t="n"/>
      <c r="C77" s="55" t="n"/>
      <c r="D77" s="55" t="n"/>
      <c r="E77" s="93" t="n"/>
      <c r="F77" s="94" t="n"/>
      <c r="G77" s="94" t="n"/>
      <c r="H77" s="94" t="n"/>
      <c r="I77" s="94" t="n"/>
      <c r="J77" s="55" t="n"/>
      <c r="K77" s="95" t="n"/>
      <c r="L77" s="116">
        <f>IF($A77="","",DATE(YEAR($A77),MONTH($A77)+IF(AND(IFERROR(N(INDEX(Übersicht!$M$15:$M$22,MATCH($B77,Übersicht!$A$15:$A$22,0))),0)&gt;1,DAY($A77)&gt;=IFERROR(N(INDEX(Übersicht!$M$15:$M$22,MATCH($B77,Übersicht!$A$15:$A$22,0))),0)),1,0),1))</f>
        <v/>
      </c>
    </row>
    <row r="78">
      <c r="A78" s="92" t="n"/>
      <c r="B78" s="55" t="n"/>
      <c r="C78" s="55" t="n"/>
      <c r="D78" s="55" t="n"/>
      <c r="E78" s="93" t="n"/>
      <c r="F78" s="94" t="n"/>
      <c r="G78" s="94" t="n"/>
      <c r="H78" s="94" t="n"/>
      <c r="I78" s="94" t="n"/>
      <c r="J78" s="55" t="n"/>
      <c r="K78" s="95" t="n"/>
      <c r="L78" s="116">
        <f>IF($A78="","",DATE(YEAR($A78),MONTH($A78)+IF(AND(IFERROR(N(INDEX(Übersicht!$M$15:$M$22,MATCH($B78,Übersicht!$A$15:$A$22,0))),0)&gt;1,DAY($A78)&gt;=IFERROR(N(INDEX(Übersicht!$M$15:$M$22,MATCH($B78,Übersicht!$A$15:$A$22,0))),0)),1,0),1))</f>
        <v/>
      </c>
    </row>
    <row r="79">
      <c r="A79" s="92" t="n"/>
      <c r="B79" s="55" t="n"/>
      <c r="C79" s="55" t="n"/>
      <c r="D79" s="55" t="n"/>
      <c r="E79" s="93" t="n"/>
      <c r="F79" s="94" t="n"/>
      <c r="G79" s="94" t="n"/>
      <c r="H79" s="94" t="n"/>
      <c r="I79" s="94" t="n"/>
      <c r="J79" s="55" t="n"/>
      <c r="K79" s="95" t="n"/>
      <c r="L79" s="116">
        <f>IF($A79="","",DATE(YEAR($A79),MONTH($A79)+IF(AND(IFERROR(N(INDEX(Übersicht!$M$15:$M$22,MATCH($B79,Übersicht!$A$15:$A$22,0))),0)&gt;1,DAY($A79)&gt;=IFERROR(N(INDEX(Übersicht!$M$15:$M$22,MATCH($B79,Übersicht!$A$15:$A$22,0))),0)),1,0),1))</f>
        <v/>
      </c>
    </row>
    <row r="80">
      <c r="A80" s="92" t="n"/>
      <c r="B80" s="55" t="n"/>
      <c r="C80" s="55" t="n"/>
      <c r="D80" s="55" t="n"/>
      <c r="E80" s="93" t="n"/>
      <c r="F80" s="94" t="n"/>
      <c r="G80" s="94" t="n"/>
      <c r="H80" s="94" t="n"/>
      <c r="I80" s="94" t="n"/>
      <c r="J80" s="55" t="n"/>
      <c r="K80" s="95" t="n"/>
      <c r="L80" s="116">
        <f>IF($A80="","",DATE(YEAR($A80),MONTH($A80)+IF(AND(IFERROR(N(INDEX(Übersicht!$M$15:$M$22,MATCH($B80,Übersicht!$A$15:$A$22,0))),0)&gt;1,DAY($A80)&gt;=IFERROR(N(INDEX(Übersicht!$M$15:$M$22,MATCH($B80,Übersicht!$A$15:$A$22,0))),0)),1,0),1))</f>
        <v/>
      </c>
    </row>
    <row r="81">
      <c r="A81" s="92" t="n"/>
      <c r="B81" s="55" t="n"/>
      <c r="C81" s="55" t="n"/>
      <c r="D81" s="55" t="n"/>
      <c r="E81" s="93" t="n"/>
      <c r="F81" s="94" t="n"/>
      <c r="G81" s="94" t="n"/>
      <c r="H81" s="94" t="n"/>
      <c r="I81" s="94" t="n"/>
      <c r="J81" s="55" t="n"/>
      <c r="K81" s="95" t="n"/>
      <c r="L81" s="116">
        <f>IF($A81="","",DATE(YEAR($A81),MONTH($A81)+IF(AND(IFERROR(N(INDEX(Übersicht!$M$15:$M$22,MATCH($B81,Übersicht!$A$15:$A$22,0))),0)&gt;1,DAY($A81)&gt;=IFERROR(N(INDEX(Übersicht!$M$15:$M$22,MATCH($B81,Übersicht!$A$15:$A$22,0))),0)),1,0),1))</f>
        <v/>
      </c>
    </row>
    <row r="82">
      <c r="A82" s="92" t="n"/>
      <c r="B82" s="55" t="n"/>
      <c r="C82" s="55" t="n"/>
      <c r="D82" s="55" t="n"/>
      <c r="E82" s="93" t="n"/>
      <c r="F82" s="94" t="n"/>
      <c r="G82" s="94" t="n"/>
      <c r="H82" s="94" t="n"/>
      <c r="I82" s="94" t="n"/>
      <c r="J82" s="55" t="n"/>
      <c r="K82" s="95" t="n"/>
      <c r="L82" s="116">
        <f>IF($A82="","",DATE(YEAR($A82),MONTH($A82)+IF(AND(IFERROR(N(INDEX(Übersicht!$M$15:$M$22,MATCH($B82,Übersicht!$A$15:$A$22,0))),0)&gt;1,DAY($A82)&gt;=IFERROR(N(INDEX(Übersicht!$M$15:$M$22,MATCH($B82,Übersicht!$A$15:$A$22,0))),0)),1,0),1))</f>
        <v/>
      </c>
    </row>
    <row r="83">
      <c r="A83" s="92" t="n"/>
      <c r="B83" s="55" t="n"/>
      <c r="C83" s="55" t="n"/>
      <c r="D83" s="55" t="n"/>
      <c r="E83" s="93" t="n"/>
      <c r="F83" s="94" t="n"/>
      <c r="G83" s="94" t="n"/>
      <c r="H83" s="94" t="n"/>
      <c r="I83" s="94" t="n"/>
      <c r="J83" s="55" t="n"/>
      <c r="K83" s="95" t="n"/>
      <c r="L83" s="116">
        <f>IF($A83="","",DATE(YEAR($A83),MONTH($A83)+IF(AND(IFERROR(N(INDEX(Übersicht!$M$15:$M$22,MATCH($B83,Übersicht!$A$15:$A$22,0))),0)&gt;1,DAY($A83)&gt;=IFERROR(N(INDEX(Übersicht!$M$15:$M$22,MATCH($B83,Übersicht!$A$15:$A$22,0))),0)),1,0),1))</f>
        <v/>
      </c>
    </row>
    <row r="84">
      <c r="A84" s="92" t="n"/>
      <c r="B84" s="55" t="n"/>
      <c r="C84" s="55" t="n"/>
      <c r="D84" s="55" t="n"/>
      <c r="E84" s="93" t="n"/>
      <c r="F84" s="94" t="n"/>
      <c r="G84" s="94" t="n"/>
      <c r="H84" s="94" t="n"/>
      <c r="I84" s="94" t="n"/>
      <c r="J84" s="55" t="n"/>
      <c r="K84" s="95" t="n"/>
      <c r="L84" s="116">
        <f>IF($A84="","",DATE(YEAR($A84),MONTH($A84)+IF(AND(IFERROR(N(INDEX(Übersicht!$M$15:$M$22,MATCH($B84,Übersicht!$A$15:$A$22,0))),0)&gt;1,DAY($A84)&gt;=IFERROR(N(INDEX(Übersicht!$M$15:$M$22,MATCH($B84,Übersicht!$A$15:$A$22,0))),0)),1,0),1))</f>
        <v/>
      </c>
    </row>
    <row r="85">
      <c r="A85" s="92" t="n"/>
      <c r="B85" s="55" t="n"/>
      <c r="C85" s="55" t="n"/>
      <c r="D85" s="55" t="n"/>
      <c r="E85" s="93" t="n"/>
      <c r="F85" s="94" t="n"/>
      <c r="G85" s="94" t="n"/>
      <c r="H85" s="94" t="n"/>
      <c r="I85" s="94" t="n"/>
      <c r="J85" s="55" t="n"/>
      <c r="K85" s="95" t="n"/>
      <c r="L85" s="116">
        <f>IF($A85="","",DATE(YEAR($A85),MONTH($A85)+IF(AND(IFERROR(N(INDEX(Übersicht!$M$15:$M$22,MATCH($B85,Übersicht!$A$15:$A$22,0))),0)&gt;1,DAY($A85)&gt;=IFERROR(N(INDEX(Übersicht!$M$15:$M$22,MATCH($B85,Übersicht!$A$15:$A$22,0))),0)),1,0),1))</f>
        <v/>
      </c>
    </row>
    <row r="86">
      <c r="A86" s="92" t="n"/>
      <c r="B86" s="55" t="n"/>
      <c r="C86" s="55" t="n"/>
      <c r="D86" s="55" t="n"/>
      <c r="E86" s="93" t="n"/>
      <c r="F86" s="94" t="n"/>
      <c r="G86" s="94" t="n"/>
      <c r="H86" s="94" t="n"/>
      <c r="I86" s="94" t="n"/>
      <c r="J86" s="55" t="n"/>
      <c r="K86" s="95" t="n"/>
      <c r="L86" s="116">
        <f>IF($A86="","",DATE(YEAR($A86),MONTH($A86)+IF(AND(IFERROR(N(INDEX(Übersicht!$M$15:$M$22,MATCH($B86,Übersicht!$A$15:$A$22,0))),0)&gt;1,DAY($A86)&gt;=IFERROR(N(INDEX(Übersicht!$M$15:$M$22,MATCH($B86,Übersicht!$A$15:$A$22,0))),0)),1,0),1))</f>
        <v/>
      </c>
    </row>
    <row r="87">
      <c r="A87" s="92" t="n"/>
      <c r="B87" s="55" t="n"/>
      <c r="C87" s="55" t="n"/>
      <c r="D87" s="55" t="n"/>
      <c r="E87" s="93" t="n"/>
      <c r="F87" s="94" t="n"/>
      <c r="G87" s="94" t="n"/>
      <c r="H87" s="94" t="n"/>
      <c r="I87" s="94" t="n"/>
      <c r="J87" s="55" t="n"/>
      <c r="K87" s="95" t="n"/>
      <c r="L87" s="116">
        <f>IF($A87="","",DATE(YEAR($A87),MONTH($A87)+IF(AND(IFERROR(N(INDEX(Übersicht!$M$15:$M$22,MATCH($B87,Übersicht!$A$15:$A$22,0))),0)&gt;1,DAY($A87)&gt;=IFERROR(N(INDEX(Übersicht!$M$15:$M$22,MATCH($B87,Übersicht!$A$15:$A$22,0))),0)),1,0),1))</f>
        <v/>
      </c>
    </row>
    <row r="88">
      <c r="A88" s="92" t="n"/>
      <c r="B88" s="55" t="n"/>
      <c r="C88" s="55" t="n"/>
      <c r="D88" s="55" t="n"/>
      <c r="E88" s="93" t="n"/>
      <c r="F88" s="94" t="n"/>
      <c r="G88" s="94" t="n"/>
      <c r="H88" s="94" t="n"/>
      <c r="I88" s="94" t="n"/>
      <c r="J88" s="55" t="n"/>
      <c r="K88" s="95" t="n"/>
      <c r="L88" s="116">
        <f>IF($A88="","",DATE(YEAR($A88),MONTH($A88)+IF(AND(IFERROR(N(INDEX(Übersicht!$M$15:$M$22,MATCH($B88,Übersicht!$A$15:$A$22,0))),0)&gt;1,DAY($A88)&gt;=IFERROR(N(INDEX(Übersicht!$M$15:$M$22,MATCH($B88,Übersicht!$A$15:$A$22,0))),0)),1,0),1))</f>
        <v/>
      </c>
    </row>
    <row r="89">
      <c r="A89" s="92" t="n"/>
      <c r="B89" s="55" t="n"/>
      <c r="C89" s="55" t="n"/>
      <c r="D89" s="55" t="n"/>
      <c r="E89" s="93" t="n"/>
      <c r="F89" s="94" t="n"/>
      <c r="G89" s="94" t="n"/>
      <c r="H89" s="94" t="n"/>
      <c r="I89" s="94" t="n"/>
      <c r="J89" s="55" t="n"/>
      <c r="K89" s="95" t="n"/>
      <c r="L89" s="116">
        <f>IF($A89="","",DATE(YEAR($A89),MONTH($A89)+IF(AND(IFERROR(N(INDEX(Übersicht!$M$15:$M$22,MATCH($B89,Übersicht!$A$15:$A$22,0))),0)&gt;1,DAY($A89)&gt;=IFERROR(N(INDEX(Übersicht!$M$15:$M$22,MATCH($B89,Übersicht!$A$15:$A$22,0))),0)),1,0),1))</f>
        <v/>
      </c>
    </row>
    <row r="90">
      <c r="A90" s="92" t="n"/>
      <c r="B90" s="55" t="n"/>
      <c r="C90" s="55" t="n"/>
      <c r="D90" s="55" t="n"/>
      <c r="E90" s="93" t="n"/>
      <c r="F90" s="94" t="n"/>
      <c r="G90" s="94" t="n"/>
      <c r="H90" s="94" t="n"/>
      <c r="I90" s="94" t="n"/>
      <c r="J90" s="55" t="n"/>
      <c r="K90" s="95" t="n"/>
      <c r="L90" s="116">
        <f>IF($A90="","",DATE(YEAR($A90),MONTH($A90)+IF(AND(IFERROR(N(INDEX(Übersicht!$M$15:$M$22,MATCH($B90,Übersicht!$A$15:$A$22,0))),0)&gt;1,DAY($A90)&gt;=IFERROR(N(INDEX(Übersicht!$M$15:$M$22,MATCH($B90,Übersicht!$A$15:$A$22,0))),0)),1,0),1))</f>
        <v/>
      </c>
    </row>
    <row r="91">
      <c r="A91" s="92" t="n"/>
      <c r="B91" s="55" t="n"/>
      <c r="C91" s="55" t="n"/>
      <c r="D91" s="55" t="n"/>
      <c r="E91" s="93" t="n"/>
      <c r="F91" s="94" t="n"/>
      <c r="G91" s="94" t="n"/>
      <c r="H91" s="94" t="n"/>
      <c r="I91" s="94" t="n"/>
      <c r="J91" s="55" t="n"/>
      <c r="K91" s="95" t="n"/>
      <c r="L91" s="116">
        <f>IF($A91="","",DATE(YEAR($A91),MONTH($A91)+IF(AND(IFERROR(N(INDEX(Übersicht!$M$15:$M$22,MATCH($B91,Übersicht!$A$15:$A$22,0))),0)&gt;1,DAY($A91)&gt;=IFERROR(N(INDEX(Übersicht!$M$15:$M$22,MATCH($B91,Übersicht!$A$15:$A$22,0))),0)),1,0),1))</f>
        <v/>
      </c>
    </row>
    <row r="92">
      <c r="A92" s="92" t="n"/>
      <c r="B92" s="55" t="n"/>
      <c r="C92" s="55" t="n"/>
      <c r="D92" s="55" t="n"/>
      <c r="E92" s="93" t="n"/>
      <c r="F92" s="94" t="n"/>
      <c r="G92" s="94" t="n"/>
      <c r="H92" s="94" t="n"/>
      <c r="I92" s="94" t="n"/>
      <c r="J92" s="55" t="n"/>
      <c r="K92" s="95" t="n"/>
      <c r="L92" s="116">
        <f>IF($A92="","",DATE(YEAR($A92),MONTH($A92)+IF(AND(IFERROR(N(INDEX(Übersicht!$M$15:$M$22,MATCH($B92,Übersicht!$A$15:$A$22,0))),0)&gt;1,DAY($A92)&gt;=IFERROR(N(INDEX(Übersicht!$M$15:$M$22,MATCH($B92,Übersicht!$A$15:$A$22,0))),0)),1,0),1))</f>
        <v/>
      </c>
    </row>
    <row r="93">
      <c r="A93" s="92" t="n"/>
      <c r="B93" s="55" t="n"/>
      <c r="C93" s="55" t="n"/>
      <c r="D93" s="55" t="n"/>
      <c r="E93" s="93" t="n"/>
      <c r="F93" s="94" t="n"/>
      <c r="G93" s="94" t="n"/>
      <c r="H93" s="94" t="n"/>
      <c r="I93" s="94" t="n"/>
      <c r="J93" s="55" t="n"/>
      <c r="K93" s="95" t="n"/>
      <c r="L93" s="116">
        <f>IF($A93="","",DATE(YEAR($A93),MONTH($A93)+IF(AND(IFERROR(N(INDEX(Übersicht!$M$15:$M$22,MATCH($B93,Übersicht!$A$15:$A$22,0))),0)&gt;1,DAY($A93)&gt;=IFERROR(N(INDEX(Übersicht!$M$15:$M$22,MATCH($B93,Übersicht!$A$15:$A$22,0))),0)),1,0),1))</f>
        <v/>
      </c>
    </row>
    <row r="94">
      <c r="A94" s="92" t="n"/>
      <c r="B94" s="55" t="n"/>
      <c r="C94" s="55" t="n"/>
      <c r="D94" s="55" t="n"/>
      <c r="E94" s="93" t="n"/>
      <c r="F94" s="94" t="n"/>
      <c r="G94" s="94" t="n"/>
      <c r="H94" s="94" t="n"/>
      <c r="I94" s="94" t="n"/>
      <c r="J94" s="55" t="n"/>
      <c r="K94" s="95" t="n"/>
      <c r="L94" s="116">
        <f>IF($A94="","",DATE(YEAR($A94),MONTH($A94)+IF(AND(IFERROR(N(INDEX(Übersicht!$M$15:$M$22,MATCH($B94,Übersicht!$A$15:$A$22,0))),0)&gt;1,DAY($A94)&gt;=IFERROR(N(INDEX(Übersicht!$M$15:$M$22,MATCH($B94,Übersicht!$A$15:$A$22,0))),0)),1,0),1))</f>
        <v/>
      </c>
    </row>
    <row r="95">
      <c r="A95" s="92" t="n"/>
      <c r="B95" s="55" t="n"/>
      <c r="C95" s="55" t="n"/>
      <c r="D95" s="55" t="n"/>
      <c r="E95" s="93" t="n"/>
      <c r="F95" s="94" t="n"/>
      <c r="G95" s="94" t="n"/>
      <c r="H95" s="94" t="n"/>
      <c r="I95" s="94" t="n"/>
      <c r="J95" s="55" t="n"/>
      <c r="K95" s="95" t="n"/>
      <c r="L95" s="116">
        <f>IF($A95="","",DATE(YEAR($A95),MONTH($A95)+IF(AND(IFERROR(N(INDEX(Übersicht!$M$15:$M$22,MATCH($B95,Übersicht!$A$15:$A$22,0))),0)&gt;1,DAY($A95)&gt;=IFERROR(N(INDEX(Übersicht!$M$15:$M$22,MATCH($B95,Übersicht!$A$15:$A$22,0))),0)),1,0),1))</f>
        <v/>
      </c>
    </row>
    <row r="96">
      <c r="A96" s="92" t="n"/>
      <c r="B96" s="55" t="n"/>
      <c r="C96" s="55" t="n"/>
      <c r="D96" s="55" t="n"/>
      <c r="E96" s="93" t="n"/>
      <c r="F96" s="94" t="n"/>
      <c r="G96" s="94" t="n"/>
      <c r="H96" s="94" t="n"/>
      <c r="I96" s="94" t="n"/>
      <c r="J96" s="55" t="n"/>
      <c r="K96" s="95" t="n"/>
      <c r="L96" s="116">
        <f>IF($A96="","",DATE(YEAR($A96),MONTH($A96)+IF(AND(IFERROR(N(INDEX(Übersicht!$M$15:$M$22,MATCH($B96,Übersicht!$A$15:$A$22,0))),0)&gt;1,DAY($A96)&gt;=IFERROR(N(INDEX(Übersicht!$M$15:$M$22,MATCH($B96,Übersicht!$A$15:$A$22,0))),0)),1,0),1))</f>
        <v/>
      </c>
    </row>
    <row r="97">
      <c r="A97" s="92" t="n"/>
      <c r="B97" s="55" t="n"/>
      <c r="C97" s="55" t="n"/>
      <c r="D97" s="55" t="n"/>
      <c r="E97" s="93" t="n"/>
      <c r="F97" s="94" t="n"/>
      <c r="G97" s="94" t="n"/>
      <c r="H97" s="94" t="n"/>
      <c r="I97" s="94" t="n"/>
      <c r="J97" s="55" t="n"/>
      <c r="K97" s="95" t="n"/>
      <c r="L97" s="116">
        <f>IF($A97="","",DATE(YEAR($A97),MONTH($A97)+IF(AND(IFERROR(N(INDEX(Übersicht!$M$15:$M$22,MATCH($B97,Übersicht!$A$15:$A$22,0))),0)&gt;1,DAY($A97)&gt;=IFERROR(N(INDEX(Übersicht!$M$15:$M$22,MATCH($B97,Übersicht!$A$15:$A$22,0))),0)),1,0),1))</f>
        <v/>
      </c>
    </row>
    <row r="98">
      <c r="A98" s="92" t="n"/>
      <c r="B98" s="55" t="n"/>
      <c r="C98" s="55" t="n"/>
      <c r="D98" s="55" t="n"/>
      <c r="E98" s="93" t="n"/>
      <c r="F98" s="94" t="n"/>
      <c r="G98" s="94" t="n"/>
      <c r="H98" s="94" t="n"/>
      <c r="I98" s="94" t="n"/>
      <c r="J98" s="55" t="n"/>
      <c r="K98" s="95" t="n"/>
      <c r="L98" s="116">
        <f>IF($A98="","",DATE(YEAR($A98),MONTH($A98)+IF(AND(IFERROR(N(INDEX(Übersicht!$M$15:$M$22,MATCH($B98,Übersicht!$A$15:$A$22,0))),0)&gt;1,DAY($A98)&gt;=IFERROR(N(INDEX(Übersicht!$M$15:$M$22,MATCH($B98,Übersicht!$A$15:$A$22,0))),0)),1,0),1))</f>
        <v/>
      </c>
    </row>
    <row r="99">
      <c r="A99" s="92" t="n"/>
      <c r="B99" s="55" t="n"/>
      <c r="C99" s="55" t="n"/>
      <c r="D99" s="55" t="n"/>
      <c r="E99" s="93" t="n"/>
      <c r="F99" s="94" t="n"/>
      <c r="G99" s="94" t="n"/>
      <c r="H99" s="94" t="n"/>
      <c r="I99" s="94" t="n"/>
      <c r="J99" s="55" t="n"/>
      <c r="K99" s="95" t="n"/>
      <c r="L99" s="116">
        <f>IF($A99="","",DATE(YEAR($A99),MONTH($A99)+IF(AND(IFERROR(N(INDEX(Übersicht!$M$15:$M$22,MATCH($B99,Übersicht!$A$15:$A$22,0))),0)&gt;1,DAY($A99)&gt;=IFERROR(N(INDEX(Übersicht!$M$15:$M$22,MATCH($B99,Übersicht!$A$15:$A$22,0))),0)),1,0),1))</f>
        <v/>
      </c>
    </row>
    <row r="100">
      <c r="A100" s="92" t="n"/>
      <c r="B100" s="55" t="n"/>
      <c r="C100" s="55" t="n"/>
      <c r="D100" s="55" t="n"/>
      <c r="E100" s="93" t="n"/>
      <c r="F100" s="94" t="n"/>
      <c r="G100" s="94" t="n"/>
      <c r="H100" s="94" t="n"/>
      <c r="I100" s="94" t="n"/>
      <c r="J100" s="55" t="n"/>
      <c r="K100" s="95" t="n"/>
      <c r="L100" s="116">
        <f>IF($A100="","",DATE(YEAR($A100),MONTH($A100)+IF(AND(IFERROR(N(INDEX(Übersicht!$M$15:$M$22,MATCH($B100,Übersicht!$A$15:$A$22,0))),0)&gt;1,DAY($A100)&gt;=IFERROR(N(INDEX(Übersicht!$M$15:$M$22,MATCH($B100,Übersicht!$A$15:$A$22,0))),0)),1,0),1))</f>
        <v/>
      </c>
    </row>
    <row r="101">
      <c r="A101" s="92" t="n"/>
      <c r="B101" s="55" t="n"/>
      <c r="C101" s="55" t="n"/>
      <c r="D101" s="55" t="n"/>
      <c r="E101" s="93" t="n"/>
      <c r="F101" s="94" t="n"/>
      <c r="G101" s="94" t="n"/>
      <c r="H101" s="94" t="n"/>
      <c r="I101" s="94" t="n"/>
      <c r="J101" s="55" t="n"/>
      <c r="K101" s="95" t="n"/>
      <c r="L101" s="116">
        <f>IF($A101="","",DATE(YEAR($A101),MONTH($A101)+IF(AND(IFERROR(N(INDEX(Übersicht!$M$15:$M$22,MATCH($B101,Übersicht!$A$15:$A$22,0))),0)&gt;1,DAY($A101)&gt;=IFERROR(N(INDEX(Übersicht!$M$15:$M$22,MATCH($B101,Übersicht!$A$15:$A$22,0))),0)),1,0),1))</f>
        <v/>
      </c>
    </row>
    <row r="102">
      <c r="A102" s="92" t="n"/>
      <c r="B102" s="55" t="n"/>
      <c r="C102" s="55" t="n"/>
      <c r="D102" s="55" t="n"/>
      <c r="E102" s="93" t="n"/>
      <c r="F102" s="94" t="n"/>
      <c r="G102" s="94" t="n"/>
      <c r="H102" s="94" t="n"/>
      <c r="I102" s="94" t="n"/>
      <c r="J102" s="55" t="n"/>
      <c r="K102" s="95" t="n"/>
      <c r="L102" s="116">
        <f>IF($A102="","",DATE(YEAR($A102),MONTH($A102)+IF(AND(IFERROR(N(INDEX(Übersicht!$M$15:$M$22,MATCH($B102,Übersicht!$A$15:$A$22,0))),0)&gt;1,DAY($A102)&gt;=IFERROR(N(INDEX(Übersicht!$M$15:$M$22,MATCH($B102,Übersicht!$A$15:$A$22,0))),0)),1,0),1))</f>
        <v/>
      </c>
    </row>
    <row r="103">
      <c r="A103" s="92" t="n"/>
      <c r="B103" s="55" t="n"/>
      <c r="C103" s="55" t="n"/>
      <c r="D103" s="55" t="n"/>
      <c r="E103" s="93" t="n"/>
      <c r="F103" s="94" t="n"/>
      <c r="G103" s="94" t="n"/>
      <c r="H103" s="94" t="n"/>
      <c r="I103" s="94" t="n"/>
      <c r="J103" s="55" t="n"/>
      <c r="K103" s="95" t="n"/>
      <c r="L103" s="116">
        <f>IF($A103="","",DATE(YEAR($A103),MONTH($A103)+IF(AND(IFERROR(N(INDEX(Übersicht!$M$15:$M$22,MATCH($B103,Übersicht!$A$15:$A$22,0))),0)&gt;1,DAY($A103)&gt;=IFERROR(N(INDEX(Übersicht!$M$15:$M$22,MATCH($B103,Übersicht!$A$15:$A$22,0))),0)),1,0),1))</f>
        <v/>
      </c>
    </row>
    <row r="104">
      <c r="A104" s="92" t="n"/>
      <c r="B104" s="55" t="n"/>
      <c r="C104" s="55" t="n"/>
      <c r="D104" s="55" t="n"/>
      <c r="E104" s="93" t="n"/>
      <c r="F104" s="94" t="n"/>
      <c r="G104" s="94" t="n"/>
      <c r="H104" s="94" t="n"/>
      <c r="I104" s="94" t="n"/>
      <c r="J104" s="55" t="n"/>
      <c r="K104" s="95" t="n"/>
      <c r="L104" s="116">
        <f>IF($A104="","",DATE(YEAR($A104),MONTH($A104)+IF(AND(IFERROR(N(INDEX(Übersicht!$M$15:$M$22,MATCH($B104,Übersicht!$A$15:$A$22,0))),0)&gt;1,DAY($A104)&gt;=IFERROR(N(INDEX(Übersicht!$M$15:$M$22,MATCH($B104,Übersicht!$A$15:$A$22,0))),0)),1,0),1))</f>
        <v/>
      </c>
    </row>
    <row r="105">
      <c r="A105" s="92" t="n"/>
      <c r="B105" s="55" t="n"/>
      <c r="C105" s="55" t="n"/>
      <c r="D105" s="55" t="n"/>
      <c r="E105" s="93" t="n"/>
      <c r="F105" s="94" t="n"/>
      <c r="G105" s="94" t="n"/>
      <c r="H105" s="94" t="n"/>
      <c r="I105" s="94" t="n"/>
      <c r="J105" s="55" t="n"/>
      <c r="K105" s="95" t="n"/>
      <c r="L105" s="116">
        <f>IF($A105="","",DATE(YEAR($A105),MONTH($A105)+IF(AND(IFERROR(N(INDEX(Übersicht!$M$15:$M$22,MATCH($B105,Übersicht!$A$15:$A$22,0))),0)&gt;1,DAY($A105)&gt;=IFERROR(N(INDEX(Übersicht!$M$15:$M$22,MATCH($B105,Übersicht!$A$15:$A$22,0))),0)),1,0),1))</f>
        <v/>
      </c>
    </row>
    <row r="106">
      <c r="A106" s="92" t="n"/>
      <c r="B106" s="55" t="n"/>
      <c r="C106" s="55" t="n"/>
      <c r="D106" s="55" t="n"/>
      <c r="E106" s="93" t="n"/>
      <c r="F106" s="94" t="n"/>
      <c r="G106" s="94" t="n"/>
      <c r="H106" s="94" t="n"/>
      <c r="I106" s="94" t="n"/>
      <c r="J106" s="55" t="n"/>
      <c r="K106" s="95" t="n"/>
      <c r="L106" s="116">
        <f>IF($A106="","",DATE(YEAR($A106),MONTH($A106)+IF(AND(IFERROR(N(INDEX(Übersicht!$M$15:$M$22,MATCH($B106,Übersicht!$A$15:$A$22,0))),0)&gt;1,DAY($A106)&gt;=IFERROR(N(INDEX(Übersicht!$M$15:$M$22,MATCH($B106,Übersicht!$A$15:$A$22,0))),0)),1,0),1))</f>
        <v/>
      </c>
    </row>
    <row r="107">
      <c r="A107" s="92" t="n"/>
      <c r="B107" s="55" t="n"/>
      <c r="C107" s="55" t="n"/>
      <c r="D107" s="55" t="n"/>
      <c r="E107" s="93" t="n"/>
      <c r="F107" s="94" t="n"/>
      <c r="G107" s="94" t="n"/>
      <c r="H107" s="94" t="n"/>
      <c r="I107" s="94" t="n"/>
      <c r="J107" s="55" t="n"/>
      <c r="K107" s="95" t="n"/>
      <c r="L107" s="116">
        <f>IF($A107="","",DATE(YEAR($A107),MONTH($A107)+IF(AND(IFERROR(N(INDEX(Übersicht!$M$15:$M$22,MATCH($B107,Übersicht!$A$15:$A$22,0))),0)&gt;1,DAY($A107)&gt;=IFERROR(N(INDEX(Übersicht!$M$15:$M$22,MATCH($B107,Übersicht!$A$15:$A$22,0))),0)),1,0),1))</f>
        <v/>
      </c>
    </row>
    <row r="108">
      <c r="A108" s="92" t="n"/>
      <c r="B108" s="55" t="n"/>
      <c r="C108" s="55" t="n"/>
      <c r="D108" s="55" t="n"/>
      <c r="E108" s="93" t="n"/>
      <c r="F108" s="94" t="n"/>
      <c r="G108" s="94" t="n"/>
      <c r="H108" s="94" t="n"/>
      <c r="I108" s="94" t="n"/>
      <c r="J108" s="55" t="n"/>
      <c r="K108" s="95" t="n"/>
      <c r="L108" s="116">
        <f>IF($A108="","",DATE(YEAR($A108),MONTH($A108)+IF(AND(IFERROR(N(INDEX(Übersicht!$M$15:$M$22,MATCH($B108,Übersicht!$A$15:$A$22,0))),0)&gt;1,DAY($A108)&gt;=IFERROR(N(INDEX(Übersicht!$M$15:$M$22,MATCH($B108,Übersicht!$A$15:$A$22,0))),0)),1,0),1))</f>
        <v/>
      </c>
    </row>
    <row r="109">
      <c r="A109" s="92" t="n"/>
      <c r="B109" s="55" t="n"/>
      <c r="C109" s="55" t="n"/>
      <c r="D109" s="55" t="n"/>
      <c r="E109" s="93" t="n"/>
      <c r="F109" s="94" t="n"/>
      <c r="G109" s="94" t="n"/>
      <c r="H109" s="94" t="n"/>
      <c r="I109" s="94" t="n"/>
      <c r="J109" s="55" t="n"/>
      <c r="K109" s="95" t="n"/>
      <c r="L109" s="116">
        <f>IF($A109="","",DATE(YEAR($A109),MONTH($A109)+IF(AND(IFERROR(N(INDEX(Übersicht!$M$15:$M$22,MATCH($B109,Übersicht!$A$15:$A$22,0))),0)&gt;1,DAY($A109)&gt;=IFERROR(N(INDEX(Übersicht!$M$15:$M$22,MATCH($B109,Übersicht!$A$15:$A$22,0))),0)),1,0),1))</f>
        <v/>
      </c>
    </row>
    <row r="110">
      <c r="A110" s="92" t="n"/>
      <c r="B110" s="55" t="n"/>
      <c r="C110" s="55" t="n"/>
      <c r="D110" s="55" t="n"/>
      <c r="E110" s="93" t="n"/>
      <c r="F110" s="94" t="n"/>
      <c r="G110" s="94" t="n"/>
      <c r="H110" s="94" t="n"/>
      <c r="I110" s="94" t="n"/>
      <c r="J110" s="55" t="n"/>
      <c r="K110" s="95" t="n"/>
      <c r="L110" s="116">
        <f>IF($A110="","",DATE(YEAR($A110),MONTH($A110)+IF(AND(IFERROR(N(INDEX(Übersicht!$M$15:$M$22,MATCH($B110,Übersicht!$A$15:$A$22,0))),0)&gt;1,DAY($A110)&gt;=IFERROR(N(INDEX(Übersicht!$M$15:$M$22,MATCH($B110,Übersicht!$A$15:$A$22,0))),0)),1,0),1))</f>
        <v/>
      </c>
    </row>
    <row r="111">
      <c r="A111" s="92" t="n"/>
      <c r="B111" s="55" t="n"/>
      <c r="C111" s="55" t="n"/>
      <c r="D111" s="55" t="n"/>
      <c r="E111" s="93" t="n"/>
      <c r="F111" s="94" t="n"/>
      <c r="G111" s="94" t="n"/>
      <c r="H111" s="94" t="n"/>
      <c r="I111" s="94" t="n"/>
      <c r="J111" s="55" t="n"/>
      <c r="K111" s="95" t="n"/>
      <c r="L111" s="116">
        <f>IF($A111="","",DATE(YEAR($A111),MONTH($A111)+IF(AND(IFERROR(N(INDEX(Übersicht!$M$15:$M$22,MATCH($B111,Übersicht!$A$15:$A$22,0))),0)&gt;1,DAY($A111)&gt;=IFERROR(N(INDEX(Übersicht!$M$15:$M$22,MATCH($B111,Übersicht!$A$15:$A$22,0))),0)),1,0),1))</f>
        <v/>
      </c>
    </row>
    <row r="112">
      <c r="A112" s="92" t="n"/>
      <c r="B112" s="55" t="n"/>
      <c r="C112" s="55" t="n"/>
      <c r="D112" s="55" t="n"/>
      <c r="E112" s="93" t="n"/>
      <c r="F112" s="94" t="n"/>
      <c r="G112" s="94" t="n"/>
      <c r="H112" s="94" t="n"/>
      <c r="I112" s="94" t="n"/>
      <c r="J112" s="55" t="n"/>
      <c r="K112" s="95" t="n"/>
      <c r="L112" s="116">
        <f>IF($A112="","",DATE(YEAR($A112),MONTH($A112)+IF(AND(IFERROR(N(INDEX(Übersicht!$M$15:$M$22,MATCH($B112,Übersicht!$A$15:$A$22,0))),0)&gt;1,DAY($A112)&gt;=IFERROR(N(INDEX(Übersicht!$M$15:$M$22,MATCH($B112,Übersicht!$A$15:$A$22,0))),0)),1,0),1))</f>
        <v/>
      </c>
    </row>
    <row r="113">
      <c r="A113" s="92" t="n"/>
      <c r="B113" s="55" t="n"/>
      <c r="C113" s="55" t="n"/>
      <c r="D113" s="55" t="n"/>
      <c r="E113" s="93" t="n"/>
      <c r="F113" s="94" t="n"/>
      <c r="G113" s="94" t="n"/>
      <c r="H113" s="94" t="n"/>
      <c r="I113" s="94" t="n"/>
      <c r="J113" s="55" t="n"/>
      <c r="K113" s="95" t="n"/>
      <c r="L113" s="116">
        <f>IF($A113="","",DATE(YEAR($A113),MONTH($A113)+IF(AND(IFERROR(N(INDEX(Übersicht!$M$15:$M$22,MATCH($B113,Übersicht!$A$15:$A$22,0))),0)&gt;1,DAY($A113)&gt;=IFERROR(N(INDEX(Übersicht!$M$15:$M$22,MATCH($B113,Übersicht!$A$15:$A$22,0))),0)),1,0),1))</f>
        <v/>
      </c>
    </row>
    <row r="114">
      <c r="A114" s="92" t="n"/>
      <c r="B114" s="55" t="n"/>
      <c r="C114" s="55" t="n"/>
      <c r="D114" s="55" t="n"/>
      <c r="E114" s="93" t="n"/>
      <c r="F114" s="94" t="n"/>
      <c r="G114" s="94" t="n"/>
      <c r="H114" s="94" t="n"/>
      <c r="I114" s="94" t="n"/>
      <c r="J114" s="55" t="n"/>
      <c r="K114" s="95" t="n"/>
      <c r="L114" s="116">
        <f>IF($A114="","",DATE(YEAR($A114),MONTH($A114)+IF(AND(IFERROR(N(INDEX(Übersicht!$M$15:$M$22,MATCH($B114,Übersicht!$A$15:$A$22,0))),0)&gt;1,DAY($A114)&gt;=IFERROR(N(INDEX(Übersicht!$M$15:$M$22,MATCH($B114,Übersicht!$A$15:$A$22,0))),0)),1,0),1))</f>
        <v/>
      </c>
    </row>
    <row r="115">
      <c r="A115" s="92" t="n"/>
      <c r="B115" s="55" t="n"/>
      <c r="C115" s="55" t="n"/>
      <c r="D115" s="55" t="n"/>
      <c r="E115" s="93" t="n"/>
      <c r="F115" s="94" t="n"/>
      <c r="G115" s="94" t="n"/>
      <c r="H115" s="94" t="n"/>
      <c r="I115" s="94" t="n"/>
      <c r="J115" s="55" t="n"/>
      <c r="K115" s="95" t="n"/>
      <c r="L115" s="116">
        <f>IF($A115="","",DATE(YEAR($A115),MONTH($A115)+IF(AND(IFERROR(N(INDEX(Übersicht!$M$15:$M$22,MATCH($B115,Übersicht!$A$15:$A$22,0))),0)&gt;1,DAY($A115)&gt;=IFERROR(N(INDEX(Übersicht!$M$15:$M$22,MATCH($B115,Übersicht!$A$15:$A$22,0))),0)),1,0),1))</f>
        <v/>
      </c>
    </row>
    <row r="116">
      <c r="A116" s="92" t="n"/>
      <c r="B116" s="55" t="n"/>
      <c r="C116" s="55" t="n"/>
      <c r="D116" s="55" t="n"/>
      <c r="E116" s="93" t="n"/>
      <c r="F116" s="94" t="n"/>
      <c r="G116" s="94" t="n"/>
      <c r="H116" s="94" t="n"/>
      <c r="I116" s="94" t="n"/>
      <c r="J116" s="55" t="n"/>
      <c r="K116" s="95" t="n"/>
      <c r="L116" s="116">
        <f>IF($A116="","",DATE(YEAR($A116),MONTH($A116)+IF(AND(IFERROR(N(INDEX(Übersicht!$M$15:$M$22,MATCH($B116,Übersicht!$A$15:$A$22,0))),0)&gt;1,DAY($A116)&gt;=IFERROR(N(INDEX(Übersicht!$M$15:$M$22,MATCH($B116,Übersicht!$A$15:$A$22,0))),0)),1,0),1))</f>
        <v/>
      </c>
    </row>
    <row r="117">
      <c r="A117" s="92" t="n"/>
      <c r="B117" s="55" t="n"/>
      <c r="C117" s="55" t="n"/>
      <c r="D117" s="55" t="n"/>
      <c r="E117" s="93" t="n"/>
      <c r="F117" s="94" t="n"/>
      <c r="G117" s="94" t="n"/>
      <c r="H117" s="94" t="n"/>
      <c r="I117" s="94" t="n"/>
      <c r="J117" s="55" t="n"/>
      <c r="K117" s="95" t="n"/>
      <c r="L117" s="116">
        <f>IF($A117="","",DATE(YEAR($A117),MONTH($A117)+IF(AND(IFERROR(N(INDEX(Übersicht!$M$15:$M$22,MATCH($B117,Übersicht!$A$15:$A$22,0))),0)&gt;1,DAY($A117)&gt;=IFERROR(N(INDEX(Übersicht!$M$15:$M$22,MATCH($B117,Übersicht!$A$15:$A$22,0))),0)),1,0),1))</f>
        <v/>
      </c>
    </row>
    <row r="118">
      <c r="A118" s="92" t="n"/>
      <c r="B118" s="55" t="n"/>
      <c r="C118" s="55" t="n"/>
      <c r="D118" s="55" t="n"/>
      <c r="E118" s="93" t="n"/>
      <c r="F118" s="94" t="n"/>
      <c r="G118" s="94" t="n"/>
      <c r="H118" s="94" t="n"/>
      <c r="I118" s="94" t="n"/>
      <c r="J118" s="55" t="n"/>
      <c r="K118" s="95" t="n"/>
      <c r="L118" s="116">
        <f>IF($A118="","",DATE(YEAR($A118),MONTH($A118)+IF(AND(IFERROR(N(INDEX(Übersicht!$M$15:$M$22,MATCH($B118,Übersicht!$A$15:$A$22,0))),0)&gt;1,DAY($A118)&gt;=IFERROR(N(INDEX(Übersicht!$M$15:$M$22,MATCH($B118,Übersicht!$A$15:$A$22,0))),0)),1,0),1))</f>
        <v/>
      </c>
    </row>
    <row r="119">
      <c r="A119" s="92" t="n"/>
      <c r="B119" s="55" t="n"/>
      <c r="C119" s="55" t="n"/>
      <c r="D119" s="55" t="n"/>
      <c r="E119" s="93" t="n"/>
      <c r="F119" s="94" t="n"/>
      <c r="G119" s="94" t="n"/>
      <c r="H119" s="94" t="n"/>
      <c r="I119" s="94" t="n"/>
      <c r="J119" s="55" t="n"/>
      <c r="K119" s="95" t="n"/>
      <c r="L119" s="116">
        <f>IF($A119="","",DATE(YEAR($A119),MONTH($A119)+IF(AND(IFERROR(N(INDEX(Übersicht!$M$15:$M$22,MATCH($B119,Übersicht!$A$15:$A$22,0))),0)&gt;1,DAY($A119)&gt;=IFERROR(N(INDEX(Übersicht!$M$15:$M$22,MATCH($B119,Übersicht!$A$15:$A$22,0))),0)),1,0),1))</f>
        <v/>
      </c>
    </row>
    <row r="120">
      <c r="A120" s="92" t="n"/>
      <c r="B120" s="55" t="n"/>
      <c r="C120" s="55" t="n"/>
      <c r="D120" s="55" t="n"/>
      <c r="E120" s="93" t="n"/>
      <c r="F120" s="94" t="n"/>
      <c r="G120" s="94" t="n"/>
      <c r="H120" s="94" t="n"/>
      <c r="I120" s="94" t="n"/>
      <c r="J120" s="55" t="n"/>
      <c r="K120" s="95" t="n"/>
      <c r="L120" s="116">
        <f>IF($A120="","",DATE(YEAR($A120),MONTH($A120)+IF(AND(IFERROR(N(INDEX(Übersicht!$M$15:$M$22,MATCH($B120,Übersicht!$A$15:$A$22,0))),0)&gt;1,DAY($A120)&gt;=IFERROR(N(INDEX(Übersicht!$M$15:$M$22,MATCH($B120,Übersicht!$A$15:$A$22,0))),0)),1,0),1))</f>
        <v/>
      </c>
    </row>
    <row r="121">
      <c r="A121" s="92" t="n"/>
      <c r="B121" s="55" t="n"/>
      <c r="C121" s="55" t="n"/>
      <c r="D121" s="55" t="n"/>
      <c r="E121" s="93" t="n"/>
      <c r="F121" s="94" t="n"/>
      <c r="G121" s="94" t="n"/>
      <c r="H121" s="94" t="n"/>
      <c r="I121" s="94" t="n"/>
      <c r="J121" s="55" t="n"/>
      <c r="K121" s="95" t="n"/>
      <c r="L121" s="116">
        <f>IF($A121="","",DATE(YEAR($A121),MONTH($A121)+IF(AND(IFERROR(N(INDEX(Übersicht!$M$15:$M$22,MATCH($B121,Übersicht!$A$15:$A$22,0))),0)&gt;1,DAY($A121)&gt;=IFERROR(N(INDEX(Übersicht!$M$15:$M$22,MATCH($B121,Übersicht!$A$15:$A$22,0))),0)),1,0),1))</f>
        <v/>
      </c>
    </row>
    <row r="122">
      <c r="A122" s="92" t="n"/>
      <c r="B122" s="55" t="n"/>
      <c r="C122" s="55" t="n"/>
      <c r="D122" s="55" t="n"/>
      <c r="E122" s="93" t="n"/>
      <c r="F122" s="94" t="n"/>
      <c r="G122" s="94" t="n"/>
      <c r="H122" s="94" t="n"/>
      <c r="I122" s="94" t="n"/>
      <c r="J122" s="55" t="n"/>
      <c r="K122" s="95" t="n"/>
      <c r="L122" s="116">
        <f>IF($A122="","",DATE(YEAR($A122),MONTH($A122)+IF(AND(IFERROR(N(INDEX(Übersicht!$M$15:$M$22,MATCH($B122,Übersicht!$A$15:$A$22,0))),0)&gt;1,DAY($A122)&gt;=IFERROR(N(INDEX(Übersicht!$M$15:$M$22,MATCH($B122,Übersicht!$A$15:$A$22,0))),0)),1,0),1))</f>
        <v/>
      </c>
    </row>
    <row r="123">
      <c r="A123" s="92" t="n"/>
      <c r="B123" s="55" t="n"/>
      <c r="C123" s="55" t="n"/>
      <c r="D123" s="55" t="n"/>
      <c r="E123" s="93" t="n"/>
      <c r="F123" s="94" t="n"/>
      <c r="G123" s="94" t="n"/>
      <c r="H123" s="94" t="n"/>
      <c r="I123" s="94" t="n"/>
      <c r="J123" s="55" t="n"/>
      <c r="K123" s="95" t="n"/>
      <c r="L123" s="116">
        <f>IF($A123="","",DATE(YEAR($A123),MONTH($A123)+IF(AND(IFERROR(N(INDEX(Übersicht!$M$15:$M$22,MATCH($B123,Übersicht!$A$15:$A$22,0))),0)&gt;1,DAY($A123)&gt;=IFERROR(N(INDEX(Übersicht!$M$15:$M$22,MATCH($B123,Übersicht!$A$15:$A$22,0))),0)),1,0),1))</f>
        <v/>
      </c>
    </row>
    <row r="124">
      <c r="A124" s="92" t="n"/>
      <c r="B124" s="55" t="n"/>
      <c r="C124" s="55" t="n"/>
      <c r="D124" s="55" t="n"/>
      <c r="E124" s="93" t="n"/>
      <c r="F124" s="94" t="n"/>
      <c r="G124" s="94" t="n"/>
      <c r="H124" s="94" t="n"/>
      <c r="I124" s="94" t="n"/>
      <c r="J124" s="55" t="n"/>
      <c r="K124" s="95" t="n"/>
      <c r="L124" s="116">
        <f>IF($A124="","",DATE(YEAR($A124),MONTH($A124)+IF(AND(IFERROR(N(INDEX(Übersicht!$M$15:$M$22,MATCH($B124,Übersicht!$A$15:$A$22,0))),0)&gt;1,DAY($A124)&gt;=IFERROR(N(INDEX(Übersicht!$M$15:$M$22,MATCH($B124,Übersicht!$A$15:$A$22,0))),0)),1,0),1))</f>
        <v/>
      </c>
    </row>
    <row r="125">
      <c r="A125" s="92" t="n"/>
      <c r="B125" s="55" t="n"/>
      <c r="C125" s="55" t="n"/>
      <c r="D125" s="55" t="n"/>
      <c r="E125" s="93" t="n"/>
      <c r="F125" s="94" t="n"/>
      <c r="G125" s="94" t="n"/>
      <c r="H125" s="94" t="n"/>
      <c r="I125" s="94" t="n"/>
      <c r="J125" s="55" t="n"/>
      <c r="K125" s="95" t="n"/>
      <c r="L125" s="116">
        <f>IF($A125="","",DATE(YEAR($A125),MONTH($A125)+IF(AND(IFERROR(N(INDEX(Übersicht!$M$15:$M$22,MATCH($B125,Übersicht!$A$15:$A$22,0))),0)&gt;1,DAY($A125)&gt;=IFERROR(N(INDEX(Übersicht!$M$15:$M$22,MATCH($B125,Übersicht!$A$15:$A$22,0))),0)),1,0),1))</f>
        <v/>
      </c>
    </row>
    <row r="126">
      <c r="A126" s="92" t="n"/>
      <c r="B126" s="55" t="n"/>
      <c r="C126" s="55" t="n"/>
      <c r="D126" s="55" t="n"/>
      <c r="E126" s="93" t="n"/>
      <c r="F126" s="94" t="n"/>
      <c r="G126" s="94" t="n"/>
      <c r="H126" s="94" t="n"/>
      <c r="I126" s="94" t="n"/>
      <c r="J126" s="55" t="n"/>
      <c r="K126" s="95" t="n"/>
      <c r="L126" s="116">
        <f>IF($A126="","",DATE(YEAR($A126),MONTH($A126)+IF(AND(IFERROR(N(INDEX(Übersicht!$M$15:$M$22,MATCH($B126,Übersicht!$A$15:$A$22,0))),0)&gt;1,DAY($A126)&gt;=IFERROR(N(INDEX(Übersicht!$M$15:$M$22,MATCH($B126,Übersicht!$A$15:$A$22,0))),0)),1,0),1))</f>
        <v/>
      </c>
    </row>
    <row r="127">
      <c r="A127" s="92" t="n"/>
      <c r="B127" s="55" t="n"/>
      <c r="C127" s="55" t="n"/>
      <c r="D127" s="55" t="n"/>
      <c r="E127" s="93" t="n"/>
      <c r="F127" s="94" t="n"/>
      <c r="G127" s="94" t="n"/>
      <c r="H127" s="94" t="n"/>
      <c r="I127" s="94" t="n"/>
      <c r="J127" s="55" t="n"/>
      <c r="K127" s="95" t="n"/>
      <c r="L127" s="116">
        <f>IF($A127="","",DATE(YEAR($A127),MONTH($A127)+IF(AND(IFERROR(N(INDEX(Übersicht!$M$15:$M$22,MATCH($B127,Übersicht!$A$15:$A$22,0))),0)&gt;1,DAY($A127)&gt;=IFERROR(N(INDEX(Übersicht!$M$15:$M$22,MATCH($B127,Übersicht!$A$15:$A$22,0))),0)),1,0),1))</f>
        <v/>
      </c>
    </row>
    <row r="128">
      <c r="A128" s="92" t="n"/>
      <c r="B128" s="55" t="n"/>
      <c r="C128" s="55" t="n"/>
      <c r="D128" s="55" t="n"/>
      <c r="E128" s="93" t="n"/>
      <c r="F128" s="94" t="n"/>
      <c r="G128" s="94" t="n"/>
      <c r="H128" s="94" t="n"/>
      <c r="I128" s="94" t="n"/>
      <c r="J128" s="55" t="n"/>
      <c r="K128" s="95" t="n"/>
      <c r="L128" s="116">
        <f>IF($A128="","",DATE(YEAR($A128),MONTH($A128)+IF(AND(IFERROR(N(INDEX(Übersicht!$M$15:$M$22,MATCH($B128,Übersicht!$A$15:$A$22,0))),0)&gt;1,DAY($A128)&gt;=IFERROR(N(INDEX(Übersicht!$M$15:$M$22,MATCH($B128,Übersicht!$A$15:$A$22,0))),0)),1,0),1))</f>
        <v/>
      </c>
    </row>
    <row r="129">
      <c r="A129" s="92" t="n"/>
      <c r="B129" s="55" t="n"/>
      <c r="C129" s="55" t="n"/>
      <c r="D129" s="55" t="n"/>
      <c r="E129" s="93" t="n"/>
      <c r="F129" s="94" t="n"/>
      <c r="G129" s="94" t="n"/>
      <c r="H129" s="94" t="n"/>
      <c r="I129" s="94" t="n"/>
      <c r="J129" s="55" t="n"/>
      <c r="K129" s="95" t="n"/>
      <c r="L129" s="116">
        <f>IF($A129="","",DATE(YEAR($A129),MONTH($A129)+IF(AND(IFERROR(N(INDEX(Übersicht!$M$15:$M$22,MATCH($B129,Übersicht!$A$15:$A$22,0))),0)&gt;1,DAY($A129)&gt;=IFERROR(N(INDEX(Übersicht!$M$15:$M$22,MATCH($B129,Übersicht!$A$15:$A$22,0))),0)),1,0),1))</f>
        <v/>
      </c>
    </row>
    <row r="130">
      <c r="A130" s="92" t="n"/>
      <c r="B130" s="55" t="n"/>
      <c r="C130" s="55" t="n"/>
      <c r="D130" s="55" t="n"/>
      <c r="E130" s="93" t="n"/>
      <c r="F130" s="94" t="n"/>
      <c r="G130" s="94" t="n"/>
      <c r="H130" s="94" t="n"/>
      <c r="I130" s="94" t="n"/>
      <c r="J130" s="55" t="n"/>
      <c r="K130" s="95" t="n"/>
      <c r="L130" s="116">
        <f>IF($A130="","",DATE(YEAR($A130),MONTH($A130)+IF(AND(IFERROR(N(INDEX(Übersicht!$M$15:$M$22,MATCH($B130,Übersicht!$A$15:$A$22,0))),0)&gt;1,DAY($A130)&gt;=IFERROR(N(INDEX(Übersicht!$M$15:$M$22,MATCH($B130,Übersicht!$A$15:$A$22,0))),0)),1,0),1))</f>
        <v/>
      </c>
    </row>
    <row r="131">
      <c r="A131" s="92" t="n"/>
      <c r="B131" s="55" t="n"/>
      <c r="C131" s="55" t="n"/>
      <c r="D131" s="55" t="n"/>
      <c r="E131" s="93" t="n"/>
      <c r="F131" s="94" t="n"/>
      <c r="G131" s="94" t="n"/>
      <c r="H131" s="94" t="n"/>
      <c r="I131" s="94" t="n"/>
      <c r="J131" s="55" t="n"/>
      <c r="K131" s="95" t="n"/>
      <c r="L131" s="116">
        <f>IF($A131="","",DATE(YEAR($A131),MONTH($A131)+IF(AND(IFERROR(N(INDEX(Übersicht!$M$15:$M$22,MATCH($B131,Übersicht!$A$15:$A$22,0))),0)&gt;1,DAY($A131)&gt;=IFERROR(N(INDEX(Übersicht!$M$15:$M$22,MATCH($B131,Übersicht!$A$15:$A$22,0))),0)),1,0),1))</f>
        <v/>
      </c>
    </row>
    <row r="132">
      <c r="A132" s="92" t="n"/>
      <c r="B132" s="55" t="n"/>
      <c r="C132" s="55" t="n"/>
      <c r="D132" s="55" t="n"/>
      <c r="E132" s="93" t="n"/>
      <c r="F132" s="94" t="n"/>
      <c r="G132" s="94" t="n"/>
      <c r="H132" s="94" t="n"/>
      <c r="I132" s="94" t="n"/>
      <c r="J132" s="55" t="n"/>
      <c r="K132" s="95" t="n"/>
      <c r="L132" s="116">
        <f>IF($A132="","",DATE(YEAR($A132),MONTH($A132)+IF(AND(IFERROR(N(INDEX(Übersicht!$M$15:$M$22,MATCH($B132,Übersicht!$A$15:$A$22,0))),0)&gt;1,DAY($A132)&gt;=IFERROR(N(INDEX(Übersicht!$M$15:$M$22,MATCH($B132,Übersicht!$A$15:$A$22,0))),0)),1,0),1))</f>
        <v/>
      </c>
    </row>
    <row r="133">
      <c r="A133" s="92" t="n"/>
      <c r="B133" s="55" t="n"/>
      <c r="C133" s="55" t="n"/>
      <c r="D133" s="55" t="n"/>
      <c r="E133" s="93" t="n"/>
      <c r="F133" s="94" t="n"/>
      <c r="G133" s="94" t="n"/>
      <c r="H133" s="94" t="n"/>
      <c r="I133" s="94" t="n"/>
      <c r="J133" s="55" t="n"/>
      <c r="K133" s="95" t="n"/>
      <c r="L133" s="116">
        <f>IF($A133="","",DATE(YEAR($A133),MONTH($A133)+IF(AND(IFERROR(N(INDEX(Übersicht!$M$15:$M$22,MATCH($B133,Übersicht!$A$15:$A$22,0))),0)&gt;1,DAY($A133)&gt;=IFERROR(N(INDEX(Übersicht!$M$15:$M$22,MATCH($B133,Übersicht!$A$15:$A$22,0))),0)),1,0),1))</f>
        <v/>
      </c>
    </row>
    <row r="134">
      <c r="A134" s="92" t="n"/>
      <c r="B134" s="55" t="n"/>
      <c r="C134" s="55" t="n"/>
      <c r="D134" s="55" t="n"/>
      <c r="E134" s="93" t="n"/>
      <c r="F134" s="94" t="n"/>
      <c r="G134" s="94" t="n"/>
      <c r="H134" s="94" t="n"/>
      <c r="I134" s="94" t="n"/>
      <c r="J134" s="55" t="n"/>
      <c r="K134" s="95" t="n"/>
      <c r="L134" s="116">
        <f>IF($A134="","",DATE(YEAR($A134),MONTH($A134)+IF(AND(IFERROR(N(INDEX(Übersicht!$M$15:$M$22,MATCH($B134,Übersicht!$A$15:$A$22,0))),0)&gt;1,DAY($A134)&gt;=IFERROR(N(INDEX(Übersicht!$M$15:$M$22,MATCH($B134,Übersicht!$A$15:$A$22,0))),0)),1,0),1))</f>
        <v/>
      </c>
    </row>
    <row r="135">
      <c r="A135" s="92" t="n"/>
      <c r="B135" s="55" t="n"/>
      <c r="C135" s="55" t="n"/>
      <c r="D135" s="55" t="n"/>
      <c r="E135" s="93" t="n"/>
      <c r="F135" s="94" t="n"/>
      <c r="G135" s="94" t="n"/>
      <c r="H135" s="94" t="n"/>
      <c r="I135" s="94" t="n"/>
      <c r="J135" s="55" t="n"/>
      <c r="K135" s="95" t="n"/>
      <c r="L135" s="116">
        <f>IF($A135="","",DATE(YEAR($A135),MONTH($A135)+IF(AND(IFERROR(N(INDEX(Übersicht!$M$15:$M$22,MATCH($B135,Übersicht!$A$15:$A$22,0))),0)&gt;1,DAY($A135)&gt;=IFERROR(N(INDEX(Übersicht!$M$15:$M$22,MATCH($B135,Übersicht!$A$15:$A$22,0))),0)),1,0),1))</f>
        <v/>
      </c>
    </row>
    <row r="136">
      <c r="A136" s="92" t="n"/>
      <c r="B136" s="55" t="n"/>
      <c r="C136" s="55" t="n"/>
      <c r="D136" s="55" t="n"/>
      <c r="E136" s="93" t="n"/>
      <c r="F136" s="94" t="n"/>
      <c r="G136" s="94" t="n"/>
      <c r="H136" s="94" t="n"/>
      <c r="I136" s="94" t="n"/>
      <c r="J136" s="55" t="n"/>
      <c r="K136" s="95" t="n"/>
      <c r="L136" s="116">
        <f>IF($A136="","",DATE(YEAR($A136),MONTH($A136)+IF(AND(IFERROR(N(INDEX(Übersicht!$M$15:$M$22,MATCH($B136,Übersicht!$A$15:$A$22,0))),0)&gt;1,DAY($A136)&gt;=IFERROR(N(INDEX(Übersicht!$M$15:$M$22,MATCH($B136,Übersicht!$A$15:$A$22,0))),0)),1,0),1))</f>
        <v/>
      </c>
    </row>
    <row r="137">
      <c r="A137" s="92" t="n"/>
      <c r="B137" s="55" t="n"/>
      <c r="C137" s="55" t="n"/>
      <c r="D137" s="55" t="n"/>
      <c r="E137" s="93" t="n"/>
      <c r="F137" s="94" t="n"/>
      <c r="G137" s="94" t="n"/>
      <c r="H137" s="94" t="n"/>
      <c r="I137" s="94" t="n"/>
      <c r="J137" s="55" t="n"/>
      <c r="K137" s="95" t="n"/>
      <c r="L137" s="116">
        <f>IF($A137="","",DATE(YEAR($A137),MONTH($A137)+IF(AND(IFERROR(N(INDEX(Übersicht!$M$15:$M$22,MATCH($B137,Übersicht!$A$15:$A$22,0))),0)&gt;1,DAY($A137)&gt;=IFERROR(N(INDEX(Übersicht!$M$15:$M$22,MATCH($B137,Übersicht!$A$15:$A$22,0))),0)),1,0),1))</f>
        <v/>
      </c>
    </row>
    <row r="138">
      <c r="A138" s="92" t="n"/>
      <c r="B138" s="55" t="n"/>
      <c r="C138" s="55" t="n"/>
      <c r="D138" s="55" t="n"/>
      <c r="E138" s="93" t="n"/>
      <c r="F138" s="94" t="n"/>
      <c r="G138" s="94" t="n"/>
      <c r="H138" s="94" t="n"/>
      <c r="I138" s="94" t="n"/>
      <c r="J138" s="55" t="n"/>
      <c r="K138" s="95" t="n"/>
      <c r="L138" s="116">
        <f>IF($A138="","",DATE(YEAR($A138),MONTH($A138)+IF(AND(IFERROR(N(INDEX(Übersicht!$M$15:$M$22,MATCH($B138,Übersicht!$A$15:$A$22,0))),0)&gt;1,DAY($A138)&gt;=IFERROR(N(INDEX(Übersicht!$M$15:$M$22,MATCH($B138,Übersicht!$A$15:$A$22,0))),0)),1,0),1))</f>
        <v/>
      </c>
    </row>
    <row r="139">
      <c r="A139" s="92" t="n"/>
      <c r="B139" s="55" t="n"/>
      <c r="C139" s="55" t="n"/>
      <c r="D139" s="55" t="n"/>
      <c r="E139" s="93" t="n"/>
      <c r="F139" s="94" t="n"/>
      <c r="G139" s="94" t="n"/>
      <c r="H139" s="94" t="n"/>
      <c r="I139" s="94" t="n"/>
      <c r="J139" s="55" t="n"/>
      <c r="K139" s="95" t="n"/>
      <c r="L139" s="116">
        <f>IF($A139="","",DATE(YEAR($A139),MONTH($A139)+IF(AND(IFERROR(N(INDEX(Übersicht!$M$15:$M$22,MATCH($B139,Übersicht!$A$15:$A$22,0))),0)&gt;1,DAY($A139)&gt;=IFERROR(N(INDEX(Übersicht!$M$15:$M$22,MATCH($B139,Übersicht!$A$15:$A$22,0))),0)),1,0),1))</f>
        <v/>
      </c>
    </row>
    <row r="140">
      <c r="A140" s="92" t="n"/>
      <c r="B140" s="55" t="n"/>
      <c r="C140" s="55" t="n"/>
      <c r="D140" s="55" t="n"/>
      <c r="E140" s="93" t="n"/>
      <c r="F140" s="94" t="n"/>
      <c r="G140" s="94" t="n"/>
      <c r="H140" s="94" t="n"/>
      <c r="I140" s="94" t="n"/>
      <c r="J140" s="55" t="n"/>
      <c r="K140" s="95" t="n"/>
      <c r="L140" s="116">
        <f>IF($A140="","",DATE(YEAR($A140),MONTH($A140)+IF(AND(IFERROR(N(INDEX(Übersicht!$M$15:$M$22,MATCH($B140,Übersicht!$A$15:$A$22,0))),0)&gt;1,DAY($A140)&gt;=IFERROR(N(INDEX(Übersicht!$M$15:$M$22,MATCH($B140,Übersicht!$A$15:$A$22,0))),0)),1,0),1))</f>
        <v/>
      </c>
    </row>
    <row r="141">
      <c r="A141" s="92" t="n"/>
      <c r="B141" s="55" t="n"/>
      <c r="C141" s="55" t="n"/>
      <c r="D141" s="55" t="n"/>
      <c r="E141" s="93" t="n"/>
      <c r="F141" s="94" t="n"/>
      <c r="G141" s="94" t="n"/>
      <c r="H141" s="94" t="n"/>
      <c r="I141" s="94" t="n"/>
      <c r="J141" s="55" t="n"/>
      <c r="K141" s="95" t="n"/>
      <c r="L141" s="116">
        <f>IF($A141="","",DATE(YEAR($A141),MONTH($A141)+IF(AND(IFERROR(N(INDEX(Übersicht!$M$15:$M$22,MATCH($B141,Übersicht!$A$15:$A$22,0))),0)&gt;1,DAY($A141)&gt;=IFERROR(N(INDEX(Übersicht!$M$15:$M$22,MATCH($B141,Übersicht!$A$15:$A$22,0))),0)),1,0),1))</f>
        <v/>
      </c>
    </row>
    <row r="142">
      <c r="A142" s="92" t="n"/>
      <c r="B142" s="55" t="n"/>
      <c r="C142" s="55" t="n"/>
      <c r="D142" s="55" t="n"/>
      <c r="E142" s="93" t="n"/>
      <c r="F142" s="94" t="n"/>
      <c r="G142" s="94" t="n"/>
      <c r="H142" s="94" t="n"/>
      <c r="I142" s="94" t="n"/>
      <c r="J142" s="55" t="n"/>
      <c r="K142" s="95" t="n"/>
      <c r="L142" s="116">
        <f>IF($A142="","",DATE(YEAR($A142),MONTH($A142)+IF(AND(IFERROR(N(INDEX(Übersicht!$M$15:$M$22,MATCH($B142,Übersicht!$A$15:$A$22,0))),0)&gt;1,DAY($A142)&gt;=IFERROR(N(INDEX(Übersicht!$M$15:$M$22,MATCH($B142,Übersicht!$A$15:$A$22,0))),0)),1,0),1))</f>
        <v/>
      </c>
    </row>
    <row r="143">
      <c r="A143" s="92" t="n"/>
      <c r="B143" s="55" t="n"/>
      <c r="C143" s="55" t="n"/>
      <c r="D143" s="55" t="n"/>
      <c r="E143" s="93" t="n"/>
      <c r="F143" s="94" t="n"/>
      <c r="G143" s="94" t="n"/>
      <c r="H143" s="94" t="n"/>
      <c r="I143" s="94" t="n"/>
      <c r="J143" s="55" t="n"/>
      <c r="K143" s="95" t="n"/>
      <c r="L143" s="116">
        <f>IF($A143="","",DATE(YEAR($A143),MONTH($A143)+IF(AND(IFERROR(N(INDEX(Übersicht!$M$15:$M$22,MATCH($B143,Übersicht!$A$15:$A$22,0))),0)&gt;1,DAY($A143)&gt;=IFERROR(N(INDEX(Übersicht!$M$15:$M$22,MATCH($B143,Übersicht!$A$15:$A$22,0))),0)),1,0),1))</f>
        <v/>
      </c>
    </row>
    <row r="144">
      <c r="A144" s="92" t="n"/>
      <c r="B144" s="55" t="n"/>
      <c r="C144" s="55" t="n"/>
      <c r="D144" s="55" t="n"/>
      <c r="E144" s="93" t="n"/>
      <c r="F144" s="94" t="n"/>
      <c r="G144" s="94" t="n"/>
      <c r="H144" s="94" t="n"/>
      <c r="I144" s="94" t="n"/>
      <c r="J144" s="55" t="n"/>
      <c r="K144" s="95" t="n"/>
      <c r="L144" s="116">
        <f>IF($A144="","",DATE(YEAR($A144),MONTH($A144)+IF(AND(IFERROR(N(INDEX(Übersicht!$M$15:$M$22,MATCH($B144,Übersicht!$A$15:$A$22,0))),0)&gt;1,DAY($A144)&gt;=IFERROR(N(INDEX(Übersicht!$M$15:$M$22,MATCH($B144,Übersicht!$A$15:$A$22,0))),0)),1,0),1))</f>
        <v/>
      </c>
    </row>
    <row r="145">
      <c r="A145" s="92" t="n"/>
      <c r="B145" s="55" t="n"/>
      <c r="C145" s="55" t="n"/>
      <c r="D145" s="55" t="n"/>
      <c r="E145" s="93" t="n"/>
      <c r="F145" s="94" t="n"/>
      <c r="G145" s="94" t="n"/>
      <c r="H145" s="94" t="n"/>
      <c r="I145" s="94" t="n"/>
      <c r="J145" s="55" t="n"/>
      <c r="K145" s="95" t="n"/>
      <c r="L145" s="116">
        <f>IF($A145="","",DATE(YEAR($A145),MONTH($A145)+IF(AND(IFERROR(N(INDEX(Übersicht!$M$15:$M$22,MATCH($B145,Übersicht!$A$15:$A$22,0))),0)&gt;1,DAY($A145)&gt;=IFERROR(N(INDEX(Übersicht!$M$15:$M$22,MATCH($B145,Übersicht!$A$15:$A$22,0))),0)),1,0),1))</f>
        <v/>
      </c>
    </row>
    <row r="146">
      <c r="A146" s="92" t="n"/>
      <c r="B146" s="55" t="n"/>
      <c r="C146" s="55" t="n"/>
      <c r="D146" s="55" t="n"/>
      <c r="E146" s="93" t="n"/>
      <c r="F146" s="94" t="n"/>
      <c r="G146" s="94" t="n"/>
      <c r="H146" s="94" t="n"/>
      <c r="I146" s="94" t="n"/>
      <c r="J146" s="55" t="n"/>
      <c r="K146" s="95" t="n"/>
      <c r="L146" s="116">
        <f>IF($A146="","",DATE(YEAR($A146),MONTH($A146)+IF(AND(IFERROR(N(INDEX(Übersicht!$M$15:$M$22,MATCH($B146,Übersicht!$A$15:$A$22,0))),0)&gt;1,DAY($A146)&gt;=IFERROR(N(INDEX(Übersicht!$M$15:$M$22,MATCH($B146,Übersicht!$A$15:$A$22,0))),0)),1,0),1))</f>
        <v/>
      </c>
    </row>
    <row r="147">
      <c r="A147" s="92" t="n"/>
      <c r="B147" s="55" t="n"/>
      <c r="C147" s="55" t="n"/>
      <c r="D147" s="55" t="n"/>
      <c r="E147" s="93" t="n"/>
      <c r="F147" s="94" t="n"/>
      <c r="G147" s="94" t="n"/>
      <c r="H147" s="94" t="n"/>
      <c r="I147" s="94" t="n"/>
      <c r="J147" s="55" t="n"/>
      <c r="K147" s="95" t="n"/>
      <c r="L147" s="116">
        <f>IF($A147="","",DATE(YEAR($A147),MONTH($A147)+IF(AND(IFERROR(N(INDEX(Übersicht!$M$15:$M$22,MATCH($B147,Übersicht!$A$15:$A$22,0))),0)&gt;1,DAY($A147)&gt;=IFERROR(N(INDEX(Übersicht!$M$15:$M$22,MATCH($B147,Übersicht!$A$15:$A$22,0))),0)),1,0),1))</f>
        <v/>
      </c>
    </row>
    <row r="148">
      <c r="A148" s="92" t="n"/>
      <c r="B148" s="55" t="n"/>
      <c r="C148" s="55" t="n"/>
      <c r="D148" s="55" t="n"/>
      <c r="E148" s="93" t="n"/>
      <c r="F148" s="94" t="n"/>
      <c r="G148" s="94" t="n"/>
      <c r="H148" s="94" t="n"/>
      <c r="I148" s="94" t="n"/>
      <c r="J148" s="55" t="n"/>
      <c r="K148" s="95" t="n"/>
      <c r="L148" s="116">
        <f>IF($A148="","",DATE(YEAR($A148),MONTH($A148)+IF(AND(IFERROR(N(INDEX(Übersicht!$M$15:$M$22,MATCH($B148,Übersicht!$A$15:$A$22,0))),0)&gt;1,DAY($A148)&gt;=IFERROR(N(INDEX(Übersicht!$M$15:$M$22,MATCH($B148,Übersicht!$A$15:$A$22,0))),0)),1,0),1))</f>
        <v/>
      </c>
    </row>
    <row r="149">
      <c r="A149" s="92" t="n"/>
      <c r="B149" s="55" t="n"/>
      <c r="C149" s="55" t="n"/>
      <c r="D149" s="55" t="n"/>
      <c r="E149" s="93" t="n"/>
      <c r="F149" s="94" t="n"/>
      <c r="G149" s="94" t="n"/>
      <c r="H149" s="94" t="n"/>
      <c r="I149" s="94" t="n"/>
      <c r="J149" s="55" t="n"/>
      <c r="K149" s="95" t="n"/>
      <c r="L149" s="116">
        <f>IF($A149="","",DATE(YEAR($A149),MONTH($A149)+IF(AND(IFERROR(N(INDEX(Übersicht!$M$15:$M$22,MATCH($B149,Übersicht!$A$15:$A$22,0))),0)&gt;1,DAY($A149)&gt;=IFERROR(N(INDEX(Übersicht!$M$15:$M$22,MATCH($B149,Übersicht!$A$15:$A$22,0))),0)),1,0),1))</f>
        <v/>
      </c>
    </row>
    <row r="150">
      <c r="A150" s="92" t="n"/>
      <c r="B150" s="55" t="n"/>
      <c r="C150" s="55" t="n"/>
      <c r="D150" s="55" t="n"/>
      <c r="E150" s="93" t="n"/>
      <c r="F150" s="94" t="n"/>
      <c r="G150" s="94" t="n"/>
      <c r="H150" s="94" t="n"/>
      <c r="I150" s="94" t="n"/>
      <c r="J150" s="55" t="n"/>
      <c r="K150" s="95" t="n"/>
      <c r="L150" s="116">
        <f>IF($A150="","",DATE(YEAR($A150),MONTH($A150)+IF(AND(IFERROR(N(INDEX(Übersicht!$M$15:$M$22,MATCH($B150,Übersicht!$A$15:$A$22,0))),0)&gt;1,DAY($A150)&gt;=IFERROR(N(INDEX(Übersicht!$M$15:$M$22,MATCH($B150,Übersicht!$A$15:$A$22,0))),0)),1,0),1))</f>
        <v/>
      </c>
    </row>
    <row r="151">
      <c r="A151" s="92" t="n"/>
      <c r="B151" s="55" t="n"/>
      <c r="C151" s="55" t="n"/>
      <c r="D151" s="55" t="n"/>
      <c r="E151" s="93" t="n"/>
      <c r="F151" s="94" t="n"/>
      <c r="G151" s="94" t="n"/>
      <c r="H151" s="94" t="n"/>
      <c r="I151" s="94" t="n"/>
      <c r="J151" s="55" t="n"/>
      <c r="K151" s="95" t="n"/>
      <c r="L151" s="116">
        <f>IF($A151="","",DATE(YEAR($A151),MONTH($A151)+IF(AND(IFERROR(N(INDEX(Übersicht!$M$15:$M$22,MATCH($B151,Übersicht!$A$15:$A$22,0))),0)&gt;1,DAY($A151)&gt;=IFERROR(N(INDEX(Übersicht!$M$15:$M$22,MATCH($B151,Übersicht!$A$15:$A$22,0))),0)),1,0),1))</f>
        <v/>
      </c>
    </row>
    <row r="152">
      <c r="A152" s="92" t="n"/>
      <c r="B152" s="55" t="n"/>
      <c r="C152" s="55" t="n"/>
      <c r="D152" s="55" t="n"/>
      <c r="E152" s="93" t="n"/>
      <c r="F152" s="94" t="n"/>
      <c r="G152" s="94" t="n"/>
      <c r="H152" s="94" t="n"/>
      <c r="I152" s="94" t="n"/>
      <c r="J152" s="55" t="n"/>
      <c r="K152" s="95" t="n"/>
      <c r="L152" s="116">
        <f>IF($A152="","",DATE(YEAR($A152),MONTH($A152)+IF(AND(IFERROR(N(INDEX(Übersicht!$M$15:$M$22,MATCH($B152,Übersicht!$A$15:$A$22,0))),0)&gt;1,DAY($A152)&gt;=IFERROR(N(INDEX(Übersicht!$M$15:$M$22,MATCH($B152,Übersicht!$A$15:$A$22,0))),0)),1,0),1))</f>
        <v/>
      </c>
    </row>
    <row r="153">
      <c r="A153" s="92" t="n"/>
      <c r="B153" s="55" t="n"/>
      <c r="C153" s="55" t="n"/>
      <c r="D153" s="55" t="n"/>
      <c r="E153" s="93" t="n"/>
      <c r="F153" s="94" t="n"/>
      <c r="G153" s="94" t="n"/>
      <c r="H153" s="94" t="n"/>
      <c r="I153" s="94" t="n"/>
      <c r="J153" s="55" t="n"/>
      <c r="K153" s="95" t="n"/>
      <c r="L153" s="116">
        <f>IF($A153="","",DATE(YEAR($A153),MONTH($A153)+IF(AND(IFERROR(N(INDEX(Übersicht!$M$15:$M$22,MATCH($B153,Übersicht!$A$15:$A$22,0))),0)&gt;1,DAY($A153)&gt;=IFERROR(N(INDEX(Übersicht!$M$15:$M$22,MATCH($B153,Übersicht!$A$15:$A$22,0))),0)),1,0),1))</f>
        <v/>
      </c>
    </row>
    <row r="154">
      <c r="A154" s="92" t="n"/>
      <c r="B154" s="55" t="n"/>
      <c r="C154" s="55" t="n"/>
      <c r="D154" s="55" t="n"/>
      <c r="E154" s="93" t="n"/>
      <c r="F154" s="94" t="n"/>
      <c r="G154" s="94" t="n"/>
      <c r="H154" s="94" t="n"/>
      <c r="I154" s="94" t="n"/>
      <c r="J154" s="55" t="n"/>
      <c r="K154" s="95" t="n"/>
      <c r="L154" s="116">
        <f>IF($A154="","",DATE(YEAR($A154),MONTH($A154)+IF(AND(IFERROR(N(INDEX(Übersicht!$M$15:$M$22,MATCH($B154,Übersicht!$A$15:$A$22,0))),0)&gt;1,DAY($A154)&gt;=IFERROR(N(INDEX(Übersicht!$M$15:$M$22,MATCH($B154,Übersicht!$A$15:$A$22,0))),0)),1,0),1))</f>
        <v/>
      </c>
    </row>
    <row r="155">
      <c r="A155" s="92" t="n"/>
      <c r="B155" s="55" t="n"/>
      <c r="C155" s="55" t="n"/>
      <c r="D155" s="55" t="n"/>
      <c r="E155" s="93" t="n"/>
      <c r="F155" s="94" t="n"/>
      <c r="G155" s="94" t="n"/>
      <c r="H155" s="94" t="n"/>
      <c r="I155" s="94" t="n"/>
      <c r="J155" s="55" t="n"/>
      <c r="K155" s="95" t="n"/>
      <c r="L155" s="116">
        <f>IF($A155="","",DATE(YEAR($A155),MONTH($A155)+IF(AND(IFERROR(N(INDEX(Übersicht!$M$15:$M$22,MATCH($B155,Übersicht!$A$15:$A$22,0))),0)&gt;1,DAY($A155)&gt;=IFERROR(N(INDEX(Übersicht!$M$15:$M$22,MATCH($B155,Übersicht!$A$15:$A$22,0))),0)),1,0),1))</f>
        <v/>
      </c>
    </row>
    <row r="156">
      <c r="A156" s="92" t="n"/>
      <c r="B156" s="55" t="n"/>
      <c r="C156" s="55" t="n"/>
      <c r="D156" s="55" t="n"/>
      <c r="E156" s="93" t="n"/>
      <c r="F156" s="94" t="n"/>
      <c r="G156" s="94" t="n"/>
      <c r="H156" s="94" t="n"/>
      <c r="I156" s="94" t="n"/>
      <c r="J156" s="55" t="n"/>
      <c r="K156" s="95" t="n"/>
      <c r="L156" s="116">
        <f>IF($A156="","",DATE(YEAR($A156),MONTH($A156)+IF(AND(IFERROR(N(INDEX(Übersicht!$M$15:$M$22,MATCH($B156,Übersicht!$A$15:$A$22,0))),0)&gt;1,DAY($A156)&gt;=IFERROR(N(INDEX(Übersicht!$M$15:$M$22,MATCH($B156,Übersicht!$A$15:$A$22,0))),0)),1,0),1))</f>
        <v/>
      </c>
    </row>
    <row r="157">
      <c r="A157" s="92" t="n"/>
      <c r="B157" s="55" t="n"/>
      <c r="C157" s="55" t="n"/>
      <c r="D157" s="55" t="n"/>
      <c r="E157" s="93" t="n"/>
      <c r="F157" s="94" t="n"/>
      <c r="G157" s="94" t="n"/>
      <c r="H157" s="94" t="n"/>
      <c r="I157" s="94" t="n"/>
      <c r="J157" s="55" t="n"/>
      <c r="K157" s="95" t="n"/>
      <c r="L157" s="116">
        <f>IF($A157="","",DATE(YEAR($A157),MONTH($A157)+IF(AND(IFERROR(N(INDEX(Übersicht!$M$15:$M$22,MATCH($B157,Übersicht!$A$15:$A$22,0))),0)&gt;1,DAY($A157)&gt;=IFERROR(N(INDEX(Übersicht!$M$15:$M$22,MATCH($B157,Übersicht!$A$15:$A$22,0))),0)),1,0),1))</f>
        <v/>
      </c>
    </row>
    <row r="158">
      <c r="A158" s="92" t="n"/>
      <c r="B158" s="55" t="n"/>
      <c r="C158" s="55" t="n"/>
      <c r="D158" s="55" t="n"/>
      <c r="E158" s="93" t="n"/>
      <c r="F158" s="94" t="n"/>
      <c r="G158" s="94" t="n"/>
      <c r="H158" s="94" t="n"/>
      <c r="I158" s="94" t="n"/>
      <c r="J158" s="55" t="n"/>
      <c r="K158" s="95" t="n"/>
      <c r="L158" s="116">
        <f>IF($A158="","",DATE(YEAR($A158),MONTH($A158)+IF(AND(IFERROR(N(INDEX(Übersicht!$M$15:$M$22,MATCH($B158,Übersicht!$A$15:$A$22,0))),0)&gt;1,DAY($A158)&gt;=IFERROR(N(INDEX(Übersicht!$M$15:$M$22,MATCH($B158,Übersicht!$A$15:$A$22,0))),0)),1,0),1))</f>
        <v/>
      </c>
    </row>
    <row r="159">
      <c r="A159" s="92" t="n"/>
      <c r="B159" s="55" t="n"/>
      <c r="C159" s="55" t="n"/>
      <c r="D159" s="55" t="n"/>
      <c r="E159" s="93" t="n"/>
      <c r="F159" s="94" t="n"/>
      <c r="G159" s="94" t="n"/>
      <c r="H159" s="94" t="n"/>
      <c r="I159" s="94" t="n"/>
      <c r="J159" s="55" t="n"/>
      <c r="K159" s="95" t="n"/>
      <c r="L159" s="116">
        <f>IF($A159="","",DATE(YEAR($A159),MONTH($A159)+IF(AND(IFERROR(N(INDEX(Übersicht!$M$15:$M$22,MATCH($B159,Übersicht!$A$15:$A$22,0))),0)&gt;1,DAY($A159)&gt;=IFERROR(N(INDEX(Übersicht!$M$15:$M$22,MATCH($B159,Übersicht!$A$15:$A$22,0))),0)),1,0),1))</f>
        <v/>
      </c>
    </row>
    <row r="160">
      <c r="A160" s="92" t="n"/>
      <c r="B160" s="55" t="n"/>
      <c r="C160" s="55" t="n"/>
      <c r="D160" s="55" t="n"/>
      <c r="E160" s="93" t="n"/>
      <c r="F160" s="94" t="n"/>
      <c r="G160" s="94" t="n"/>
      <c r="H160" s="94" t="n"/>
      <c r="I160" s="94" t="n"/>
      <c r="J160" s="55" t="n"/>
      <c r="K160" s="95" t="n"/>
      <c r="L160" s="116">
        <f>IF($A160="","",DATE(YEAR($A160),MONTH($A160)+IF(AND(IFERROR(N(INDEX(Übersicht!$M$15:$M$22,MATCH($B160,Übersicht!$A$15:$A$22,0))),0)&gt;1,DAY($A160)&gt;=IFERROR(N(INDEX(Übersicht!$M$15:$M$22,MATCH($B160,Übersicht!$A$15:$A$22,0))),0)),1,0),1))</f>
        <v/>
      </c>
    </row>
    <row r="161">
      <c r="A161" s="92" t="n"/>
      <c r="B161" s="55" t="n"/>
      <c r="C161" s="55" t="n"/>
      <c r="D161" s="55" t="n"/>
      <c r="E161" s="93" t="n"/>
      <c r="F161" s="94" t="n"/>
      <c r="G161" s="94" t="n"/>
      <c r="H161" s="94" t="n"/>
      <c r="I161" s="94" t="n"/>
      <c r="J161" s="55" t="n"/>
      <c r="K161" s="95" t="n"/>
      <c r="L161" s="116">
        <f>IF($A161="","",DATE(YEAR($A161),MONTH($A161)+IF(AND(IFERROR(N(INDEX(Übersicht!$M$15:$M$22,MATCH($B161,Übersicht!$A$15:$A$22,0))),0)&gt;1,DAY($A161)&gt;=IFERROR(N(INDEX(Übersicht!$M$15:$M$22,MATCH($B161,Übersicht!$A$15:$A$22,0))),0)),1,0),1))</f>
        <v/>
      </c>
    </row>
    <row r="162">
      <c r="A162" s="92" t="n"/>
      <c r="B162" s="55" t="n"/>
      <c r="C162" s="55" t="n"/>
      <c r="D162" s="55" t="n"/>
      <c r="E162" s="93" t="n"/>
      <c r="F162" s="94" t="n"/>
      <c r="G162" s="94" t="n"/>
      <c r="H162" s="94" t="n"/>
      <c r="I162" s="94" t="n"/>
      <c r="J162" s="55" t="n"/>
      <c r="K162" s="95" t="n"/>
      <c r="L162" s="116">
        <f>IF($A162="","",DATE(YEAR($A162),MONTH($A162)+IF(AND(IFERROR(N(INDEX(Übersicht!$M$15:$M$22,MATCH($B162,Übersicht!$A$15:$A$22,0))),0)&gt;1,DAY($A162)&gt;=IFERROR(N(INDEX(Übersicht!$M$15:$M$22,MATCH($B162,Übersicht!$A$15:$A$22,0))),0)),1,0),1))</f>
        <v/>
      </c>
    </row>
    <row r="163">
      <c r="A163" s="92" t="n"/>
      <c r="B163" s="55" t="n"/>
      <c r="C163" s="55" t="n"/>
      <c r="D163" s="55" t="n"/>
      <c r="E163" s="93" t="n"/>
      <c r="F163" s="94" t="n"/>
      <c r="G163" s="94" t="n"/>
      <c r="H163" s="94" t="n"/>
      <c r="I163" s="94" t="n"/>
      <c r="J163" s="55" t="n"/>
      <c r="K163" s="95" t="n"/>
      <c r="L163" s="116">
        <f>IF($A163="","",DATE(YEAR($A163),MONTH($A163)+IF(AND(IFERROR(N(INDEX(Übersicht!$M$15:$M$22,MATCH($B163,Übersicht!$A$15:$A$22,0))),0)&gt;1,DAY($A163)&gt;=IFERROR(N(INDEX(Übersicht!$M$15:$M$22,MATCH($B163,Übersicht!$A$15:$A$22,0))),0)),1,0),1))</f>
        <v/>
      </c>
    </row>
    <row r="164">
      <c r="A164" s="92" t="n"/>
      <c r="B164" s="55" t="n"/>
      <c r="C164" s="55" t="n"/>
      <c r="D164" s="55" t="n"/>
      <c r="E164" s="93" t="n"/>
      <c r="F164" s="94" t="n"/>
      <c r="G164" s="94" t="n"/>
      <c r="H164" s="94" t="n"/>
      <c r="I164" s="94" t="n"/>
      <c r="J164" s="55" t="n"/>
      <c r="K164" s="95" t="n"/>
      <c r="L164" s="116">
        <f>IF($A164="","",DATE(YEAR($A164),MONTH($A164)+IF(AND(IFERROR(N(INDEX(Übersicht!$M$15:$M$22,MATCH($B164,Übersicht!$A$15:$A$22,0))),0)&gt;1,DAY($A164)&gt;=IFERROR(N(INDEX(Übersicht!$M$15:$M$22,MATCH($B164,Übersicht!$A$15:$A$22,0))),0)),1,0),1))</f>
        <v/>
      </c>
    </row>
    <row r="165">
      <c r="A165" s="92" t="n"/>
      <c r="B165" s="55" t="n"/>
      <c r="C165" s="55" t="n"/>
      <c r="D165" s="55" t="n"/>
      <c r="E165" s="93" t="n"/>
      <c r="F165" s="94" t="n"/>
      <c r="G165" s="94" t="n"/>
      <c r="H165" s="94" t="n"/>
      <c r="I165" s="94" t="n"/>
      <c r="J165" s="55" t="n"/>
      <c r="K165" s="95" t="n"/>
      <c r="L165" s="116">
        <f>IF($A165="","",DATE(YEAR($A165),MONTH($A165)+IF(AND(IFERROR(N(INDEX(Übersicht!$M$15:$M$22,MATCH($B165,Übersicht!$A$15:$A$22,0))),0)&gt;1,DAY($A165)&gt;=IFERROR(N(INDEX(Übersicht!$M$15:$M$22,MATCH($B165,Übersicht!$A$15:$A$22,0))),0)),1,0),1))</f>
        <v/>
      </c>
    </row>
    <row r="166">
      <c r="A166" s="92" t="n"/>
      <c r="B166" s="55" t="n"/>
      <c r="C166" s="55" t="n"/>
      <c r="D166" s="55" t="n"/>
      <c r="E166" s="93" t="n"/>
      <c r="F166" s="94" t="n"/>
      <c r="G166" s="94" t="n"/>
      <c r="H166" s="94" t="n"/>
      <c r="I166" s="94" t="n"/>
      <c r="J166" s="55" t="n"/>
      <c r="K166" s="95" t="n"/>
      <c r="L166" s="116">
        <f>IF($A166="","",DATE(YEAR($A166),MONTH($A166)+IF(AND(IFERROR(N(INDEX(Übersicht!$M$15:$M$22,MATCH($B166,Übersicht!$A$15:$A$22,0))),0)&gt;1,DAY($A166)&gt;=IFERROR(N(INDEX(Übersicht!$M$15:$M$22,MATCH($B166,Übersicht!$A$15:$A$22,0))),0)),1,0),1))</f>
        <v/>
      </c>
    </row>
    <row r="167">
      <c r="A167" s="92" t="n"/>
      <c r="B167" s="55" t="n"/>
      <c r="C167" s="55" t="n"/>
      <c r="D167" s="55" t="n"/>
      <c r="E167" s="93" t="n"/>
      <c r="F167" s="94" t="n"/>
      <c r="G167" s="94" t="n"/>
      <c r="H167" s="94" t="n"/>
      <c r="I167" s="94" t="n"/>
      <c r="J167" s="55" t="n"/>
      <c r="K167" s="95" t="n"/>
      <c r="L167" s="116">
        <f>IF($A167="","",DATE(YEAR($A167),MONTH($A167)+IF(AND(IFERROR(N(INDEX(Übersicht!$M$15:$M$22,MATCH($B167,Übersicht!$A$15:$A$22,0))),0)&gt;1,DAY($A167)&gt;=IFERROR(N(INDEX(Übersicht!$M$15:$M$22,MATCH($B167,Übersicht!$A$15:$A$22,0))),0)),1,0),1))</f>
        <v/>
      </c>
    </row>
    <row r="168">
      <c r="A168" s="92" t="n"/>
      <c r="B168" s="55" t="n"/>
      <c r="C168" s="55" t="n"/>
      <c r="D168" s="55" t="n"/>
      <c r="E168" s="93" t="n"/>
      <c r="F168" s="94" t="n"/>
      <c r="G168" s="94" t="n"/>
      <c r="H168" s="94" t="n"/>
      <c r="I168" s="94" t="n"/>
      <c r="J168" s="55" t="n"/>
      <c r="K168" s="95" t="n"/>
      <c r="L168" s="116">
        <f>IF($A168="","",DATE(YEAR($A168),MONTH($A168)+IF(AND(IFERROR(N(INDEX(Übersicht!$M$15:$M$22,MATCH($B168,Übersicht!$A$15:$A$22,0))),0)&gt;1,DAY($A168)&gt;=IFERROR(N(INDEX(Übersicht!$M$15:$M$22,MATCH($B168,Übersicht!$A$15:$A$22,0))),0)),1,0),1))</f>
        <v/>
      </c>
    </row>
    <row r="169">
      <c r="A169" s="92" t="n"/>
      <c r="B169" s="55" t="n"/>
      <c r="C169" s="55" t="n"/>
      <c r="D169" s="55" t="n"/>
      <c r="E169" s="93" t="n"/>
      <c r="F169" s="94" t="n"/>
      <c r="G169" s="94" t="n"/>
      <c r="H169" s="94" t="n"/>
      <c r="I169" s="94" t="n"/>
      <c r="J169" s="55" t="n"/>
      <c r="K169" s="95" t="n"/>
      <c r="L169" s="116">
        <f>IF($A169="","",DATE(YEAR($A169),MONTH($A169)+IF(AND(IFERROR(N(INDEX(Übersicht!$M$15:$M$22,MATCH($B169,Übersicht!$A$15:$A$22,0))),0)&gt;1,DAY($A169)&gt;=IFERROR(N(INDEX(Übersicht!$M$15:$M$22,MATCH($B169,Übersicht!$A$15:$A$22,0))),0)),1,0),1))</f>
        <v/>
      </c>
    </row>
    <row r="170">
      <c r="A170" s="92" t="n"/>
      <c r="B170" s="55" t="n"/>
      <c r="C170" s="55" t="n"/>
      <c r="D170" s="55" t="n"/>
      <c r="E170" s="93" t="n"/>
      <c r="F170" s="94" t="n"/>
      <c r="G170" s="94" t="n"/>
      <c r="H170" s="94" t="n"/>
      <c r="I170" s="94" t="n"/>
      <c r="J170" s="55" t="n"/>
      <c r="K170" s="95" t="n"/>
      <c r="L170" s="116">
        <f>IF($A170="","",DATE(YEAR($A170),MONTH($A170)+IF(AND(IFERROR(N(INDEX(Übersicht!$M$15:$M$22,MATCH($B170,Übersicht!$A$15:$A$22,0))),0)&gt;1,DAY($A170)&gt;=IFERROR(N(INDEX(Übersicht!$M$15:$M$22,MATCH($B170,Übersicht!$A$15:$A$22,0))),0)),1,0),1))</f>
        <v/>
      </c>
    </row>
    <row r="171">
      <c r="A171" s="92" t="n"/>
      <c r="B171" s="55" t="n"/>
      <c r="C171" s="55" t="n"/>
      <c r="D171" s="55" t="n"/>
      <c r="E171" s="93" t="n"/>
      <c r="F171" s="94" t="n"/>
      <c r="G171" s="94" t="n"/>
      <c r="H171" s="94" t="n"/>
      <c r="I171" s="94" t="n"/>
      <c r="J171" s="55" t="n"/>
      <c r="K171" s="95" t="n"/>
      <c r="L171" s="116">
        <f>IF($A171="","",DATE(YEAR($A171),MONTH($A171)+IF(AND(IFERROR(N(INDEX(Übersicht!$M$15:$M$22,MATCH($B171,Übersicht!$A$15:$A$22,0))),0)&gt;1,DAY($A171)&gt;=IFERROR(N(INDEX(Übersicht!$M$15:$M$22,MATCH($B171,Übersicht!$A$15:$A$22,0))),0)),1,0),1))</f>
        <v/>
      </c>
    </row>
    <row r="172">
      <c r="A172" s="92" t="n"/>
      <c r="B172" s="55" t="n"/>
      <c r="C172" s="55" t="n"/>
      <c r="D172" s="55" t="n"/>
      <c r="E172" s="93" t="n"/>
      <c r="F172" s="94" t="n"/>
      <c r="G172" s="94" t="n"/>
      <c r="H172" s="94" t="n"/>
      <c r="I172" s="94" t="n"/>
      <c r="J172" s="55" t="n"/>
      <c r="K172" s="95" t="n"/>
      <c r="L172" s="116">
        <f>IF($A172="","",DATE(YEAR($A172),MONTH($A172)+IF(AND(IFERROR(N(INDEX(Übersicht!$M$15:$M$22,MATCH($B172,Übersicht!$A$15:$A$22,0))),0)&gt;1,DAY($A172)&gt;=IFERROR(N(INDEX(Übersicht!$M$15:$M$22,MATCH($B172,Übersicht!$A$15:$A$22,0))),0)),1,0),1))</f>
        <v/>
      </c>
    </row>
    <row r="173">
      <c r="A173" s="92" t="n"/>
      <c r="B173" s="55" t="n"/>
      <c r="C173" s="55" t="n"/>
      <c r="D173" s="55" t="n"/>
      <c r="E173" s="93" t="n"/>
      <c r="F173" s="94" t="n"/>
      <c r="G173" s="94" t="n"/>
      <c r="H173" s="94" t="n"/>
      <c r="I173" s="94" t="n"/>
      <c r="J173" s="55" t="n"/>
      <c r="K173" s="95" t="n"/>
      <c r="L173" s="116">
        <f>IF($A173="","",DATE(YEAR($A173),MONTH($A173)+IF(AND(IFERROR(N(INDEX(Übersicht!$M$15:$M$22,MATCH($B173,Übersicht!$A$15:$A$22,0))),0)&gt;1,DAY($A173)&gt;=IFERROR(N(INDEX(Übersicht!$M$15:$M$22,MATCH($B173,Übersicht!$A$15:$A$22,0))),0)),1,0),1))</f>
        <v/>
      </c>
    </row>
    <row r="174">
      <c r="A174" s="92" t="n"/>
      <c r="B174" s="55" t="n"/>
      <c r="C174" s="55" t="n"/>
      <c r="D174" s="55" t="n"/>
      <c r="E174" s="93" t="n"/>
      <c r="F174" s="94" t="n"/>
      <c r="G174" s="94" t="n"/>
      <c r="H174" s="94" t="n"/>
      <c r="I174" s="94" t="n"/>
      <c r="J174" s="55" t="n"/>
      <c r="K174" s="95" t="n"/>
      <c r="L174" s="116">
        <f>IF($A174="","",DATE(YEAR($A174),MONTH($A174)+IF(AND(IFERROR(N(INDEX(Übersicht!$M$15:$M$22,MATCH($B174,Übersicht!$A$15:$A$22,0))),0)&gt;1,DAY($A174)&gt;=IFERROR(N(INDEX(Übersicht!$M$15:$M$22,MATCH($B174,Übersicht!$A$15:$A$22,0))),0)),1,0),1))</f>
        <v/>
      </c>
    </row>
    <row r="175">
      <c r="A175" s="92" t="n"/>
      <c r="B175" s="55" t="n"/>
      <c r="C175" s="55" t="n"/>
      <c r="D175" s="55" t="n"/>
      <c r="E175" s="93" t="n"/>
      <c r="F175" s="94" t="n"/>
      <c r="G175" s="94" t="n"/>
      <c r="H175" s="94" t="n"/>
      <c r="I175" s="94" t="n"/>
      <c r="J175" s="55" t="n"/>
      <c r="K175" s="95" t="n"/>
      <c r="L175" s="116">
        <f>IF($A175="","",DATE(YEAR($A175),MONTH($A175)+IF(AND(IFERROR(N(INDEX(Übersicht!$M$15:$M$22,MATCH($B175,Übersicht!$A$15:$A$22,0))),0)&gt;1,DAY($A175)&gt;=IFERROR(N(INDEX(Übersicht!$M$15:$M$22,MATCH($B175,Übersicht!$A$15:$A$22,0))),0)),1,0),1))</f>
        <v/>
      </c>
    </row>
    <row r="176">
      <c r="A176" s="92" t="n"/>
      <c r="B176" s="55" t="n"/>
      <c r="C176" s="55" t="n"/>
      <c r="D176" s="55" t="n"/>
      <c r="E176" s="93" t="n"/>
      <c r="F176" s="94" t="n"/>
      <c r="G176" s="94" t="n"/>
      <c r="H176" s="94" t="n"/>
      <c r="I176" s="94" t="n"/>
      <c r="J176" s="55" t="n"/>
      <c r="K176" s="95" t="n"/>
      <c r="L176" s="116">
        <f>IF($A176="","",DATE(YEAR($A176),MONTH($A176)+IF(AND(IFERROR(N(INDEX(Übersicht!$M$15:$M$22,MATCH($B176,Übersicht!$A$15:$A$22,0))),0)&gt;1,DAY($A176)&gt;=IFERROR(N(INDEX(Übersicht!$M$15:$M$22,MATCH($B176,Übersicht!$A$15:$A$22,0))),0)),1,0),1))</f>
        <v/>
      </c>
    </row>
    <row r="177">
      <c r="A177" s="92" t="n"/>
      <c r="B177" s="55" t="n"/>
      <c r="C177" s="55" t="n"/>
      <c r="D177" s="55" t="n"/>
      <c r="E177" s="93" t="n"/>
      <c r="F177" s="94" t="n"/>
      <c r="G177" s="94" t="n"/>
      <c r="H177" s="94" t="n"/>
      <c r="I177" s="94" t="n"/>
      <c r="J177" s="55" t="n"/>
      <c r="K177" s="95" t="n"/>
      <c r="L177" s="116">
        <f>IF($A177="","",DATE(YEAR($A177),MONTH($A177)+IF(AND(IFERROR(N(INDEX(Übersicht!$M$15:$M$22,MATCH($B177,Übersicht!$A$15:$A$22,0))),0)&gt;1,DAY($A177)&gt;=IFERROR(N(INDEX(Übersicht!$M$15:$M$22,MATCH($B177,Übersicht!$A$15:$A$22,0))),0)),1,0),1))</f>
        <v/>
      </c>
    </row>
    <row r="178">
      <c r="A178" s="92" t="n"/>
      <c r="B178" s="55" t="n"/>
      <c r="C178" s="55" t="n"/>
      <c r="D178" s="55" t="n"/>
      <c r="E178" s="93" t="n"/>
      <c r="F178" s="94" t="n"/>
      <c r="G178" s="94" t="n"/>
      <c r="H178" s="94" t="n"/>
      <c r="I178" s="94" t="n"/>
      <c r="J178" s="55" t="n"/>
      <c r="K178" s="95" t="n"/>
      <c r="L178" s="116">
        <f>IF($A178="","",DATE(YEAR($A178),MONTH($A178)+IF(AND(IFERROR(N(INDEX(Übersicht!$M$15:$M$22,MATCH($B178,Übersicht!$A$15:$A$22,0))),0)&gt;1,DAY($A178)&gt;=IFERROR(N(INDEX(Übersicht!$M$15:$M$22,MATCH($B178,Übersicht!$A$15:$A$22,0))),0)),1,0),1))</f>
        <v/>
      </c>
    </row>
    <row r="179">
      <c r="A179" s="92" t="n"/>
      <c r="B179" s="55" t="n"/>
      <c r="C179" s="55" t="n"/>
      <c r="D179" s="55" t="n"/>
      <c r="E179" s="93" t="n"/>
      <c r="F179" s="94" t="n"/>
      <c r="G179" s="94" t="n"/>
      <c r="H179" s="94" t="n"/>
      <c r="I179" s="94" t="n"/>
      <c r="J179" s="55" t="n"/>
      <c r="K179" s="95" t="n"/>
      <c r="L179" s="116">
        <f>IF($A179="","",DATE(YEAR($A179),MONTH($A179)+IF(AND(IFERROR(N(INDEX(Übersicht!$M$15:$M$22,MATCH($B179,Übersicht!$A$15:$A$22,0))),0)&gt;1,DAY($A179)&gt;=IFERROR(N(INDEX(Übersicht!$M$15:$M$22,MATCH($B179,Übersicht!$A$15:$A$22,0))),0)),1,0),1))</f>
        <v/>
      </c>
    </row>
    <row r="180">
      <c r="A180" s="92" t="n"/>
      <c r="B180" s="55" t="n"/>
      <c r="C180" s="55" t="n"/>
      <c r="D180" s="55" t="n"/>
      <c r="E180" s="93" t="n"/>
      <c r="F180" s="94" t="n"/>
      <c r="G180" s="94" t="n"/>
      <c r="H180" s="94" t="n"/>
      <c r="I180" s="94" t="n"/>
      <c r="J180" s="55" t="n"/>
      <c r="K180" s="95" t="n"/>
      <c r="L180" s="116">
        <f>IF($A180="","",DATE(YEAR($A180),MONTH($A180)+IF(AND(IFERROR(N(INDEX(Übersicht!$M$15:$M$22,MATCH($B180,Übersicht!$A$15:$A$22,0))),0)&gt;1,DAY($A180)&gt;=IFERROR(N(INDEX(Übersicht!$M$15:$M$22,MATCH($B180,Übersicht!$A$15:$A$22,0))),0)),1,0),1))</f>
        <v/>
      </c>
    </row>
    <row r="181">
      <c r="A181" s="92" t="n"/>
      <c r="B181" s="55" t="n"/>
      <c r="C181" s="55" t="n"/>
      <c r="D181" s="55" t="n"/>
      <c r="E181" s="93" t="n"/>
      <c r="F181" s="94" t="n"/>
      <c r="G181" s="94" t="n"/>
      <c r="H181" s="94" t="n"/>
      <c r="I181" s="94" t="n"/>
      <c r="J181" s="55" t="n"/>
      <c r="K181" s="95" t="n"/>
      <c r="L181" s="116">
        <f>IF($A181="","",DATE(YEAR($A181),MONTH($A181)+IF(AND(IFERROR(N(INDEX(Übersicht!$M$15:$M$22,MATCH($B181,Übersicht!$A$15:$A$22,0))),0)&gt;1,DAY($A181)&gt;=IFERROR(N(INDEX(Übersicht!$M$15:$M$22,MATCH($B181,Übersicht!$A$15:$A$22,0))),0)),1,0),1))</f>
        <v/>
      </c>
    </row>
    <row r="182">
      <c r="A182" s="92" t="n"/>
      <c r="B182" s="55" t="n"/>
      <c r="C182" s="55" t="n"/>
      <c r="D182" s="55" t="n"/>
      <c r="E182" s="93" t="n"/>
      <c r="F182" s="94" t="n"/>
      <c r="G182" s="94" t="n"/>
      <c r="H182" s="94" t="n"/>
      <c r="I182" s="94" t="n"/>
      <c r="J182" s="55" t="n"/>
      <c r="K182" s="95" t="n"/>
      <c r="L182" s="116">
        <f>IF($A182="","",DATE(YEAR($A182),MONTH($A182)+IF(AND(IFERROR(N(INDEX(Übersicht!$M$15:$M$22,MATCH($B182,Übersicht!$A$15:$A$22,0))),0)&gt;1,DAY($A182)&gt;=IFERROR(N(INDEX(Übersicht!$M$15:$M$22,MATCH($B182,Übersicht!$A$15:$A$22,0))),0)),1,0),1))</f>
        <v/>
      </c>
    </row>
    <row r="183">
      <c r="A183" s="92" t="n"/>
      <c r="B183" s="55" t="n"/>
      <c r="C183" s="55" t="n"/>
      <c r="D183" s="55" t="n"/>
      <c r="E183" s="93" t="n"/>
      <c r="F183" s="94" t="n"/>
      <c r="G183" s="94" t="n"/>
      <c r="H183" s="94" t="n"/>
      <c r="I183" s="94" t="n"/>
      <c r="J183" s="55" t="n"/>
      <c r="K183" s="95" t="n"/>
      <c r="L183" s="116">
        <f>IF($A183="","",DATE(YEAR($A183),MONTH($A183)+IF(AND(IFERROR(N(INDEX(Übersicht!$M$15:$M$22,MATCH($B183,Übersicht!$A$15:$A$22,0))),0)&gt;1,DAY($A183)&gt;=IFERROR(N(INDEX(Übersicht!$M$15:$M$22,MATCH($B183,Übersicht!$A$15:$A$22,0))),0)),1,0),1))</f>
        <v/>
      </c>
    </row>
    <row r="184">
      <c r="A184" s="92" t="n"/>
      <c r="B184" s="55" t="n"/>
      <c r="C184" s="55" t="n"/>
      <c r="D184" s="55" t="n"/>
      <c r="E184" s="93" t="n"/>
      <c r="F184" s="94" t="n"/>
      <c r="G184" s="94" t="n"/>
      <c r="H184" s="94" t="n"/>
      <c r="I184" s="94" t="n"/>
      <c r="J184" s="55" t="n"/>
      <c r="K184" s="95" t="n"/>
      <c r="L184" s="116">
        <f>IF($A184="","",DATE(YEAR($A184),MONTH($A184)+IF(AND(IFERROR(N(INDEX(Übersicht!$M$15:$M$22,MATCH($B184,Übersicht!$A$15:$A$22,0))),0)&gt;1,DAY($A184)&gt;=IFERROR(N(INDEX(Übersicht!$M$15:$M$22,MATCH($B184,Übersicht!$A$15:$A$22,0))),0)),1,0),1))</f>
        <v/>
      </c>
    </row>
    <row r="185">
      <c r="A185" s="92" t="n"/>
      <c r="B185" s="55" t="n"/>
      <c r="C185" s="55" t="n"/>
      <c r="D185" s="55" t="n"/>
      <c r="E185" s="93" t="n"/>
      <c r="F185" s="94" t="n"/>
      <c r="G185" s="94" t="n"/>
      <c r="H185" s="94" t="n"/>
      <c r="I185" s="94" t="n"/>
      <c r="J185" s="55" t="n"/>
      <c r="K185" s="95" t="n"/>
      <c r="L185" s="116">
        <f>IF($A185="","",DATE(YEAR($A185),MONTH($A185)+IF(AND(IFERROR(N(INDEX(Übersicht!$M$15:$M$22,MATCH($B185,Übersicht!$A$15:$A$22,0))),0)&gt;1,DAY($A185)&gt;=IFERROR(N(INDEX(Übersicht!$M$15:$M$22,MATCH($B185,Übersicht!$A$15:$A$22,0))),0)),1,0),1))</f>
        <v/>
      </c>
    </row>
    <row r="186">
      <c r="A186" s="92" t="n"/>
      <c r="B186" s="55" t="n"/>
      <c r="C186" s="55" t="n"/>
      <c r="D186" s="55" t="n"/>
      <c r="E186" s="93" t="n"/>
      <c r="F186" s="94" t="n"/>
      <c r="G186" s="94" t="n"/>
      <c r="H186" s="94" t="n"/>
      <c r="I186" s="94" t="n"/>
      <c r="J186" s="55" t="n"/>
      <c r="K186" s="95" t="n"/>
      <c r="L186" s="116">
        <f>IF($A186="","",DATE(YEAR($A186),MONTH($A186)+IF(AND(IFERROR(N(INDEX(Übersicht!$M$15:$M$22,MATCH($B186,Übersicht!$A$15:$A$22,0))),0)&gt;1,DAY($A186)&gt;=IFERROR(N(INDEX(Übersicht!$M$15:$M$22,MATCH($B186,Übersicht!$A$15:$A$22,0))),0)),1,0),1))</f>
        <v/>
      </c>
    </row>
    <row r="187">
      <c r="A187" s="92" t="n"/>
      <c r="B187" s="55" t="n"/>
      <c r="C187" s="55" t="n"/>
      <c r="D187" s="55" t="n"/>
      <c r="E187" s="93" t="n"/>
      <c r="F187" s="94" t="n"/>
      <c r="G187" s="94" t="n"/>
      <c r="H187" s="94" t="n"/>
      <c r="I187" s="94" t="n"/>
      <c r="J187" s="55" t="n"/>
      <c r="K187" s="95" t="n"/>
      <c r="L187" s="116">
        <f>IF($A187="","",DATE(YEAR($A187),MONTH($A187)+IF(AND(IFERROR(N(INDEX(Übersicht!$M$15:$M$22,MATCH($B187,Übersicht!$A$15:$A$22,0))),0)&gt;1,DAY($A187)&gt;=IFERROR(N(INDEX(Übersicht!$M$15:$M$22,MATCH($B187,Übersicht!$A$15:$A$22,0))),0)),1,0),1))</f>
        <v/>
      </c>
    </row>
    <row r="188">
      <c r="A188" s="92" t="n"/>
      <c r="B188" s="55" t="n"/>
      <c r="C188" s="55" t="n"/>
      <c r="D188" s="55" t="n"/>
      <c r="E188" s="93" t="n"/>
      <c r="F188" s="94" t="n"/>
      <c r="G188" s="94" t="n"/>
      <c r="H188" s="94" t="n"/>
      <c r="I188" s="94" t="n"/>
      <c r="J188" s="55" t="n"/>
      <c r="K188" s="95" t="n"/>
      <c r="L188" s="116">
        <f>IF($A188="","",DATE(YEAR($A188),MONTH($A188)+IF(AND(IFERROR(N(INDEX(Übersicht!$M$15:$M$22,MATCH($B188,Übersicht!$A$15:$A$22,0))),0)&gt;1,DAY($A188)&gt;=IFERROR(N(INDEX(Übersicht!$M$15:$M$22,MATCH($B188,Übersicht!$A$15:$A$22,0))),0)),1,0),1))</f>
        <v/>
      </c>
    </row>
    <row r="189">
      <c r="A189" s="92" t="n"/>
      <c r="B189" s="55" t="n"/>
      <c r="C189" s="55" t="n"/>
      <c r="D189" s="55" t="n"/>
      <c r="E189" s="93" t="n"/>
      <c r="F189" s="94" t="n"/>
      <c r="G189" s="94" t="n"/>
      <c r="H189" s="94" t="n"/>
      <c r="I189" s="94" t="n"/>
      <c r="J189" s="55" t="n"/>
      <c r="K189" s="95" t="n"/>
      <c r="L189" s="116">
        <f>IF($A189="","",DATE(YEAR($A189),MONTH($A189)+IF(AND(IFERROR(N(INDEX(Übersicht!$M$15:$M$22,MATCH($B189,Übersicht!$A$15:$A$22,0))),0)&gt;1,DAY($A189)&gt;=IFERROR(N(INDEX(Übersicht!$M$15:$M$22,MATCH($B189,Übersicht!$A$15:$A$22,0))),0)),1,0),1))</f>
        <v/>
      </c>
    </row>
    <row r="190">
      <c r="A190" s="92" t="n"/>
      <c r="B190" s="55" t="n"/>
      <c r="C190" s="55" t="n"/>
      <c r="D190" s="55" t="n"/>
      <c r="E190" s="93" t="n"/>
      <c r="F190" s="94" t="n"/>
      <c r="G190" s="94" t="n"/>
      <c r="H190" s="94" t="n"/>
      <c r="I190" s="94" t="n"/>
      <c r="J190" s="55" t="n"/>
      <c r="K190" s="95" t="n"/>
      <c r="L190" s="116">
        <f>IF($A190="","",DATE(YEAR($A190),MONTH($A190)+IF(AND(IFERROR(N(INDEX(Übersicht!$M$15:$M$22,MATCH($B190,Übersicht!$A$15:$A$22,0))),0)&gt;1,DAY($A190)&gt;=IFERROR(N(INDEX(Übersicht!$M$15:$M$22,MATCH($B190,Übersicht!$A$15:$A$22,0))),0)),1,0),1))</f>
        <v/>
      </c>
    </row>
    <row r="191">
      <c r="A191" s="92" t="n"/>
      <c r="B191" s="55" t="n"/>
      <c r="C191" s="55" t="n"/>
      <c r="D191" s="55" t="n"/>
      <c r="E191" s="93" t="n"/>
      <c r="F191" s="94" t="n"/>
      <c r="G191" s="94" t="n"/>
      <c r="H191" s="94" t="n"/>
      <c r="I191" s="94" t="n"/>
      <c r="J191" s="55" t="n"/>
      <c r="K191" s="95" t="n"/>
      <c r="L191" s="116">
        <f>IF($A191="","",DATE(YEAR($A191),MONTH($A191)+IF(AND(IFERROR(N(INDEX(Übersicht!$M$15:$M$22,MATCH($B191,Übersicht!$A$15:$A$22,0))),0)&gt;1,DAY($A191)&gt;=IFERROR(N(INDEX(Übersicht!$M$15:$M$22,MATCH($B191,Übersicht!$A$15:$A$22,0))),0)),1,0),1))</f>
        <v/>
      </c>
    </row>
    <row r="192">
      <c r="A192" s="92" t="n"/>
      <c r="B192" s="55" t="n"/>
      <c r="C192" s="55" t="n"/>
      <c r="D192" s="55" t="n"/>
      <c r="E192" s="93" t="n"/>
      <c r="F192" s="94" t="n"/>
      <c r="G192" s="94" t="n"/>
      <c r="H192" s="94" t="n"/>
      <c r="I192" s="94" t="n"/>
      <c r="J192" s="55" t="n"/>
      <c r="K192" s="95" t="n"/>
      <c r="L192" s="116">
        <f>IF($A192="","",DATE(YEAR($A192),MONTH($A192)+IF(AND(IFERROR(N(INDEX(Übersicht!$M$15:$M$22,MATCH($B192,Übersicht!$A$15:$A$22,0))),0)&gt;1,DAY($A192)&gt;=IFERROR(N(INDEX(Übersicht!$M$15:$M$22,MATCH($B192,Übersicht!$A$15:$A$22,0))),0)),1,0),1))</f>
        <v/>
      </c>
    </row>
    <row r="193">
      <c r="A193" s="92" t="n"/>
      <c r="B193" s="55" t="n"/>
      <c r="C193" s="55" t="n"/>
      <c r="D193" s="55" t="n"/>
      <c r="E193" s="93" t="n"/>
      <c r="F193" s="94" t="n"/>
      <c r="G193" s="94" t="n"/>
      <c r="H193" s="94" t="n"/>
      <c r="I193" s="94" t="n"/>
      <c r="J193" s="55" t="n"/>
      <c r="K193" s="95" t="n"/>
      <c r="L193" s="116">
        <f>IF($A193="","",DATE(YEAR($A193),MONTH($A193)+IF(AND(IFERROR(N(INDEX(Übersicht!$M$15:$M$22,MATCH($B193,Übersicht!$A$15:$A$22,0))),0)&gt;1,DAY($A193)&gt;=IFERROR(N(INDEX(Übersicht!$M$15:$M$22,MATCH($B193,Übersicht!$A$15:$A$22,0))),0)),1,0),1))</f>
        <v/>
      </c>
    </row>
    <row r="194">
      <c r="A194" s="92" t="n"/>
      <c r="B194" s="55" t="n"/>
      <c r="C194" s="55" t="n"/>
      <c r="D194" s="55" t="n"/>
      <c r="E194" s="93" t="n"/>
      <c r="F194" s="94" t="n"/>
      <c r="G194" s="94" t="n"/>
      <c r="H194" s="94" t="n"/>
      <c r="I194" s="94" t="n"/>
      <c r="J194" s="55" t="n"/>
      <c r="K194" s="95" t="n"/>
      <c r="L194" s="116">
        <f>IF($A194="","",DATE(YEAR($A194),MONTH($A194)+IF(AND(IFERROR(N(INDEX(Übersicht!$M$15:$M$22,MATCH($B194,Übersicht!$A$15:$A$22,0))),0)&gt;1,DAY($A194)&gt;=IFERROR(N(INDEX(Übersicht!$M$15:$M$22,MATCH($B194,Übersicht!$A$15:$A$22,0))),0)),1,0),1))</f>
        <v/>
      </c>
    </row>
    <row r="195">
      <c r="A195" s="92" t="n"/>
      <c r="B195" s="55" t="n"/>
      <c r="C195" s="55" t="n"/>
      <c r="D195" s="55" t="n"/>
      <c r="E195" s="93" t="n"/>
      <c r="F195" s="94" t="n"/>
      <c r="G195" s="94" t="n"/>
      <c r="H195" s="94" t="n"/>
      <c r="I195" s="94" t="n"/>
      <c r="J195" s="55" t="n"/>
      <c r="K195" s="95" t="n"/>
      <c r="L195" s="116">
        <f>IF($A195="","",DATE(YEAR($A195),MONTH($A195)+IF(AND(IFERROR(N(INDEX(Übersicht!$M$15:$M$22,MATCH($B195,Übersicht!$A$15:$A$22,0))),0)&gt;1,DAY($A195)&gt;=IFERROR(N(INDEX(Übersicht!$M$15:$M$22,MATCH($B195,Übersicht!$A$15:$A$22,0))),0)),1,0),1))</f>
        <v/>
      </c>
    </row>
    <row r="196">
      <c r="A196" s="92" t="n"/>
      <c r="B196" s="55" t="n"/>
      <c r="C196" s="55" t="n"/>
      <c r="D196" s="55" t="n"/>
      <c r="E196" s="93" t="n"/>
      <c r="F196" s="94" t="n"/>
      <c r="G196" s="94" t="n"/>
      <c r="H196" s="94" t="n"/>
      <c r="I196" s="94" t="n"/>
      <c r="J196" s="55" t="n"/>
      <c r="K196" s="95" t="n"/>
      <c r="L196" s="116">
        <f>IF($A196="","",DATE(YEAR($A196),MONTH($A196)+IF(AND(IFERROR(N(INDEX(Übersicht!$M$15:$M$22,MATCH($B196,Übersicht!$A$15:$A$22,0))),0)&gt;1,DAY($A196)&gt;=IFERROR(N(INDEX(Übersicht!$M$15:$M$22,MATCH($B196,Übersicht!$A$15:$A$22,0))),0)),1,0),1))</f>
        <v/>
      </c>
    </row>
    <row r="197">
      <c r="A197" s="92" t="n"/>
      <c r="B197" s="55" t="n"/>
      <c r="C197" s="55" t="n"/>
      <c r="D197" s="55" t="n"/>
      <c r="E197" s="93" t="n"/>
      <c r="F197" s="94" t="n"/>
      <c r="G197" s="94" t="n"/>
      <c r="H197" s="94" t="n"/>
      <c r="I197" s="94" t="n"/>
      <c r="J197" s="55" t="n"/>
      <c r="K197" s="95" t="n"/>
      <c r="L197" s="116">
        <f>IF($A197="","",DATE(YEAR($A197),MONTH($A197)+IF(AND(IFERROR(N(INDEX(Übersicht!$M$15:$M$22,MATCH($B197,Übersicht!$A$15:$A$22,0))),0)&gt;1,DAY($A197)&gt;=IFERROR(N(INDEX(Übersicht!$M$15:$M$22,MATCH($B197,Übersicht!$A$15:$A$22,0))),0)),1,0),1))</f>
        <v/>
      </c>
    </row>
    <row r="198">
      <c r="A198" s="92" t="n"/>
      <c r="B198" s="55" t="n"/>
      <c r="C198" s="55" t="n"/>
      <c r="D198" s="55" t="n"/>
      <c r="E198" s="93" t="n"/>
      <c r="F198" s="94" t="n"/>
      <c r="G198" s="94" t="n"/>
      <c r="H198" s="94" t="n"/>
      <c r="I198" s="94" t="n"/>
      <c r="J198" s="55" t="n"/>
      <c r="K198" s="95" t="n"/>
      <c r="L198" s="116">
        <f>IF($A198="","",DATE(YEAR($A198),MONTH($A198)+IF(AND(IFERROR(N(INDEX(Übersicht!$M$15:$M$22,MATCH($B198,Übersicht!$A$15:$A$22,0))),0)&gt;1,DAY($A198)&gt;=IFERROR(N(INDEX(Übersicht!$M$15:$M$22,MATCH($B198,Übersicht!$A$15:$A$22,0))),0)),1,0),1))</f>
        <v/>
      </c>
    </row>
    <row r="199">
      <c r="A199" s="92" t="n"/>
      <c r="B199" s="55" t="n"/>
      <c r="C199" s="55" t="n"/>
      <c r="D199" s="55" t="n"/>
      <c r="E199" s="93" t="n"/>
      <c r="F199" s="94" t="n"/>
      <c r="G199" s="94" t="n"/>
      <c r="H199" s="94" t="n"/>
      <c r="I199" s="94" t="n"/>
      <c r="J199" s="55" t="n"/>
      <c r="K199" s="95" t="n"/>
      <c r="L199" s="116">
        <f>IF($A199="","",DATE(YEAR($A199),MONTH($A199)+IF(AND(IFERROR(N(INDEX(Übersicht!$M$15:$M$22,MATCH($B199,Übersicht!$A$15:$A$22,0))),0)&gt;1,DAY($A199)&gt;=IFERROR(N(INDEX(Übersicht!$M$15:$M$22,MATCH($B199,Übersicht!$A$15:$A$22,0))),0)),1,0),1))</f>
        <v/>
      </c>
    </row>
    <row r="200">
      <c r="A200" s="92" t="n"/>
      <c r="B200" s="55" t="n"/>
      <c r="C200" s="55" t="n"/>
      <c r="D200" s="55" t="n"/>
      <c r="E200" s="93" t="n"/>
      <c r="F200" s="94" t="n"/>
      <c r="G200" s="94" t="n"/>
      <c r="H200" s="94" t="n"/>
      <c r="I200" s="94" t="n"/>
      <c r="J200" s="55" t="n"/>
      <c r="K200" s="95" t="n"/>
      <c r="L200" s="116">
        <f>IF($A200="","",DATE(YEAR($A200),MONTH($A200)+IF(AND(IFERROR(N(INDEX(Übersicht!$M$15:$M$22,MATCH($B200,Übersicht!$A$15:$A$22,0))),0)&gt;1,DAY($A200)&gt;=IFERROR(N(INDEX(Übersicht!$M$15:$M$22,MATCH($B200,Übersicht!$A$15:$A$22,0))),0)),1,0),1))</f>
        <v/>
      </c>
    </row>
    <row r="201">
      <c r="A201" s="92" t="n"/>
      <c r="B201" s="55" t="n"/>
      <c r="C201" s="55" t="n"/>
      <c r="D201" s="55" t="n"/>
      <c r="E201" s="93" t="n"/>
      <c r="F201" s="94" t="n"/>
      <c r="G201" s="94" t="n"/>
      <c r="H201" s="94" t="n"/>
      <c r="I201" s="94" t="n"/>
      <c r="J201" s="55" t="n"/>
      <c r="K201" s="95" t="n"/>
      <c r="L201" s="116">
        <f>IF($A201="","",DATE(YEAR($A201),MONTH($A201)+IF(AND(IFERROR(N(INDEX(Übersicht!$M$15:$M$22,MATCH($B201,Übersicht!$A$15:$A$22,0))),0)&gt;1,DAY($A201)&gt;=IFERROR(N(INDEX(Übersicht!$M$15:$M$22,MATCH($B201,Übersicht!$A$15:$A$22,0))),0)),1,0),1))</f>
        <v/>
      </c>
    </row>
    <row r="202">
      <c r="A202" s="92" t="n"/>
      <c r="B202" s="55" t="n"/>
      <c r="C202" s="55" t="n"/>
      <c r="D202" s="55" t="n"/>
      <c r="E202" s="93" t="n"/>
      <c r="F202" s="94" t="n"/>
      <c r="G202" s="94" t="n"/>
      <c r="H202" s="94" t="n"/>
      <c r="I202" s="94" t="n"/>
      <c r="J202" s="55" t="n"/>
      <c r="K202" s="95" t="n"/>
      <c r="L202" s="116">
        <f>IF($A202="","",DATE(YEAR($A202),MONTH($A202)+IF(AND(IFERROR(N(INDEX(Übersicht!$M$15:$M$22,MATCH($B202,Übersicht!$A$15:$A$22,0))),0)&gt;1,DAY($A202)&gt;=IFERROR(N(INDEX(Übersicht!$M$15:$M$22,MATCH($B202,Übersicht!$A$15:$A$22,0))),0)),1,0),1))</f>
        <v/>
      </c>
    </row>
    <row r="203">
      <c r="A203" s="92" t="n"/>
      <c r="B203" s="55" t="n"/>
      <c r="C203" s="55" t="n"/>
      <c r="D203" s="55" t="n"/>
      <c r="E203" s="93" t="n"/>
      <c r="F203" s="94" t="n"/>
      <c r="G203" s="94" t="n"/>
      <c r="H203" s="94" t="n"/>
      <c r="I203" s="94" t="n"/>
      <c r="J203" s="55" t="n"/>
      <c r="K203" s="95" t="n"/>
      <c r="L203" s="116">
        <f>IF($A203="","",DATE(YEAR($A203),MONTH($A203)+IF(AND(IFERROR(N(INDEX(Übersicht!$M$15:$M$22,MATCH($B203,Übersicht!$A$15:$A$22,0))),0)&gt;1,DAY($A203)&gt;=IFERROR(N(INDEX(Übersicht!$M$15:$M$22,MATCH($B203,Übersicht!$A$15:$A$22,0))),0)),1,0),1))</f>
        <v/>
      </c>
    </row>
    <row r="204">
      <c r="A204" s="92" t="n"/>
      <c r="B204" s="55" t="n"/>
      <c r="C204" s="55" t="n"/>
      <c r="D204" s="55" t="n"/>
      <c r="E204" s="93" t="n"/>
      <c r="F204" s="94" t="n"/>
      <c r="G204" s="94" t="n"/>
      <c r="H204" s="94" t="n"/>
      <c r="I204" s="94" t="n"/>
      <c r="J204" s="55" t="n"/>
      <c r="K204" s="95" t="n"/>
      <c r="L204" s="116">
        <f>IF($A204="","",DATE(YEAR($A204),MONTH($A204)+IF(AND(IFERROR(N(INDEX(Übersicht!$M$15:$M$22,MATCH($B204,Übersicht!$A$15:$A$22,0))),0)&gt;1,DAY($A204)&gt;=IFERROR(N(INDEX(Übersicht!$M$15:$M$22,MATCH($B204,Übersicht!$A$15:$A$22,0))),0)),1,0),1))</f>
        <v/>
      </c>
    </row>
    <row r="205">
      <c r="A205" s="92" t="n"/>
      <c r="B205" s="55" t="n"/>
      <c r="C205" s="55" t="n"/>
      <c r="D205" s="55" t="n"/>
      <c r="E205" s="93" t="n"/>
      <c r="F205" s="94" t="n"/>
      <c r="G205" s="94" t="n"/>
      <c r="H205" s="94" t="n"/>
      <c r="I205" s="94" t="n"/>
      <c r="J205" s="55" t="n"/>
      <c r="K205" s="95" t="n"/>
      <c r="L205" s="116">
        <f>IF($A205="","",DATE(YEAR($A205),MONTH($A205)+IF(AND(IFERROR(N(INDEX(Übersicht!$M$15:$M$22,MATCH($B205,Übersicht!$A$15:$A$22,0))),0)&gt;1,DAY($A205)&gt;=IFERROR(N(INDEX(Übersicht!$M$15:$M$22,MATCH($B205,Übersicht!$A$15:$A$22,0))),0)),1,0),1))</f>
        <v/>
      </c>
    </row>
    <row r="206">
      <c r="A206" s="92" t="n"/>
      <c r="B206" s="55" t="n"/>
      <c r="C206" s="55" t="n"/>
      <c r="D206" s="55" t="n"/>
      <c r="E206" s="93" t="n"/>
      <c r="F206" s="94" t="n"/>
      <c r="G206" s="94" t="n"/>
      <c r="H206" s="94" t="n"/>
      <c r="I206" s="94" t="n"/>
      <c r="J206" s="55" t="n"/>
      <c r="K206" s="95" t="n"/>
      <c r="L206" s="116">
        <f>IF($A206="","",DATE(YEAR($A206),MONTH($A206)+IF(AND(IFERROR(N(INDEX(Übersicht!$M$15:$M$22,MATCH($B206,Übersicht!$A$15:$A$22,0))),0)&gt;1,DAY($A206)&gt;=IFERROR(N(INDEX(Übersicht!$M$15:$M$22,MATCH($B206,Übersicht!$A$15:$A$22,0))),0)),1,0),1))</f>
        <v/>
      </c>
    </row>
    <row r="207">
      <c r="A207" s="92" t="n"/>
      <c r="B207" s="55" t="n"/>
      <c r="C207" s="55" t="n"/>
      <c r="D207" s="55" t="n"/>
      <c r="E207" s="93" t="n"/>
      <c r="F207" s="94" t="n"/>
      <c r="G207" s="94" t="n"/>
      <c r="H207" s="94" t="n"/>
      <c r="I207" s="94" t="n"/>
      <c r="J207" s="55" t="n"/>
      <c r="K207" s="95" t="n"/>
      <c r="L207" s="116">
        <f>IF($A207="","",DATE(YEAR($A207),MONTH($A207)+IF(AND(IFERROR(N(INDEX(Übersicht!$M$15:$M$22,MATCH($B207,Übersicht!$A$15:$A$22,0))),0)&gt;1,DAY($A207)&gt;=IFERROR(N(INDEX(Übersicht!$M$15:$M$22,MATCH($B207,Übersicht!$A$15:$A$22,0))),0)),1,0),1))</f>
        <v/>
      </c>
    </row>
    <row r="208">
      <c r="A208" s="92" t="n"/>
      <c r="B208" s="55" t="n"/>
      <c r="C208" s="55" t="n"/>
      <c r="D208" s="55" t="n"/>
      <c r="E208" s="93" t="n"/>
      <c r="F208" s="94" t="n"/>
      <c r="G208" s="94" t="n"/>
      <c r="H208" s="94" t="n"/>
      <c r="I208" s="94" t="n"/>
      <c r="J208" s="55" t="n"/>
      <c r="K208" s="95" t="n"/>
      <c r="L208" s="116">
        <f>IF($A208="","",DATE(YEAR($A208),MONTH($A208)+IF(AND(IFERROR(N(INDEX(Übersicht!$M$15:$M$22,MATCH($B208,Übersicht!$A$15:$A$22,0))),0)&gt;1,DAY($A208)&gt;=IFERROR(N(INDEX(Übersicht!$M$15:$M$22,MATCH($B208,Übersicht!$A$15:$A$22,0))),0)),1,0),1))</f>
        <v/>
      </c>
    </row>
    <row r="209">
      <c r="A209" s="92" t="n"/>
      <c r="B209" s="55" t="n"/>
      <c r="C209" s="55" t="n"/>
      <c r="D209" s="55" t="n"/>
      <c r="E209" s="93" t="n"/>
      <c r="F209" s="94" t="n"/>
      <c r="G209" s="94" t="n"/>
      <c r="H209" s="94" t="n"/>
      <c r="I209" s="94" t="n"/>
      <c r="J209" s="55" t="n"/>
      <c r="K209" s="95" t="n"/>
      <c r="L209" s="116">
        <f>IF($A209="","",DATE(YEAR($A209),MONTH($A209)+IF(AND(IFERROR(N(INDEX(Übersicht!$M$15:$M$22,MATCH($B209,Übersicht!$A$15:$A$22,0))),0)&gt;1,DAY($A209)&gt;=IFERROR(N(INDEX(Übersicht!$M$15:$M$22,MATCH($B209,Übersicht!$A$15:$A$22,0))),0)),1,0),1))</f>
        <v/>
      </c>
    </row>
    <row r="210">
      <c r="A210" s="92" t="n"/>
      <c r="B210" s="55" t="n"/>
      <c r="C210" s="55" t="n"/>
      <c r="D210" s="55" t="n"/>
      <c r="E210" s="93" t="n"/>
      <c r="F210" s="94" t="n"/>
      <c r="G210" s="94" t="n"/>
      <c r="H210" s="94" t="n"/>
      <c r="I210" s="94" t="n"/>
      <c r="J210" s="55" t="n"/>
      <c r="K210" s="95" t="n"/>
      <c r="L210" s="116">
        <f>IF($A210="","",DATE(YEAR($A210),MONTH($A210)+IF(AND(IFERROR(N(INDEX(Übersicht!$M$15:$M$22,MATCH($B210,Übersicht!$A$15:$A$22,0))),0)&gt;1,DAY($A210)&gt;=IFERROR(N(INDEX(Übersicht!$M$15:$M$22,MATCH($B210,Übersicht!$A$15:$A$22,0))),0)),1,0),1))</f>
        <v/>
      </c>
    </row>
    <row r="211">
      <c r="A211" s="92" t="n"/>
      <c r="B211" s="55" t="n"/>
      <c r="C211" s="55" t="n"/>
      <c r="D211" s="55" t="n"/>
      <c r="E211" s="93" t="n"/>
      <c r="F211" s="94" t="n"/>
      <c r="G211" s="94" t="n"/>
      <c r="H211" s="94" t="n"/>
      <c r="I211" s="94" t="n"/>
      <c r="J211" s="55" t="n"/>
      <c r="K211" s="95" t="n"/>
      <c r="L211" s="116">
        <f>IF($A211="","",DATE(YEAR($A211),MONTH($A211)+IF(AND(IFERROR(N(INDEX(Übersicht!$M$15:$M$22,MATCH($B211,Übersicht!$A$15:$A$22,0))),0)&gt;1,DAY($A211)&gt;=IFERROR(N(INDEX(Übersicht!$M$15:$M$22,MATCH($B211,Übersicht!$A$15:$A$22,0))),0)),1,0),1))</f>
        <v/>
      </c>
    </row>
    <row r="212">
      <c r="A212" s="92" t="n"/>
      <c r="B212" s="55" t="n"/>
      <c r="C212" s="55" t="n"/>
      <c r="D212" s="55" t="n"/>
      <c r="E212" s="93" t="n"/>
      <c r="F212" s="94" t="n"/>
      <c r="G212" s="94" t="n"/>
      <c r="H212" s="94" t="n"/>
      <c r="I212" s="94" t="n"/>
      <c r="J212" s="55" t="n"/>
      <c r="K212" s="95" t="n"/>
      <c r="L212" s="116">
        <f>IF($A212="","",DATE(YEAR($A212),MONTH($A212)+IF(AND(IFERROR(N(INDEX(Übersicht!$M$15:$M$22,MATCH($B212,Übersicht!$A$15:$A$22,0))),0)&gt;1,DAY($A212)&gt;=IFERROR(N(INDEX(Übersicht!$M$15:$M$22,MATCH($B212,Übersicht!$A$15:$A$22,0))),0)),1,0),1))</f>
        <v/>
      </c>
    </row>
    <row r="213">
      <c r="A213" s="92" t="n"/>
      <c r="B213" s="55" t="n"/>
      <c r="C213" s="55" t="n"/>
      <c r="D213" s="55" t="n"/>
      <c r="E213" s="93" t="n"/>
      <c r="F213" s="94" t="n"/>
      <c r="G213" s="94" t="n"/>
      <c r="H213" s="94" t="n"/>
      <c r="I213" s="94" t="n"/>
      <c r="J213" s="55" t="n"/>
      <c r="K213" s="95" t="n"/>
      <c r="L213" s="116">
        <f>IF($A213="","",DATE(YEAR($A213),MONTH($A213)+IF(AND(IFERROR(N(INDEX(Übersicht!$M$15:$M$22,MATCH($B213,Übersicht!$A$15:$A$22,0))),0)&gt;1,DAY($A213)&gt;=IFERROR(N(INDEX(Übersicht!$M$15:$M$22,MATCH($B213,Übersicht!$A$15:$A$22,0))),0)),1,0),1))</f>
        <v/>
      </c>
    </row>
    <row r="214">
      <c r="A214" s="92" t="n"/>
      <c r="B214" s="55" t="n"/>
      <c r="C214" s="55" t="n"/>
      <c r="D214" s="55" t="n"/>
      <c r="E214" s="93" t="n"/>
      <c r="F214" s="94" t="n"/>
      <c r="G214" s="94" t="n"/>
      <c r="H214" s="94" t="n"/>
      <c r="I214" s="94" t="n"/>
      <c r="J214" s="55" t="n"/>
      <c r="K214" s="95" t="n"/>
      <c r="L214" s="116">
        <f>IF($A214="","",DATE(YEAR($A214),MONTH($A214)+IF(AND(IFERROR(N(INDEX(Übersicht!$M$15:$M$22,MATCH($B214,Übersicht!$A$15:$A$22,0))),0)&gt;1,DAY($A214)&gt;=IFERROR(N(INDEX(Übersicht!$M$15:$M$22,MATCH($B214,Übersicht!$A$15:$A$22,0))),0)),1,0),1))</f>
        <v/>
      </c>
    </row>
    <row r="215">
      <c r="A215" s="92" t="n"/>
      <c r="B215" s="55" t="n"/>
      <c r="C215" s="55" t="n"/>
      <c r="D215" s="55" t="n"/>
      <c r="E215" s="93" t="n"/>
      <c r="F215" s="94" t="n"/>
      <c r="G215" s="94" t="n"/>
      <c r="H215" s="94" t="n"/>
      <c r="I215" s="94" t="n"/>
      <c r="J215" s="55" t="n"/>
      <c r="K215" s="95" t="n"/>
      <c r="L215" s="116">
        <f>IF($A215="","",DATE(YEAR($A215),MONTH($A215)+IF(AND(IFERROR(N(INDEX(Übersicht!$M$15:$M$22,MATCH($B215,Übersicht!$A$15:$A$22,0))),0)&gt;1,DAY($A215)&gt;=IFERROR(N(INDEX(Übersicht!$M$15:$M$22,MATCH($B215,Übersicht!$A$15:$A$22,0))),0)),1,0),1))</f>
        <v/>
      </c>
    </row>
    <row r="216">
      <c r="A216" s="92" t="n"/>
      <c r="B216" s="55" t="n"/>
      <c r="C216" s="55" t="n"/>
      <c r="D216" s="55" t="n"/>
      <c r="E216" s="93" t="n"/>
      <c r="F216" s="94" t="n"/>
      <c r="G216" s="94" t="n"/>
      <c r="H216" s="94" t="n"/>
      <c r="I216" s="94" t="n"/>
      <c r="J216" s="55" t="n"/>
      <c r="K216" s="95" t="n"/>
      <c r="L216" s="116">
        <f>IF($A216="","",DATE(YEAR($A216),MONTH($A216)+IF(AND(IFERROR(N(INDEX(Übersicht!$M$15:$M$22,MATCH($B216,Übersicht!$A$15:$A$22,0))),0)&gt;1,DAY($A216)&gt;=IFERROR(N(INDEX(Übersicht!$M$15:$M$22,MATCH($B216,Übersicht!$A$15:$A$22,0))),0)),1,0),1))</f>
        <v/>
      </c>
    </row>
    <row r="217">
      <c r="A217" s="92" t="n"/>
      <c r="B217" s="55" t="n"/>
      <c r="C217" s="55" t="n"/>
      <c r="D217" s="55" t="n"/>
      <c r="E217" s="93" t="n"/>
      <c r="F217" s="94" t="n"/>
      <c r="G217" s="94" t="n"/>
      <c r="H217" s="94" t="n"/>
      <c r="I217" s="94" t="n"/>
      <c r="J217" s="55" t="n"/>
      <c r="K217" s="95" t="n"/>
      <c r="L217" s="116">
        <f>IF($A217="","",DATE(YEAR($A217),MONTH($A217)+IF(AND(IFERROR(N(INDEX(Übersicht!$M$15:$M$22,MATCH($B217,Übersicht!$A$15:$A$22,0))),0)&gt;1,DAY($A217)&gt;=IFERROR(N(INDEX(Übersicht!$M$15:$M$22,MATCH($B217,Übersicht!$A$15:$A$22,0))),0)),1,0),1))</f>
        <v/>
      </c>
    </row>
    <row r="218">
      <c r="A218" s="92" t="n"/>
      <c r="B218" s="55" t="n"/>
      <c r="C218" s="55" t="n"/>
      <c r="D218" s="55" t="n"/>
      <c r="E218" s="93" t="n"/>
      <c r="F218" s="94" t="n"/>
      <c r="G218" s="94" t="n"/>
      <c r="H218" s="94" t="n"/>
      <c r="I218" s="94" t="n"/>
      <c r="J218" s="55" t="n"/>
      <c r="K218" s="95" t="n"/>
      <c r="L218" s="116">
        <f>IF($A218="","",DATE(YEAR($A218),MONTH($A218)+IF(AND(IFERROR(N(INDEX(Übersicht!$M$15:$M$22,MATCH($B218,Übersicht!$A$15:$A$22,0))),0)&gt;1,DAY($A218)&gt;=IFERROR(N(INDEX(Übersicht!$M$15:$M$22,MATCH($B218,Übersicht!$A$15:$A$22,0))),0)),1,0),1))</f>
        <v/>
      </c>
    </row>
    <row r="219">
      <c r="A219" s="92" t="n"/>
      <c r="B219" s="55" t="n"/>
      <c r="C219" s="55" t="n"/>
      <c r="D219" s="55" t="n"/>
      <c r="E219" s="93" t="n"/>
      <c r="F219" s="94" t="n"/>
      <c r="G219" s="94" t="n"/>
      <c r="H219" s="94" t="n"/>
      <c r="I219" s="94" t="n"/>
      <c r="J219" s="55" t="n"/>
      <c r="K219" s="95" t="n"/>
      <c r="L219" s="116">
        <f>IF($A219="","",DATE(YEAR($A219),MONTH($A219)+IF(AND(IFERROR(N(INDEX(Übersicht!$M$15:$M$22,MATCH($B219,Übersicht!$A$15:$A$22,0))),0)&gt;1,DAY($A219)&gt;=IFERROR(N(INDEX(Übersicht!$M$15:$M$22,MATCH($B219,Übersicht!$A$15:$A$22,0))),0)),1,0),1))</f>
        <v/>
      </c>
    </row>
    <row r="220">
      <c r="A220" s="92" t="n"/>
      <c r="B220" s="55" t="n"/>
      <c r="C220" s="55" t="n"/>
      <c r="D220" s="55" t="n"/>
      <c r="E220" s="93" t="n"/>
      <c r="F220" s="94" t="n"/>
      <c r="G220" s="94" t="n"/>
      <c r="H220" s="94" t="n"/>
      <c r="I220" s="94" t="n"/>
      <c r="J220" s="55" t="n"/>
      <c r="K220" s="95" t="n"/>
      <c r="L220" s="116">
        <f>IF($A220="","",DATE(YEAR($A220),MONTH($A220)+IF(AND(IFERROR(N(INDEX(Übersicht!$M$15:$M$22,MATCH($B220,Übersicht!$A$15:$A$22,0))),0)&gt;1,DAY($A220)&gt;=IFERROR(N(INDEX(Übersicht!$M$15:$M$22,MATCH($B220,Übersicht!$A$15:$A$22,0))),0)),1,0),1))</f>
        <v/>
      </c>
    </row>
    <row r="221">
      <c r="A221" s="92" t="n"/>
      <c r="B221" s="55" t="n"/>
      <c r="C221" s="55" t="n"/>
      <c r="D221" s="55" t="n"/>
      <c r="E221" s="93" t="n"/>
      <c r="F221" s="94" t="n"/>
      <c r="G221" s="94" t="n"/>
      <c r="H221" s="94" t="n"/>
      <c r="I221" s="94" t="n"/>
      <c r="J221" s="55" t="n"/>
      <c r="K221" s="95" t="n"/>
      <c r="L221" s="116">
        <f>IF($A221="","",DATE(YEAR($A221),MONTH($A221)+IF(AND(IFERROR(N(INDEX(Übersicht!$M$15:$M$22,MATCH($B221,Übersicht!$A$15:$A$22,0))),0)&gt;1,DAY($A221)&gt;=IFERROR(N(INDEX(Übersicht!$M$15:$M$22,MATCH($B221,Übersicht!$A$15:$A$22,0))),0)),1,0),1))</f>
        <v/>
      </c>
    </row>
    <row r="222">
      <c r="A222" s="92" t="n"/>
      <c r="B222" s="55" t="n"/>
      <c r="C222" s="55" t="n"/>
      <c r="D222" s="55" t="n"/>
      <c r="E222" s="93" t="n"/>
      <c r="F222" s="94" t="n"/>
      <c r="G222" s="94" t="n"/>
      <c r="H222" s="94" t="n"/>
      <c r="I222" s="94" t="n"/>
      <c r="J222" s="55" t="n"/>
      <c r="K222" s="95" t="n"/>
      <c r="L222" s="116">
        <f>IF($A222="","",DATE(YEAR($A222),MONTH($A222)+IF(AND(IFERROR(N(INDEX(Übersicht!$M$15:$M$22,MATCH($B222,Übersicht!$A$15:$A$22,0))),0)&gt;1,DAY($A222)&gt;=IFERROR(N(INDEX(Übersicht!$M$15:$M$22,MATCH($B222,Übersicht!$A$15:$A$22,0))),0)),1,0),1))</f>
        <v/>
      </c>
    </row>
    <row r="223">
      <c r="A223" s="92" t="n"/>
      <c r="B223" s="55" t="n"/>
      <c r="C223" s="55" t="n"/>
      <c r="D223" s="55" t="n"/>
      <c r="E223" s="93" t="n"/>
      <c r="F223" s="94" t="n"/>
      <c r="G223" s="94" t="n"/>
      <c r="H223" s="94" t="n"/>
      <c r="I223" s="94" t="n"/>
      <c r="J223" s="55" t="n"/>
      <c r="K223" s="95" t="n"/>
      <c r="L223" s="116">
        <f>IF($A223="","",DATE(YEAR($A223),MONTH($A223)+IF(AND(IFERROR(N(INDEX(Übersicht!$M$15:$M$22,MATCH($B223,Übersicht!$A$15:$A$22,0))),0)&gt;1,DAY($A223)&gt;=IFERROR(N(INDEX(Übersicht!$M$15:$M$22,MATCH($B223,Übersicht!$A$15:$A$22,0))),0)),1,0),1))</f>
        <v/>
      </c>
    </row>
    <row r="224">
      <c r="A224" s="92" t="n"/>
      <c r="B224" s="55" t="n"/>
      <c r="C224" s="55" t="n"/>
      <c r="D224" s="55" t="n"/>
      <c r="E224" s="93" t="n"/>
      <c r="F224" s="94" t="n"/>
      <c r="G224" s="94" t="n"/>
      <c r="H224" s="94" t="n"/>
      <c r="I224" s="94" t="n"/>
      <c r="J224" s="55" t="n"/>
      <c r="K224" s="95" t="n"/>
      <c r="L224" s="116">
        <f>IF($A224="","",DATE(YEAR($A224),MONTH($A224)+IF(AND(IFERROR(N(INDEX(Übersicht!$M$15:$M$22,MATCH($B224,Übersicht!$A$15:$A$22,0))),0)&gt;1,DAY($A224)&gt;=IFERROR(N(INDEX(Übersicht!$M$15:$M$22,MATCH($B224,Übersicht!$A$15:$A$22,0))),0)),1,0),1))</f>
        <v/>
      </c>
    </row>
    <row r="225">
      <c r="A225" s="92" t="n"/>
      <c r="B225" s="55" t="n"/>
      <c r="C225" s="55" t="n"/>
      <c r="D225" s="55" t="n"/>
      <c r="E225" s="93" t="n"/>
      <c r="F225" s="94" t="n"/>
      <c r="G225" s="94" t="n"/>
      <c r="H225" s="94" t="n"/>
      <c r="I225" s="94" t="n"/>
      <c r="J225" s="55" t="n"/>
      <c r="K225" s="95" t="n"/>
      <c r="L225" s="116">
        <f>IF($A225="","",DATE(YEAR($A225),MONTH($A225)+IF(AND(IFERROR(N(INDEX(Übersicht!$M$15:$M$22,MATCH($B225,Übersicht!$A$15:$A$22,0))),0)&gt;1,DAY($A225)&gt;=IFERROR(N(INDEX(Übersicht!$M$15:$M$22,MATCH($B225,Übersicht!$A$15:$A$22,0))),0)),1,0),1))</f>
        <v/>
      </c>
    </row>
    <row r="226">
      <c r="A226" s="92" t="n"/>
      <c r="B226" s="55" t="n"/>
      <c r="C226" s="55" t="n"/>
      <c r="D226" s="55" t="n"/>
      <c r="E226" s="93" t="n"/>
      <c r="F226" s="94" t="n"/>
      <c r="G226" s="94" t="n"/>
      <c r="H226" s="94" t="n"/>
      <c r="I226" s="94" t="n"/>
      <c r="J226" s="55" t="n"/>
      <c r="K226" s="95" t="n"/>
      <c r="L226" s="116">
        <f>IF($A226="","",DATE(YEAR($A226),MONTH($A226)+IF(AND(IFERROR(N(INDEX(Übersicht!$M$15:$M$22,MATCH($B226,Übersicht!$A$15:$A$22,0))),0)&gt;1,DAY($A226)&gt;=IFERROR(N(INDEX(Übersicht!$M$15:$M$22,MATCH($B226,Übersicht!$A$15:$A$22,0))),0)),1,0),1))</f>
        <v/>
      </c>
    </row>
    <row r="227">
      <c r="A227" s="92" t="n"/>
      <c r="B227" s="55" t="n"/>
      <c r="C227" s="55" t="n"/>
      <c r="D227" s="55" t="n"/>
      <c r="E227" s="93" t="n"/>
      <c r="F227" s="94" t="n"/>
      <c r="G227" s="94" t="n"/>
      <c r="H227" s="94" t="n"/>
      <c r="I227" s="94" t="n"/>
      <c r="J227" s="55" t="n"/>
      <c r="K227" s="95" t="n"/>
      <c r="L227" s="116">
        <f>IF($A227="","",DATE(YEAR($A227),MONTH($A227)+IF(AND(IFERROR(N(INDEX(Übersicht!$M$15:$M$22,MATCH($B227,Übersicht!$A$15:$A$22,0))),0)&gt;1,DAY($A227)&gt;=IFERROR(N(INDEX(Übersicht!$M$15:$M$22,MATCH($B227,Übersicht!$A$15:$A$22,0))),0)),1,0),1))</f>
        <v/>
      </c>
    </row>
    <row r="228">
      <c r="A228" s="92" t="n"/>
      <c r="B228" s="55" t="n"/>
      <c r="C228" s="55" t="n"/>
      <c r="D228" s="55" t="n"/>
      <c r="E228" s="93" t="n"/>
      <c r="F228" s="94" t="n"/>
      <c r="G228" s="94" t="n"/>
      <c r="H228" s="94" t="n"/>
      <c r="I228" s="94" t="n"/>
      <c r="J228" s="55" t="n"/>
      <c r="K228" s="95" t="n"/>
      <c r="L228" s="116">
        <f>IF($A228="","",DATE(YEAR($A228),MONTH($A228)+IF(AND(IFERROR(N(INDEX(Übersicht!$M$15:$M$22,MATCH($B228,Übersicht!$A$15:$A$22,0))),0)&gt;1,DAY($A228)&gt;=IFERROR(N(INDEX(Übersicht!$M$15:$M$22,MATCH($B228,Übersicht!$A$15:$A$22,0))),0)),1,0),1))</f>
        <v/>
      </c>
    </row>
    <row r="229">
      <c r="A229" s="92" t="n"/>
      <c r="B229" s="55" t="n"/>
      <c r="C229" s="55" t="n"/>
      <c r="D229" s="55" t="n"/>
      <c r="E229" s="93" t="n"/>
      <c r="F229" s="94" t="n"/>
      <c r="G229" s="94" t="n"/>
      <c r="H229" s="94" t="n"/>
      <c r="I229" s="94" t="n"/>
      <c r="J229" s="55" t="n"/>
      <c r="K229" s="95" t="n"/>
      <c r="L229" s="116">
        <f>IF($A229="","",DATE(YEAR($A229),MONTH($A229)+IF(AND(IFERROR(N(INDEX(Übersicht!$M$15:$M$22,MATCH($B229,Übersicht!$A$15:$A$22,0))),0)&gt;1,DAY($A229)&gt;=IFERROR(N(INDEX(Übersicht!$M$15:$M$22,MATCH($B229,Übersicht!$A$15:$A$22,0))),0)),1,0),1))</f>
        <v/>
      </c>
    </row>
    <row r="230">
      <c r="A230" s="92" t="n"/>
      <c r="B230" s="55" t="n"/>
      <c r="C230" s="55" t="n"/>
      <c r="D230" s="55" t="n"/>
      <c r="E230" s="93" t="n"/>
      <c r="F230" s="94" t="n"/>
      <c r="G230" s="94" t="n"/>
      <c r="H230" s="94" t="n"/>
      <c r="I230" s="94" t="n"/>
      <c r="J230" s="55" t="n"/>
      <c r="K230" s="95" t="n"/>
      <c r="L230" s="116">
        <f>IF($A230="","",DATE(YEAR($A230),MONTH($A230)+IF(AND(IFERROR(N(INDEX(Übersicht!$M$15:$M$22,MATCH($B230,Übersicht!$A$15:$A$22,0))),0)&gt;1,DAY($A230)&gt;=IFERROR(N(INDEX(Übersicht!$M$15:$M$22,MATCH($B230,Übersicht!$A$15:$A$22,0))),0)),1,0),1))</f>
        <v/>
      </c>
    </row>
    <row r="231">
      <c r="A231" s="92" t="n"/>
      <c r="B231" s="55" t="n"/>
      <c r="C231" s="55" t="n"/>
      <c r="D231" s="55" t="n"/>
      <c r="E231" s="93" t="n"/>
      <c r="F231" s="94" t="n"/>
      <c r="G231" s="94" t="n"/>
      <c r="H231" s="94" t="n"/>
      <c r="I231" s="94" t="n"/>
      <c r="J231" s="55" t="n"/>
      <c r="K231" s="95" t="n"/>
      <c r="L231" s="116">
        <f>IF($A231="","",DATE(YEAR($A231),MONTH($A231)+IF(AND(IFERROR(N(INDEX(Übersicht!$M$15:$M$22,MATCH($B231,Übersicht!$A$15:$A$22,0))),0)&gt;1,DAY($A231)&gt;=IFERROR(N(INDEX(Übersicht!$M$15:$M$22,MATCH($B231,Übersicht!$A$15:$A$22,0))),0)),1,0),1))</f>
        <v/>
      </c>
    </row>
    <row r="232">
      <c r="A232" s="92" t="n"/>
      <c r="B232" s="55" t="n"/>
      <c r="C232" s="55" t="n"/>
      <c r="D232" s="55" t="n"/>
      <c r="E232" s="93" t="n"/>
      <c r="F232" s="94" t="n"/>
      <c r="G232" s="94" t="n"/>
      <c r="H232" s="94" t="n"/>
      <c r="I232" s="94" t="n"/>
      <c r="J232" s="55" t="n"/>
      <c r="K232" s="95" t="n"/>
      <c r="L232" s="116">
        <f>IF($A232="","",DATE(YEAR($A232),MONTH($A232)+IF(AND(IFERROR(N(INDEX(Übersicht!$M$15:$M$22,MATCH($B232,Übersicht!$A$15:$A$22,0))),0)&gt;1,DAY($A232)&gt;=IFERROR(N(INDEX(Übersicht!$M$15:$M$22,MATCH($B232,Übersicht!$A$15:$A$22,0))),0)),1,0),1))</f>
        <v/>
      </c>
    </row>
    <row r="233">
      <c r="A233" s="92" t="n"/>
      <c r="B233" s="55" t="n"/>
      <c r="C233" s="55" t="n"/>
      <c r="D233" s="55" t="n"/>
      <c r="E233" s="93" t="n"/>
      <c r="F233" s="94" t="n"/>
      <c r="G233" s="94" t="n"/>
      <c r="H233" s="94" t="n"/>
      <c r="I233" s="94" t="n"/>
      <c r="J233" s="55" t="n"/>
      <c r="K233" s="95" t="n"/>
      <c r="L233" s="116">
        <f>IF($A233="","",DATE(YEAR($A233),MONTH($A233)+IF(AND(IFERROR(N(INDEX(Übersicht!$M$15:$M$22,MATCH($B233,Übersicht!$A$15:$A$22,0))),0)&gt;1,DAY($A233)&gt;=IFERROR(N(INDEX(Übersicht!$M$15:$M$22,MATCH($B233,Übersicht!$A$15:$A$22,0))),0)),1,0),1))</f>
        <v/>
      </c>
    </row>
    <row r="234">
      <c r="A234" s="92" t="n"/>
      <c r="B234" s="55" t="n"/>
      <c r="C234" s="55" t="n"/>
      <c r="D234" s="55" t="n"/>
      <c r="E234" s="93" t="n"/>
      <c r="F234" s="94" t="n"/>
      <c r="G234" s="94" t="n"/>
      <c r="H234" s="94" t="n"/>
      <c r="I234" s="94" t="n"/>
      <c r="J234" s="55" t="n"/>
      <c r="K234" s="95" t="n"/>
      <c r="L234" s="116">
        <f>IF($A234="","",DATE(YEAR($A234),MONTH($A234)+IF(AND(IFERROR(N(INDEX(Übersicht!$M$15:$M$22,MATCH($B234,Übersicht!$A$15:$A$22,0))),0)&gt;1,DAY($A234)&gt;=IFERROR(N(INDEX(Übersicht!$M$15:$M$22,MATCH($B234,Übersicht!$A$15:$A$22,0))),0)),1,0),1))</f>
        <v/>
      </c>
    </row>
    <row r="235">
      <c r="A235" s="92" t="n"/>
      <c r="B235" s="55" t="n"/>
      <c r="C235" s="55" t="n"/>
      <c r="D235" s="55" t="n"/>
      <c r="E235" s="93" t="n"/>
      <c r="F235" s="94" t="n"/>
      <c r="G235" s="94" t="n"/>
      <c r="H235" s="94" t="n"/>
      <c r="I235" s="94" t="n"/>
      <c r="J235" s="55" t="n"/>
      <c r="K235" s="95" t="n"/>
      <c r="L235" s="116">
        <f>IF($A235="","",DATE(YEAR($A235),MONTH($A235)+IF(AND(IFERROR(N(INDEX(Übersicht!$M$15:$M$22,MATCH($B235,Übersicht!$A$15:$A$22,0))),0)&gt;1,DAY($A235)&gt;=IFERROR(N(INDEX(Übersicht!$M$15:$M$22,MATCH($B235,Übersicht!$A$15:$A$22,0))),0)),1,0),1))</f>
        <v/>
      </c>
    </row>
    <row r="236">
      <c r="A236" s="92" t="n"/>
      <c r="B236" s="55" t="n"/>
      <c r="C236" s="55" t="n"/>
      <c r="D236" s="55" t="n"/>
      <c r="E236" s="93" t="n"/>
      <c r="F236" s="94" t="n"/>
      <c r="G236" s="94" t="n"/>
      <c r="H236" s="94" t="n"/>
      <c r="I236" s="94" t="n"/>
      <c r="J236" s="55" t="n"/>
      <c r="K236" s="95" t="n"/>
      <c r="L236" s="116">
        <f>IF($A236="","",DATE(YEAR($A236),MONTH($A236)+IF(AND(IFERROR(N(INDEX(Übersicht!$M$15:$M$22,MATCH($B236,Übersicht!$A$15:$A$22,0))),0)&gt;1,DAY($A236)&gt;=IFERROR(N(INDEX(Übersicht!$M$15:$M$22,MATCH($B236,Übersicht!$A$15:$A$22,0))),0)),1,0),1))</f>
        <v/>
      </c>
    </row>
    <row r="237">
      <c r="A237" s="92" t="n"/>
      <c r="B237" s="55" t="n"/>
      <c r="C237" s="55" t="n"/>
      <c r="D237" s="55" t="n"/>
      <c r="E237" s="93" t="n"/>
      <c r="F237" s="94" t="n"/>
      <c r="G237" s="94" t="n"/>
      <c r="H237" s="94" t="n"/>
      <c r="I237" s="94" t="n"/>
      <c r="J237" s="55" t="n"/>
      <c r="K237" s="95" t="n"/>
      <c r="L237" s="116">
        <f>IF($A237="","",DATE(YEAR($A237),MONTH($A237)+IF(AND(IFERROR(N(INDEX(Übersicht!$M$15:$M$22,MATCH($B237,Übersicht!$A$15:$A$22,0))),0)&gt;1,DAY($A237)&gt;=IFERROR(N(INDEX(Übersicht!$M$15:$M$22,MATCH($B237,Übersicht!$A$15:$A$22,0))),0)),1,0),1))</f>
        <v/>
      </c>
    </row>
    <row r="238">
      <c r="A238" s="92" t="n"/>
      <c r="B238" s="55" t="n"/>
      <c r="C238" s="55" t="n"/>
      <c r="D238" s="55" t="n"/>
      <c r="E238" s="93" t="n"/>
      <c r="F238" s="94" t="n"/>
      <c r="G238" s="94" t="n"/>
      <c r="H238" s="94" t="n"/>
      <c r="I238" s="94" t="n"/>
      <c r="J238" s="55" t="n"/>
      <c r="K238" s="95" t="n"/>
      <c r="L238" s="116">
        <f>IF($A238="","",DATE(YEAR($A238),MONTH($A238)+IF(AND(IFERROR(N(INDEX(Übersicht!$M$15:$M$22,MATCH($B238,Übersicht!$A$15:$A$22,0))),0)&gt;1,DAY($A238)&gt;=IFERROR(N(INDEX(Übersicht!$M$15:$M$22,MATCH($B238,Übersicht!$A$15:$A$22,0))),0)),1,0),1))</f>
        <v/>
      </c>
    </row>
    <row r="239">
      <c r="A239" s="92" t="n"/>
      <c r="B239" s="55" t="n"/>
      <c r="C239" s="55" t="n"/>
      <c r="D239" s="55" t="n"/>
      <c r="E239" s="93" t="n"/>
      <c r="F239" s="94" t="n"/>
      <c r="G239" s="94" t="n"/>
      <c r="H239" s="94" t="n"/>
      <c r="I239" s="94" t="n"/>
      <c r="J239" s="55" t="n"/>
      <c r="K239" s="95" t="n"/>
      <c r="L239" s="116">
        <f>IF($A239="","",DATE(YEAR($A239),MONTH($A239)+IF(AND(IFERROR(N(INDEX(Übersicht!$M$15:$M$22,MATCH($B239,Übersicht!$A$15:$A$22,0))),0)&gt;1,DAY($A239)&gt;=IFERROR(N(INDEX(Übersicht!$M$15:$M$22,MATCH($B239,Übersicht!$A$15:$A$22,0))),0)),1,0),1))</f>
        <v/>
      </c>
    </row>
    <row r="240">
      <c r="A240" s="92" t="n"/>
      <c r="B240" s="55" t="n"/>
      <c r="C240" s="55" t="n"/>
      <c r="D240" s="55" t="n"/>
      <c r="E240" s="93" t="n"/>
      <c r="F240" s="94" t="n"/>
      <c r="G240" s="94" t="n"/>
      <c r="H240" s="94" t="n"/>
      <c r="I240" s="94" t="n"/>
      <c r="J240" s="55" t="n"/>
      <c r="K240" s="95" t="n"/>
      <c r="L240" s="116">
        <f>IF($A240="","",DATE(YEAR($A240),MONTH($A240)+IF(AND(IFERROR(N(INDEX(Übersicht!$M$15:$M$22,MATCH($B240,Übersicht!$A$15:$A$22,0))),0)&gt;1,DAY($A240)&gt;=IFERROR(N(INDEX(Übersicht!$M$15:$M$22,MATCH($B240,Übersicht!$A$15:$A$22,0))),0)),1,0),1))</f>
        <v/>
      </c>
    </row>
    <row r="241">
      <c r="A241" s="92" t="n"/>
      <c r="B241" s="55" t="n"/>
      <c r="C241" s="55" t="n"/>
      <c r="D241" s="55" t="n"/>
      <c r="E241" s="93" t="n"/>
      <c r="F241" s="94" t="n"/>
      <c r="G241" s="94" t="n"/>
      <c r="H241" s="94" t="n"/>
      <c r="I241" s="94" t="n"/>
      <c r="J241" s="55" t="n"/>
      <c r="K241" s="95" t="n"/>
      <c r="L241" s="116">
        <f>IF($A241="","",DATE(YEAR($A241),MONTH($A241)+IF(AND(IFERROR(N(INDEX(Übersicht!$M$15:$M$22,MATCH($B241,Übersicht!$A$15:$A$22,0))),0)&gt;1,DAY($A241)&gt;=IFERROR(N(INDEX(Übersicht!$M$15:$M$22,MATCH($B241,Übersicht!$A$15:$A$22,0))),0)),1,0),1))</f>
        <v/>
      </c>
    </row>
    <row r="242">
      <c r="A242" s="92" t="n"/>
      <c r="B242" s="55" t="n"/>
      <c r="C242" s="55" t="n"/>
      <c r="D242" s="55" t="n"/>
      <c r="E242" s="93" t="n"/>
      <c r="F242" s="94" t="n"/>
      <c r="G242" s="94" t="n"/>
      <c r="H242" s="94" t="n"/>
      <c r="I242" s="94" t="n"/>
      <c r="J242" s="55" t="n"/>
      <c r="K242" s="95" t="n"/>
      <c r="L242" s="116">
        <f>IF($A242="","",DATE(YEAR($A242),MONTH($A242)+IF(AND(IFERROR(N(INDEX(Übersicht!$M$15:$M$22,MATCH($B242,Übersicht!$A$15:$A$22,0))),0)&gt;1,DAY($A242)&gt;=IFERROR(N(INDEX(Übersicht!$M$15:$M$22,MATCH($B242,Übersicht!$A$15:$A$22,0))),0)),1,0),1))</f>
        <v/>
      </c>
    </row>
    <row r="243">
      <c r="A243" s="92" t="n"/>
      <c r="B243" s="55" t="n"/>
      <c r="C243" s="55" t="n"/>
      <c r="D243" s="55" t="n"/>
      <c r="E243" s="93" t="n"/>
      <c r="F243" s="94" t="n"/>
      <c r="G243" s="94" t="n"/>
      <c r="H243" s="94" t="n"/>
      <c r="I243" s="94" t="n"/>
      <c r="J243" s="55" t="n"/>
      <c r="K243" s="95" t="n"/>
      <c r="L243" s="116">
        <f>IF($A243="","",DATE(YEAR($A243),MONTH($A243)+IF(AND(IFERROR(N(INDEX(Übersicht!$M$15:$M$22,MATCH($B243,Übersicht!$A$15:$A$22,0))),0)&gt;1,DAY($A243)&gt;=IFERROR(N(INDEX(Übersicht!$M$15:$M$22,MATCH($B243,Übersicht!$A$15:$A$22,0))),0)),1,0),1))</f>
        <v/>
      </c>
    </row>
    <row r="244">
      <c r="A244" s="92" t="n"/>
      <c r="B244" s="55" t="n"/>
      <c r="C244" s="55" t="n"/>
      <c r="D244" s="55" t="n"/>
      <c r="E244" s="93" t="n"/>
      <c r="F244" s="94" t="n"/>
      <c r="G244" s="94" t="n"/>
      <c r="H244" s="94" t="n"/>
      <c r="I244" s="94" t="n"/>
      <c r="J244" s="55" t="n"/>
      <c r="K244" s="95" t="n"/>
      <c r="L244" s="116">
        <f>IF($A244="","",DATE(YEAR($A244),MONTH($A244)+IF(AND(IFERROR(N(INDEX(Übersicht!$M$15:$M$22,MATCH($B244,Übersicht!$A$15:$A$22,0))),0)&gt;1,DAY($A244)&gt;=IFERROR(N(INDEX(Übersicht!$M$15:$M$22,MATCH($B244,Übersicht!$A$15:$A$22,0))),0)),1,0),1))</f>
        <v/>
      </c>
    </row>
    <row r="245">
      <c r="A245" s="92" t="n"/>
      <c r="B245" s="55" t="n"/>
      <c r="C245" s="55" t="n"/>
      <c r="D245" s="55" t="n"/>
      <c r="E245" s="93" t="n"/>
      <c r="F245" s="94" t="n"/>
      <c r="G245" s="94" t="n"/>
      <c r="H245" s="94" t="n"/>
      <c r="I245" s="94" t="n"/>
      <c r="J245" s="55" t="n"/>
      <c r="K245" s="95" t="n"/>
      <c r="L245" s="116">
        <f>IF($A245="","",DATE(YEAR($A245),MONTH($A245)+IF(AND(IFERROR(N(INDEX(Übersicht!$M$15:$M$22,MATCH($B245,Übersicht!$A$15:$A$22,0))),0)&gt;1,DAY($A245)&gt;=IFERROR(N(INDEX(Übersicht!$M$15:$M$22,MATCH($B245,Übersicht!$A$15:$A$22,0))),0)),1,0),1))</f>
        <v/>
      </c>
    </row>
    <row r="246">
      <c r="A246" s="92" t="n"/>
      <c r="B246" s="55" t="n"/>
      <c r="C246" s="55" t="n"/>
      <c r="D246" s="55" t="n"/>
      <c r="E246" s="93" t="n"/>
      <c r="F246" s="94" t="n"/>
      <c r="G246" s="94" t="n"/>
      <c r="H246" s="94" t="n"/>
      <c r="I246" s="94" t="n"/>
      <c r="J246" s="55" t="n"/>
      <c r="K246" s="95" t="n"/>
      <c r="L246" s="116">
        <f>IF($A246="","",DATE(YEAR($A246),MONTH($A246)+IF(AND(IFERROR(N(INDEX(Übersicht!$M$15:$M$22,MATCH($B246,Übersicht!$A$15:$A$22,0))),0)&gt;1,DAY($A246)&gt;=IFERROR(N(INDEX(Übersicht!$M$15:$M$22,MATCH($B246,Übersicht!$A$15:$A$22,0))),0)),1,0),1))</f>
        <v/>
      </c>
    </row>
    <row r="247">
      <c r="A247" s="92" t="n"/>
      <c r="B247" s="55" t="n"/>
      <c r="C247" s="55" t="n"/>
      <c r="D247" s="55" t="n"/>
      <c r="E247" s="93" t="n"/>
      <c r="F247" s="94" t="n"/>
      <c r="G247" s="94" t="n"/>
      <c r="H247" s="94" t="n"/>
      <c r="I247" s="94" t="n"/>
      <c r="J247" s="55" t="n"/>
      <c r="K247" s="95" t="n"/>
      <c r="L247" s="116">
        <f>IF($A247="","",DATE(YEAR($A247),MONTH($A247)+IF(AND(IFERROR(N(INDEX(Übersicht!$M$15:$M$22,MATCH($B247,Übersicht!$A$15:$A$22,0))),0)&gt;1,DAY($A247)&gt;=IFERROR(N(INDEX(Übersicht!$M$15:$M$22,MATCH($B247,Übersicht!$A$15:$A$22,0))),0)),1,0),1))</f>
        <v/>
      </c>
    </row>
    <row r="248">
      <c r="A248" s="92" t="n"/>
      <c r="B248" s="55" t="n"/>
      <c r="C248" s="55" t="n"/>
      <c r="D248" s="55" t="n"/>
      <c r="E248" s="93" t="n"/>
      <c r="F248" s="94" t="n"/>
      <c r="G248" s="94" t="n"/>
      <c r="H248" s="94" t="n"/>
      <c r="I248" s="94" t="n"/>
      <c r="J248" s="55" t="n"/>
      <c r="K248" s="95" t="n"/>
      <c r="L248" s="116">
        <f>IF($A248="","",DATE(YEAR($A248),MONTH($A248)+IF(AND(IFERROR(N(INDEX(Übersicht!$M$15:$M$22,MATCH($B248,Übersicht!$A$15:$A$22,0))),0)&gt;1,DAY($A248)&gt;=IFERROR(N(INDEX(Übersicht!$M$15:$M$22,MATCH($B248,Übersicht!$A$15:$A$22,0))),0)),1,0),1))</f>
        <v/>
      </c>
    </row>
    <row r="249">
      <c r="A249" s="92" t="n"/>
      <c r="B249" s="55" t="n"/>
      <c r="C249" s="55" t="n"/>
      <c r="D249" s="55" t="n"/>
      <c r="E249" s="93" t="n"/>
      <c r="F249" s="94" t="n"/>
      <c r="G249" s="94" t="n"/>
      <c r="H249" s="94" t="n"/>
      <c r="I249" s="94" t="n"/>
      <c r="J249" s="55" t="n"/>
      <c r="K249" s="95" t="n"/>
      <c r="L249" s="116">
        <f>IF($A249="","",DATE(YEAR($A249),MONTH($A249)+IF(AND(IFERROR(N(INDEX(Übersicht!$M$15:$M$22,MATCH($B249,Übersicht!$A$15:$A$22,0))),0)&gt;1,DAY($A249)&gt;=IFERROR(N(INDEX(Übersicht!$M$15:$M$22,MATCH($B249,Übersicht!$A$15:$A$22,0))),0)),1,0),1))</f>
        <v/>
      </c>
    </row>
    <row r="250">
      <c r="A250" s="92" t="n"/>
      <c r="B250" s="55" t="n"/>
      <c r="C250" s="55" t="n"/>
      <c r="D250" s="55" t="n"/>
      <c r="E250" s="93" t="n"/>
      <c r="F250" s="94" t="n"/>
      <c r="G250" s="94" t="n"/>
      <c r="H250" s="94" t="n"/>
      <c r="I250" s="94" t="n"/>
      <c r="J250" s="55" t="n"/>
      <c r="K250" s="95" t="n"/>
      <c r="L250" s="116">
        <f>IF($A250="","",DATE(YEAR($A250),MONTH($A250)+IF(AND(IFERROR(N(INDEX(Übersicht!$M$15:$M$22,MATCH($B250,Übersicht!$A$15:$A$22,0))),0)&gt;1,DAY($A250)&gt;=IFERROR(N(INDEX(Übersicht!$M$15:$M$22,MATCH($B250,Übersicht!$A$15:$A$22,0))),0)),1,0),1))</f>
        <v/>
      </c>
    </row>
    <row r="251">
      <c r="A251" s="92" t="n"/>
      <c r="B251" s="55" t="n"/>
      <c r="C251" s="55" t="n"/>
      <c r="D251" s="55" t="n"/>
      <c r="E251" s="93" t="n"/>
      <c r="F251" s="94" t="n"/>
      <c r="G251" s="94" t="n"/>
      <c r="H251" s="94" t="n"/>
      <c r="I251" s="94" t="n"/>
      <c r="J251" s="55" t="n"/>
      <c r="K251" s="95" t="n"/>
      <c r="L251" s="116">
        <f>IF($A251="","",DATE(YEAR($A251),MONTH($A251)+IF(AND(IFERROR(N(INDEX(Übersicht!$M$15:$M$22,MATCH($B251,Übersicht!$A$15:$A$22,0))),0)&gt;1,DAY($A251)&gt;=IFERROR(N(INDEX(Übersicht!$M$15:$M$22,MATCH($B251,Übersicht!$A$15:$A$22,0))),0)),1,0),1))</f>
        <v/>
      </c>
    </row>
    <row r="252">
      <c r="A252" s="92" t="n"/>
      <c r="B252" s="55" t="n"/>
      <c r="C252" s="55" t="n"/>
      <c r="D252" s="55" t="n"/>
      <c r="E252" s="93" t="n"/>
      <c r="F252" s="94" t="n"/>
      <c r="G252" s="94" t="n"/>
      <c r="H252" s="94" t="n"/>
      <c r="I252" s="94" t="n"/>
      <c r="J252" s="55" t="n"/>
      <c r="K252" s="95" t="n"/>
      <c r="L252" s="116">
        <f>IF($A252="","",DATE(YEAR($A252),MONTH($A252)+IF(AND(IFERROR(N(INDEX(Übersicht!$M$15:$M$22,MATCH($B252,Übersicht!$A$15:$A$22,0))),0)&gt;1,DAY($A252)&gt;=IFERROR(N(INDEX(Übersicht!$M$15:$M$22,MATCH($B252,Übersicht!$A$15:$A$22,0))),0)),1,0),1))</f>
        <v/>
      </c>
    </row>
    <row r="253">
      <c r="A253" s="92" t="n"/>
      <c r="B253" s="55" t="n"/>
      <c r="C253" s="55" t="n"/>
      <c r="D253" s="55" t="n"/>
      <c r="E253" s="93" t="n"/>
      <c r="F253" s="94" t="n"/>
      <c r="G253" s="94" t="n"/>
      <c r="H253" s="94" t="n"/>
      <c r="I253" s="94" t="n"/>
      <c r="J253" s="55" t="n"/>
      <c r="K253" s="95" t="n"/>
      <c r="L253" s="116">
        <f>IF($A253="","",DATE(YEAR($A253),MONTH($A253)+IF(AND(IFERROR(N(INDEX(Übersicht!$M$15:$M$22,MATCH($B253,Übersicht!$A$15:$A$22,0))),0)&gt;1,DAY($A253)&gt;=IFERROR(N(INDEX(Übersicht!$M$15:$M$22,MATCH($B253,Übersicht!$A$15:$A$22,0))),0)),1,0),1))</f>
        <v/>
      </c>
    </row>
    <row r="254">
      <c r="A254" s="92" t="n"/>
      <c r="B254" s="55" t="n"/>
      <c r="C254" s="55" t="n"/>
      <c r="D254" s="55" t="n"/>
      <c r="E254" s="93" t="n"/>
      <c r="F254" s="94" t="n"/>
      <c r="G254" s="94" t="n"/>
      <c r="H254" s="94" t="n"/>
      <c r="I254" s="94" t="n"/>
      <c r="J254" s="55" t="n"/>
      <c r="K254" s="95" t="n"/>
      <c r="L254" s="116">
        <f>IF($A254="","",DATE(YEAR($A254),MONTH($A254)+IF(AND(IFERROR(N(INDEX(Übersicht!$M$15:$M$22,MATCH($B254,Übersicht!$A$15:$A$22,0))),0)&gt;1,DAY($A254)&gt;=IFERROR(N(INDEX(Übersicht!$M$15:$M$22,MATCH($B254,Übersicht!$A$15:$A$22,0))),0)),1,0),1))</f>
        <v/>
      </c>
    </row>
    <row r="255">
      <c r="A255" s="92" t="n"/>
      <c r="B255" s="55" t="n"/>
      <c r="C255" s="55" t="n"/>
      <c r="D255" s="55" t="n"/>
      <c r="E255" s="93" t="n"/>
      <c r="F255" s="94" t="n"/>
      <c r="G255" s="94" t="n"/>
      <c r="H255" s="94" t="n"/>
      <c r="I255" s="94" t="n"/>
      <c r="J255" s="55" t="n"/>
      <c r="K255" s="95" t="n"/>
      <c r="L255" s="116">
        <f>IF($A255="","",DATE(YEAR($A255),MONTH($A255)+IF(AND(IFERROR(N(INDEX(Übersicht!$M$15:$M$22,MATCH($B255,Übersicht!$A$15:$A$22,0))),0)&gt;1,DAY($A255)&gt;=IFERROR(N(INDEX(Übersicht!$M$15:$M$22,MATCH($B255,Übersicht!$A$15:$A$22,0))),0)),1,0),1))</f>
        <v/>
      </c>
    </row>
    <row r="256">
      <c r="A256" s="92" t="n"/>
      <c r="B256" s="55" t="n"/>
      <c r="C256" s="55" t="n"/>
      <c r="D256" s="55" t="n"/>
      <c r="E256" s="93" t="n"/>
      <c r="F256" s="94" t="n"/>
      <c r="G256" s="94" t="n"/>
      <c r="H256" s="94" t="n"/>
      <c r="I256" s="94" t="n"/>
      <c r="J256" s="55" t="n"/>
      <c r="K256" s="95" t="n"/>
      <c r="L256" s="116">
        <f>IF($A256="","",DATE(YEAR($A256),MONTH($A256)+IF(AND(IFERROR(N(INDEX(Übersicht!$M$15:$M$22,MATCH($B256,Übersicht!$A$15:$A$22,0))),0)&gt;1,DAY($A256)&gt;=IFERROR(N(INDEX(Übersicht!$M$15:$M$22,MATCH($B256,Übersicht!$A$15:$A$22,0))),0)),1,0),1))</f>
        <v/>
      </c>
    </row>
    <row r="257">
      <c r="A257" s="92" t="n"/>
      <c r="B257" s="55" t="n"/>
      <c r="C257" s="55" t="n"/>
      <c r="D257" s="55" t="n"/>
      <c r="E257" s="93" t="n"/>
      <c r="F257" s="94" t="n"/>
      <c r="G257" s="94" t="n"/>
      <c r="H257" s="94" t="n"/>
      <c r="I257" s="94" t="n"/>
      <c r="J257" s="55" t="n"/>
      <c r="K257" s="95" t="n"/>
      <c r="L257" s="116">
        <f>IF($A257="","",DATE(YEAR($A257),MONTH($A257)+IF(AND(IFERROR(N(INDEX(Übersicht!$M$15:$M$22,MATCH($B257,Übersicht!$A$15:$A$22,0))),0)&gt;1,DAY($A257)&gt;=IFERROR(N(INDEX(Übersicht!$M$15:$M$22,MATCH($B257,Übersicht!$A$15:$A$22,0))),0)),1,0),1))</f>
        <v/>
      </c>
    </row>
    <row r="258">
      <c r="A258" s="92" t="n"/>
      <c r="B258" s="55" t="n"/>
      <c r="C258" s="55" t="n"/>
      <c r="D258" s="55" t="n"/>
      <c r="E258" s="93" t="n"/>
      <c r="F258" s="94" t="n"/>
      <c r="G258" s="94" t="n"/>
      <c r="H258" s="94" t="n"/>
      <c r="I258" s="94" t="n"/>
      <c r="J258" s="55" t="n"/>
      <c r="K258" s="95" t="n"/>
      <c r="L258" s="116">
        <f>IF($A258="","",DATE(YEAR($A258),MONTH($A258)+IF(AND(IFERROR(N(INDEX(Übersicht!$M$15:$M$22,MATCH($B258,Übersicht!$A$15:$A$22,0))),0)&gt;1,DAY($A258)&gt;=IFERROR(N(INDEX(Übersicht!$M$15:$M$22,MATCH($B258,Übersicht!$A$15:$A$22,0))),0)),1,0),1))</f>
        <v/>
      </c>
    </row>
    <row r="259">
      <c r="A259" s="92" t="n"/>
      <c r="B259" s="55" t="n"/>
      <c r="C259" s="55" t="n"/>
      <c r="D259" s="55" t="n"/>
      <c r="E259" s="93" t="n"/>
      <c r="F259" s="94" t="n"/>
      <c r="G259" s="94" t="n"/>
      <c r="H259" s="94" t="n"/>
      <c r="I259" s="94" t="n"/>
      <c r="J259" s="55" t="n"/>
      <c r="K259" s="95" t="n"/>
      <c r="L259" s="116">
        <f>IF($A259="","",DATE(YEAR($A259),MONTH($A259)+IF(AND(IFERROR(N(INDEX(Übersicht!$M$15:$M$22,MATCH($B259,Übersicht!$A$15:$A$22,0))),0)&gt;1,DAY($A259)&gt;=IFERROR(N(INDEX(Übersicht!$M$15:$M$22,MATCH($B259,Übersicht!$A$15:$A$22,0))),0)),1,0),1))</f>
        <v/>
      </c>
    </row>
    <row r="260">
      <c r="A260" s="92" t="n"/>
      <c r="B260" s="55" t="n"/>
      <c r="C260" s="55" t="n"/>
      <c r="D260" s="55" t="n"/>
      <c r="E260" s="93" t="n"/>
      <c r="F260" s="94" t="n"/>
      <c r="G260" s="94" t="n"/>
      <c r="H260" s="94" t="n"/>
      <c r="I260" s="94" t="n"/>
      <c r="J260" s="55" t="n"/>
      <c r="K260" s="95" t="n"/>
      <c r="L260" s="116">
        <f>IF($A260="","",DATE(YEAR($A260),MONTH($A260)+IF(AND(IFERROR(N(INDEX(Übersicht!$M$15:$M$22,MATCH($B260,Übersicht!$A$15:$A$22,0))),0)&gt;1,DAY($A260)&gt;=IFERROR(N(INDEX(Übersicht!$M$15:$M$22,MATCH($B260,Übersicht!$A$15:$A$22,0))),0)),1,0),1))</f>
        <v/>
      </c>
    </row>
    <row r="261">
      <c r="A261" s="92" t="n"/>
      <c r="B261" s="55" t="n"/>
      <c r="C261" s="55" t="n"/>
      <c r="D261" s="55" t="n"/>
      <c r="E261" s="93" t="n"/>
      <c r="F261" s="94" t="n"/>
      <c r="G261" s="94" t="n"/>
      <c r="H261" s="94" t="n"/>
      <c r="I261" s="94" t="n"/>
      <c r="J261" s="55" t="n"/>
      <c r="K261" s="95" t="n"/>
      <c r="L261" s="116">
        <f>IF($A261="","",DATE(YEAR($A261),MONTH($A261)+IF(AND(IFERROR(N(INDEX(Übersicht!$M$15:$M$22,MATCH($B261,Übersicht!$A$15:$A$22,0))),0)&gt;1,DAY($A261)&gt;=IFERROR(N(INDEX(Übersicht!$M$15:$M$22,MATCH($B261,Übersicht!$A$15:$A$22,0))),0)),1,0),1))</f>
        <v/>
      </c>
    </row>
    <row r="262">
      <c r="A262" s="92" t="n"/>
      <c r="B262" s="55" t="n"/>
      <c r="C262" s="55" t="n"/>
      <c r="D262" s="55" t="n"/>
      <c r="E262" s="93" t="n"/>
      <c r="F262" s="94" t="n"/>
      <c r="G262" s="94" t="n"/>
      <c r="H262" s="94" t="n"/>
      <c r="I262" s="94" t="n"/>
      <c r="J262" s="55" t="n"/>
      <c r="K262" s="95" t="n"/>
      <c r="L262" s="116">
        <f>IF($A262="","",DATE(YEAR($A262),MONTH($A262)+IF(AND(IFERROR(N(INDEX(Übersicht!$M$15:$M$22,MATCH($B262,Übersicht!$A$15:$A$22,0))),0)&gt;1,DAY($A262)&gt;=IFERROR(N(INDEX(Übersicht!$M$15:$M$22,MATCH($B262,Übersicht!$A$15:$A$22,0))),0)),1,0),1))</f>
        <v/>
      </c>
    </row>
    <row r="263">
      <c r="A263" s="92" t="n"/>
      <c r="B263" s="55" t="n"/>
      <c r="C263" s="55" t="n"/>
      <c r="D263" s="55" t="n"/>
      <c r="E263" s="93" t="n"/>
      <c r="F263" s="94" t="n"/>
      <c r="G263" s="94" t="n"/>
      <c r="H263" s="94" t="n"/>
      <c r="I263" s="94" t="n"/>
      <c r="J263" s="55" t="n"/>
      <c r="K263" s="95" t="n"/>
      <c r="L263" s="116">
        <f>IF($A263="","",DATE(YEAR($A263),MONTH($A263)+IF(AND(IFERROR(N(INDEX(Übersicht!$M$15:$M$22,MATCH($B263,Übersicht!$A$15:$A$22,0))),0)&gt;1,DAY($A263)&gt;=IFERROR(N(INDEX(Übersicht!$M$15:$M$22,MATCH($B263,Übersicht!$A$15:$A$22,0))),0)),1,0),1))</f>
        <v/>
      </c>
    </row>
    <row r="264">
      <c r="A264" s="92" t="n"/>
      <c r="B264" s="55" t="n"/>
      <c r="C264" s="55" t="n"/>
      <c r="D264" s="55" t="n"/>
      <c r="E264" s="93" t="n"/>
      <c r="F264" s="94" t="n"/>
      <c r="G264" s="94" t="n"/>
      <c r="H264" s="94" t="n"/>
      <c r="I264" s="94" t="n"/>
      <c r="J264" s="55" t="n"/>
      <c r="K264" s="95" t="n"/>
      <c r="L264" s="116">
        <f>IF($A264="","",DATE(YEAR($A264),MONTH($A264)+IF(AND(IFERROR(N(INDEX(Übersicht!$M$15:$M$22,MATCH($B264,Übersicht!$A$15:$A$22,0))),0)&gt;1,DAY($A264)&gt;=IFERROR(N(INDEX(Übersicht!$M$15:$M$22,MATCH($B264,Übersicht!$A$15:$A$22,0))),0)),1,0),1))</f>
        <v/>
      </c>
    </row>
    <row r="265">
      <c r="A265" s="92" t="n"/>
      <c r="B265" s="55" t="n"/>
      <c r="C265" s="55" t="n"/>
      <c r="D265" s="55" t="n"/>
      <c r="E265" s="93" t="n"/>
      <c r="F265" s="94" t="n"/>
      <c r="G265" s="94" t="n"/>
      <c r="H265" s="94" t="n"/>
      <c r="I265" s="94" t="n"/>
      <c r="J265" s="55" t="n"/>
      <c r="K265" s="95" t="n"/>
      <c r="L265" s="116">
        <f>IF($A265="","",DATE(YEAR($A265),MONTH($A265)+IF(AND(IFERROR(N(INDEX(Übersicht!$M$15:$M$22,MATCH($B265,Übersicht!$A$15:$A$22,0))),0)&gt;1,DAY($A265)&gt;=IFERROR(N(INDEX(Übersicht!$M$15:$M$22,MATCH($B265,Übersicht!$A$15:$A$22,0))),0)),1,0),1))</f>
        <v/>
      </c>
    </row>
    <row r="266">
      <c r="A266" s="92" t="n"/>
      <c r="B266" s="55" t="n"/>
      <c r="C266" s="55" t="n"/>
      <c r="D266" s="55" t="n"/>
      <c r="E266" s="93" t="n"/>
      <c r="F266" s="94" t="n"/>
      <c r="G266" s="94" t="n"/>
      <c r="H266" s="94" t="n"/>
      <c r="I266" s="94" t="n"/>
      <c r="J266" s="55" t="n"/>
      <c r="K266" s="95" t="n"/>
      <c r="L266" s="116">
        <f>IF($A266="","",DATE(YEAR($A266),MONTH($A266)+IF(AND(IFERROR(N(INDEX(Übersicht!$M$15:$M$22,MATCH($B266,Übersicht!$A$15:$A$22,0))),0)&gt;1,DAY($A266)&gt;=IFERROR(N(INDEX(Übersicht!$M$15:$M$22,MATCH($B266,Übersicht!$A$15:$A$22,0))),0)),1,0),1))</f>
        <v/>
      </c>
    </row>
    <row r="267">
      <c r="A267" s="92" t="n"/>
      <c r="B267" s="55" t="n"/>
      <c r="C267" s="55" t="n"/>
      <c r="D267" s="55" t="n"/>
      <c r="E267" s="93" t="n"/>
      <c r="F267" s="94" t="n"/>
      <c r="G267" s="94" t="n"/>
      <c r="H267" s="94" t="n"/>
      <c r="I267" s="94" t="n"/>
      <c r="J267" s="55" t="n"/>
      <c r="K267" s="95" t="n"/>
      <c r="L267" s="116">
        <f>IF($A267="","",DATE(YEAR($A267),MONTH($A267)+IF(AND(IFERROR(N(INDEX(Übersicht!$M$15:$M$22,MATCH($B267,Übersicht!$A$15:$A$22,0))),0)&gt;1,DAY($A267)&gt;=IFERROR(N(INDEX(Übersicht!$M$15:$M$22,MATCH($B267,Übersicht!$A$15:$A$22,0))),0)),1,0),1))</f>
        <v/>
      </c>
    </row>
    <row r="268">
      <c r="A268" s="92" t="n"/>
      <c r="B268" s="55" t="n"/>
      <c r="C268" s="55" t="n"/>
      <c r="D268" s="55" t="n"/>
      <c r="E268" s="93" t="n"/>
      <c r="F268" s="94" t="n"/>
      <c r="G268" s="94" t="n"/>
      <c r="H268" s="94" t="n"/>
      <c r="I268" s="94" t="n"/>
      <c r="J268" s="55" t="n"/>
      <c r="K268" s="95" t="n"/>
      <c r="L268" s="116">
        <f>IF($A268="","",DATE(YEAR($A268),MONTH($A268)+IF(AND(IFERROR(N(INDEX(Übersicht!$M$15:$M$22,MATCH($B268,Übersicht!$A$15:$A$22,0))),0)&gt;1,DAY($A268)&gt;=IFERROR(N(INDEX(Übersicht!$M$15:$M$22,MATCH($B268,Übersicht!$A$15:$A$22,0))),0)),1,0),1))</f>
        <v/>
      </c>
    </row>
    <row r="269">
      <c r="A269" s="92" t="n"/>
      <c r="B269" s="55" t="n"/>
      <c r="C269" s="55" t="n"/>
      <c r="D269" s="55" t="n"/>
      <c r="E269" s="93" t="n"/>
      <c r="F269" s="94" t="n"/>
      <c r="G269" s="94" t="n"/>
      <c r="H269" s="94" t="n"/>
      <c r="I269" s="94" t="n"/>
      <c r="J269" s="55" t="n"/>
      <c r="K269" s="95" t="n"/>
      <c r="L269" s="116">
        <f>IF($A269="","",DATE(YEAR($A269),MONTH($A269)+IF(AND(IFERROR(N(INDEX(Übersicht!$M$15:$M$22,MATCH($B269,Übersicht!$A$15:$A$22,0))),0)&gt;1,DAY($A269)&gt;=IFERROR(N(INDEX(Übersicht!$M$15:$M$22,MATCH($B269,Übersicht!$A$15:$A$22,0))),0)),1,0),1))</f>
        <v/>
      </c>
    </row>
    <row r="270">
      <c r="A270" s="92" t="n"/>
      <c r="B270" s="55" t="n"/>
      <c r="C270" s="55" t="n"/>
      <c r="D270" s="55" t="n"/>
      <c r="E270" s="93" t="n"/>
      <c r="F270" s="94" t="n"/>
      <c r="G270" s="94" t="n"/>
      <c r="H270" s="94" t="n"/>
      <c r="I270" s="94" t="n"/>
      <c r="J270" s="55" t="n"/>
      <c r="K270" s="95" t="n"/>
      <c r="L270" s="116">
        <f>IF($A270="","",DATE(YEAR($A270),MONTH($A270)+IF(AND(IFERROR(N(INDEX(Übersicht!$M$15:$M$22,MATCH($B270,Übersicht!$A$15:$A$22,0))),0)&gt;1,DAY($A270)&gt;=IFERROR(N(INDEX(Übersicht!$M$15:$M$22,MATCH($B270,Übersicht!$A$15:$A$22,0))),0)),1,0),1))</f>
        <v/>
      </c>
    </row>
    <row r="271">
      <c r="A271" s="92" t="n"/>
      <c r="B271" s="55" t="n"/>
      <c r="C271" s="55" t="n"/>
      <c r="D271" s="55" t="n"/>
      <c r="E271" s="93" t="n"/>
      <c r="F271" s="94" t="n"/>
      <c r="G271" s="94" t="n"/>
      <c r="H271" s="94" t="n"/>
      <c r="I271" s="94" t="n"/>
      <c r="J271" s="55" t="n"/>
      <c r="K271" s="95" t="n"/>
      <c r="L271" s="116">
        <f>IF($A271="","",DATE(YEAR($A271),MONTH($A271)+IF(AND(IFERROR(N(INDEX(Übersicht!$M$15:$M$22,MATCH($B271,Übersicht!$A$15:$A$22,0))),0)&gt;1,DAY($A271)&gt;=IFERROR(N(INDEX(Übersicht!$M$15:$M$22,MATCH($B271,Übersicht!$A$15:$A$22,0))),0)),1,0),1))</f>
        <v/>
      </c>
    </row>
    <row r="272">
      <c r="A272" s="92" t="n"/>
      <c r="B272" s="55" t="n"/>
      <c r="C272" s="55" t="n"/>
      <c r="D272" s="55" t="n"/>
      <c r="E272" s="93" t="n"/>
      <c r="F272" s="94" t="n"/>
      <c r="G272" s="94" t="n"/>
      <c r="H272" s="94" t="n"/>
      <c r="I272" s="94" t="n"/>
      <c r="J272" s="55" t="n"/>
      <c r="K272" s="95" t="n"/>
      <c r="L272" s="116">
        <f>IF($A272="","",DATE(YEAR($A272),MONTH($A272)+IF(AND(IFERROR(N(INDEX(Übersicht!$M$15:$M$22,MATCH($B272,Übersicht!$A$15:$A$22,0))),0)&gt;1,DAY($A272)&gt;=IFERROR(N(INDEX(Übersicht!$M$15:$M$22,MATCH($B272,Übersicht!$A$15:$A$22,0))),0)),1,0),1))</f>
        <v/>
      </c>
    </row>
    <row r="273">
      <c r="A273" s="92" t="n"/>
      <c r="B273" s="55" t="n"/>
      <c r="C273" s="55" t="n"/>
      <c r="D273" s="55" t="n"/>
      <c r="E273" s="93" t="n"/>
      <c r="F273" s="94" t="n"/>
      <c r="G273" s="94" t="n"/>
      <c r="H273" s="94" t="n"/>
      <c r="I273" s="94" t="n"/>
      <c r="J273" s="55" t="n"/>
      <c r="K273" s="95" t="n"/>
      <c r="L273" s="116">
        <f>IF($A273="","",DATE(YEAR($A273),MONTH($A273)+IF(AND(IFERROR(N(INDEX(Übersicht!$M$15:$M$22,MATCH($B273,Übersicht!$A$15:$A$22,0))),0)&gt;1,DAY($A273)&gt;=IFERROR(N(INDEX(Übersicht!$M$15:$M$22,MATCH($B273,Übersicht!$A$15:$A$22,0))),0)),1,0),1))</f>
        <v/>
      </c>
    </row>
    <row r="274">
      <c r="A274" s="92" t="n"/>
      <c r="B274" s="55" t="n"/>
      <c r="C274" s="55" t="n"/>
      <c r="D274" s="55" t="n"/>
      <c r="E274" s="93" t="n"/>
      <c r="F274" s="94" t="n"/>
      <c r="G274" s="94" t="n"/>
      <c r="H274" s="94" t="n"/>
      <c r="I274" s="94" t="n"/>
      <c r="J274" s="55" t="n"/>
      <c r="K274" s="95" t="n"/>
      <c r="L274" s="116">
        <f>IF($A274="","",DATE(YEAR($A274),MONTH($A274)+IF(AND(IFERROR(N(INDEX(Übersicht!$M$15:$M$22,MATCH($B274,Übersicht!$A$15:$A$22,0))),0)&gt;1,DAY($A274)&gt;=IFERROR(N(INDEX(Übersicht!$M$15:$M$22,MATCH($B274,Übersicht!$A$15:$A$22,0))),0)),1,0),1))</f>
        <v/>
      </c>
    </row>
    <row r="275">
      <c r="A275" s="92" t="n"/>
      <c r="B275" s="55" t="n"/>
      <c r="C275" s="55" t="n"/>
      <c r="D275" s="55" t="n"/>
      <c r="E275" s="93" t="n"/>
      <c r="F275" s="94" t="n"/>
      <c r="G275" s="94" t="n"/>
      <c r="H275" s="94" t="n"/>
      <c r="I275" s="94" t="n"/>
      <c r="J275" s="55" t="n"/>
      <c r="K275" s="95" t="n"/>
      <c r="L275" s="116">
        <f>IF($A275="","",DATE(YEAR($A275),MONTH($A275)+IF(AND(IFERROR(N(INDEX(Übersicht!$M$15:$M$22,MATCH($B275,Übersicht!$A$15:$A$22,0))),0)&gt;1,DAY($A275)&gt;=IFERROR(N(INDEX(Übersicht!$M$15:$M$22,MATCH($B275,Übersicht!$A$15:$A$22,0))),0)),1,0),1))</f>
        <v/>
      </c>
    </row>
    <row r="276">
      <c r="A276" s="92" t="n"/>
      <c r="B276" s="55" t="n"/>
      <c r="C276" s="55" t="n"/>
      <c r="D276" s="55" t="n"/>
      <c r="E276" s="93" t="n"/>
      <c r="F276" s="94" t="n"/>
      <c r="G276" s="94" t="n"/>
      <c r="H276" s="94" t="n"/>
      <c r="I276" s="94" t="n"/>
      <c r="J276" s="55" t="n"/>
      <c r="K276" s="95" t="n"/>
      <c r="L276" s="116">
        <f>IF($A276="","",DATE(YEAR($A276),MONTH($A276)+IF(AND(IFERROR(N(INDEX(Übersicht!$M$15:$M$22,MATCH($B276,Übersicht!$A$15:$A$22,0))),0)&gt;1,DAY($A276)&gt;=IFERROR(N(INDEX(Übersicht!$M$15:$M$22,MATCH($B276,Übersicht!$A$15:$A$22,0))),0)),1,0),1))</f>
        <v/>
      </c>
    </row>
    <row r="277">
      <c r="A277" s="92" t="n"/>
      <c r="B277" s="55" t="n"/>
      <c r="C277" s="55" t="n"/>
      <c r="D277" s="55" t="n"/>
      <c r="E277" s="93" t="n"/>
      <c r="F277" s="94" t="n"/>
      <c r="G277" s="94" t="n"/>
      <c r="H277" s="94" t="n"/>
      <c r="I277" s="94" t="n"/>
      <c r="J277" s="55" t="n"/>
      <c r="K277" s="95" t="n"/>
      <c r="L277" s="116">
        <f>IF($A277="","",DATE(YEAR($A277),MONTH($A277)+IF(AND(IFERROR(N(INDEX(Übersicht!$M$15:$M$22,MATCH($B277,Übersicht!$A$15:$A$22,0))),0)&gt;1,DAY($A277)&gt;=IFERROR(N(INDEX(Übersicht!$M$15:$M$22,MATCH($B277,Übersicht!$A$15:$A$22,0))),0)),1,0),1))</f>
        <v/>
      </c>
    </row>
    <row r="278">
      <c r="A278" s="92" t="n"/>
      <c r="B278" s="55" t="n"/>
      <c r="C278" s="55" t="n"/>
      <c r="D278" s="55" t="n"/>
      <c r="E278" s="93" t="n"/>
      <c r="F278" s="94" t="n"/>
      <c r="G278" s="94" t="n"/>
      <c r="H278" s="94" t="n"/>
      <c r="I278" s="94" t="n"/>
      <c r="J278" s="55" t="n"/>
      <c r="K278" s="95" t="n"/>
      <c r="L278" s="116">
        <f>IF($A278="","",DATE(YEAR($A278),MONTH($A278)+IF(AND(IFERROR(N(INDEX(Übersicht!$M$15:$M$22,MATCH($B278,Übersicht!$A$15:$A$22,0))),0)&gt;1,DAY($A278)&gt;=IFERROR(N(INDEX(Übersicht!$M$15:$M$22,MATCH($B278,Übersicht!$A$15:$A$22,0))),0)),1,0),1))</f>
        <v/>
      </c>
    </row>
    <row r="279">
      <c r="A279" s="92" t="n"/>
      <c r="B279" s="55" t="n"/>
      <c r="C279" s="55" t="n"/>
      <c r="D279" s="55" t="n"/>
      <c r="E279" s="93" t="n"/>
      <c r="F279" s="94" t="n"/>
      <c r="G279" s="94" t="n"/>
      <c r="H279" s="94" t="n"/>
      <c r="I279" s="94" t="n"/>
      <c r="J279" s="55" t="n"/>
      <c r="K279" s="95" t="n"/>
      <c r="L279" s="116">
        <f>IF($A279="","",DATE(YEAR($A279),MONTH($A279)+IF(AND(IFERROR(N(INDEX(Übersicht!$M$15:$M$22,MATCH($B279,Übersicht!$A$15:$A$22,0))),0)&gt;1,DAY($A279)&gt;=IFERROR(N(INDEX(Übersicht!$M$15:$M$22,MATCH($B279,Übersicht!$A$15:$A$22,0))),0)),1,0),1))</f>
        <v/>
      </c>
    </row>
    <row r="280">
      <c r="A280" s="92" t="n"/>
      <c r="B280" s="55" t="n"/>
      <c r="C280" s="55" t="n"/>
      <c r="D280" s="55" t="n"/>
      <c r="E280" s="93" t="n"/>
      <c r="F280" s="94" t="n"/>
      <c r="G280" s="94" t="n"/>
      <c r="H280" s="94" t="n"/>
      <c r="I280" s="94" t="n"/>
      <c r="J280" s="55" t="n"/>
      <c r="K280" s="95" t="n"/>
      <c r="L280" s="116">
        <f>IF($A280="","",DATE(YEAR($A280),MONTH($A280)+IF(AND(IFERROR(N(INDEX(Übersicht!$M$15:$M$22,MATCH($B280,Übersicht!$A$15:$A$22,0))),0)&gt;1,DAY($A280)&gt;=IFERROR(N(INDEX(Übersicht!$M$15:$M$22,MATCH($B280,Übersicht!$A$15:$A$22,0))),0)),1,0),1))</f>
        <v/>
      </c>
    </row>
    <row r="281">
      <c r="A281" s="92" t="n"/>
      <c r="B281" s="55" t="n"/>
      <c r="C281" s="55" t="n"/>
      <c r="D281" s="55" t="n"/>
      <c r="E281" s="93" t="n"/>
      <c r="F281" s="94" t="n"/>
      <c r="G281" s="94" t="n"/>
      <c r="H281" s="94" t="n"/>
      <c r="I281" s="94" t="n"/>
      <c r="J281" s="55" t="n"/>
      <c r="K281" s="95" t="n"/>
      <c r="L281" s="116">
        <f>IF($A281="","",DATE(YEAR($A281),MONTH($A281)+IF(AND(IFERROR(N(INDEX(Übersicht!$M$15:$M$22,MATCH($B281,Übersicht!$A$15:$A$22,0))),0)&gt;1,DAY($A281)&gt;=IFERROR(N(INDEX(Übersicht!$M$15:$M$22,MATCH($B281,Übersicht!$A$15:$A$22,0))),0)),1,0),1))</f>
        <v/>
      </c>
    </row>
    <row r="282">
      <c r="A282" s="92" t="n"/>
      <c r="B282" s="55" t="n"/>
      <c r="C282" s="55" t="n"/>
      <c r="D282" s="55" t="n"/>
      <c r="E282" s="93" t="n"/>
      <c r="F282" s="94" t="n"/>
      <c r="G282" s="94" t="n"/>
      <c r="H282" s="94" t="n"/>
      <c r="I282" s="94" t="n"/>
      <c r="J282" s="55" t="n"/>
      <c r="K282" s="95" t="n"/>
      <c r="L282" s="116">
        <f>IF($A282="","",DATE(YEAR($A282),MONTH($A282)+IF(AND(IFERROR(N(INDEX(Übersicht!$M$15:$M$22,MATCH($B282,Übersicht!$A$15:$A$22,0))),0)&gt;1,DAY($A282)&gt;=IFERROR(N(INDEX(Übersicht!$M$15:$M$22,MATCH($B282,Übersicht!$A$15:$A$22,0))),0)),1,0),1))</f>
        <v/>
      </c>
    </row>
    <row r="283">
      <c r="A283" s="92" t="n"/>
      <c r="B283" s="55" t="n"/>
      <c r="C283" s="55" t="n"/>
      <c r="D283" s="55" t="n"/>
      <c r="E283" s="93" t="n"/>
      <c r="F283" s="94" t="n"/>
      <c r="G283" s="94" t="n"/>
      <c r="H283" s="94" t="n"/>
      <c r="I283" s="94" t="n"/>
      <c r="J283" s="55" t="n"/>
      <c r="K283" s="95" t="n"/>
      <c r="L283" s="116">
        <f>IF($A283="","",DATE(YEAR($A283),MONTH($A283)+IF(AND(IFERROR(N(INDEX(Übersicht!$M$15:$M$22,MATCH($B283,Übersicht!$A$15:$A$22,0))),0)&gt;1,DAY($A283)&gt;=IFERROR(N(INDEX(Übersicht!$M$15:$M$22,MATCH($B283,Übersicht!$A$15:$A$22,0))),0)),1,0),1))</f>
        <v/>
      </c>
    </row>
    <row r="284">
      <c r="A284" s="92" t="n"/>
      <c r="B284" s="55" t="n"/>
      <c r="C284" s="55" t="n"/>
      <c r="D284" s="55" t="n"/>
      <c r="E284" s="93" t="n"/>
      <c r="F284" s="94" t="n"/>
      <c r="G284" s="94" t="n"/>
      <c r="H284" s="94" t="n"/>
      <c r="I284" s="94" t="n"/>
      <c r="J284" s="55" t="n"/>
      <c r="K284" s="95" t="n"/>
      <c r="L284" s="116">
        <f>IF($A284="","",DATE(YEAR($A284),MONTH($A284)+IF(AND(IFERROR(N(INDEX(Übersicht!$M$15:$M$22,MATCH($B284,Übersicht!$A$15:$A$22,0))),0)&gt;1,DAY($A284)&gt;=IFERROR(N(INDEX(Übersicht!$M$15:$M$22,MATCH($B284,Übersicht!$A$15:$A$22,0))),0)),1,0),1))</f>
        <v/>
      </c>
    </row>
    <row r="285">
      <c r="A285" s="92" t="n"/>
      <c r="B285" s="55" t="n"/>
      <c r="C285" s="55" t="n"/>
      <c r="D285" s="55" t="n"/>
      <c r="E285" s="93" t="n"/>
      <c r="F285" s="94" t="n"/>
      <c r="G285" s="94" t="n"/>
      <c r="H285" s="94" t="n"/>
      <c r="I285" s="94" t="n"/>
      <c r="J285" s="55" t="n"/>
      <c r="K285" s="95" t="n"/>
      <c r="L285" s="116">
        <f>IF($A285="","",DATE(YEAR($A285),MONTH($A285)+IF(AND(IFERROR(N(INDEX(Übersicht!$M$15:$M$22,MATCH($B285,Übersicht!$A$15:$A$22,0))),0)&gt;1,DAY($A285)&gt;=IFERROR(N(INDEX(Übersicht!$M$15:$M$22,MATCH($B285,Übersicht!$A$15:$A$22,0))),0)),1,0),1))</f>
        <v/>
      </c>
    </row>
    <row r="286">
      <c r="A286" s="92" t="n"/>
      <c r="B286" s="55" t="n"/>
      <c r="C286" s="55" t="n"/>
      <c r="D286" s="55" t="n"/>
      <c r="E286" s="93" t="n"/>
      <c r="F286" s="94" t="n"/>
      <c r="G286" s="94" t="n"/>
      <c r="H286" s="94" t="n"/>
      <c r="I286" s="94" t="n"/>
      <c r="J286" s="55" t="n"/>
      <c r="K286" s="95" t="n"/>
      <c r="L286" s="116">
        <f>IF($A286="","",DATE(YEAR($A286),MONTH($A286)+IF(AND(IFERROR(N(INDEX(Übersicht!$M$15:$M$22,MATCH($B286,Übersicht!$A$15:$A$22,0))),0)&gt;1,DAY($A286)&gt;=IFERROR(N(INDEX(Übersicht!$M$15:$M$22,MATCH($B286,Übersicht!$A$15:$A$22,0))),0)),1,0),1))</f>
        <v/>
      </c>
    </row>
    <row r="287">
      <c r="A287" s="92" t="n"/>
      <c r="B287" s="55" t="n"/>
      <c r="C287" s="55" t="n"/>
      <c r="D287" s="55" t="n"/>
      <c r="E287" s="93" t="n"/>
      <c r="F287" s="94" t="n"/>
      <c r="G287" s="94" t="n"/>
      <c r="H287" s="94" t="n"/>
      <c r="I287" s="94" t="n"/>
      <c r="J287" s="55" t="n"/>
      <c r="K287" s="95" t="n"/>
      <c r="L287" s="116">
        <f>IF($A287="","",DATE(YEAR($A287),MONTH($A287)+IF(AND(IFERROR(N(INDEX(Übersicht!$M$15:$M$22,MATCH($B287,Übersicht!$A$15:$A$22,0))),0)&gt;1,DAY($A287)&gt;=IFERROR(N(INDEX(Übersicht!$M$15:$M$22,MATCH($B287,Übersicht!$A$15:$A$22,0))),0)),1,0),1))</f>
        <v/>
      </c>
    </row>
    <row r="288">
      <c r="A288" s="92" t="n"/>
      <c r="B288" s="55" t="n"/>
      <c r="C288" s="55" t="n"/>
      <c r="D288" s="55" t="n"/>
      <c r="E288" s="93" t="n"/>
      <c r="F288" s="94" t="n"/>
      <c r="G288" s="94" t="n"/>
      <c r="H288" s="94" t="n"/>
      <c r="I288" s="94" t="n"/>
      <c r="J288" s="55" t="n"/>
      <c r="K288" s="95" t="n"/>
      <c r="L288" s="116">
        <f>IF($A288="","",DATE(YEAR($A288),MONTH($A288)+IF(AND(IFERROR(N(INDEX(Übersicht!$M$15:$M$22,MATCH($B288,Übersicht!$A$15:$A$22,0))),0)&gt;1,DAY($A288)&gt;=IFERROR(N(INDEX(Übersicht!$M$15:$M$22,MATCH($B288,Übersicht!$A$15:$A$22,0))),0)),1,0),1))</f>
        <v/>
      </c>
    </row>
    <row r="289">
      <c r="A289" s="92" t="n"/>
      <c r="B289" s="55" t="n"/>
      <c r="C289" s="55" t="n"/>
      <c r="D289" s="55" t="n"/>
      <c r="E289" s="93" t="n"/>
      <c r="F289" s="94" t="n"/>
      <c r="G289" s="94" t="n"/>
      <c r="H289" s="94" t="n"/>
      <c r="I289" s="94" t="n"/>
      <c r="J289" s="55" t="n"/>
      <c r="K289" s="95" t="n"/>
      <c r="L289" s="116">
        <f>IF($A289="","",DATE(YEAR($A289),MONTH($A289)+IF(AND(IFERROR(N(INDEX(Übersicht!$M$15:$M$22,MATCH($B289,Übersicht!$A$15:$A$22,0))),0)&gt;1,DAY($A289)&gt;=IFERROR(N(INDEX(Übersicht!$M$15:$M$22,MATCH($B289,Übersicht!$A$15:$A$22,0))),0)),1,0),1))</f>
        <v/>
      </c>
    </row>
    <row r="290">
      <c r="A290" s="92" t="n"/>
      <c r="B290" s="55" t="n"/>
      <c r="C290" s="55" t="n"/>
      <c r="D290" s="55" t="n"/>
      <c r="E290" s="93" t="n"/>
      <c r="F290" s="94" t="n"/>
      <c r="G290" s="94" t="n"/>
      <c r="H290" s="94" t="n"/>
      <c r="I290" s="94" t="n"/>
      <c r="J290" s="55" t="n"/>
      <c r="K290" s="95" t="n"/>
      <c r="L290" s="116">
        <f>IF($A290="","",DATE(YEAR($A290),MONTH($A290)+IF(AND(IFERROR(N(INDEX(Übersicht!$M$15:$M$22,MATCH($B290,Übersicht!$A$15:$A$22,0))),0)&gt;1,DAY($A290)&gt;=IFERROR(N(INDEX(Übersicht!$M$15:$M$22,MATCH($B290,Übersicht!$A$15:$A$22,0))),0)),1,0),1))</f>
        <v/>
      </c>
    </row>
    <row r="291">
      <c r="A291" s="92" t="n"/>
      <c r="B291" s="55" t="n"/>
      <c r="C291" s="55" t="n"/>
      <c r="D291" s="55" t="n"/>
      <c r="E291" s="93" t="n"/>
      <c r="F291" s="94" t="n"/>
      <c r="G291" s="94" t="n"/>
      <c r="H291" s="94" t="n"/>
      <c r="I291" s="94" t="n"/>
      <c r="J291" s="55" t="n"/>
      <c r="K291" s="95" t="n"/>
      <c r="L291" s="116">
        <f>IF($A291="","",DATE(YEAR($A291),MONTH($A291)+IF(AND(IFERROR(N(INDEX(Übersicht!$M$15:$M$22,MATCH($B291,Übersicht!$A$15:$A$22,0))),0)&gt;1,DAY($A291)&gt;=IFERROR(N(INDEX(Übersicht!$M$15:$M$22,MATCH($B291,Übersicht!$A$15:$A$22,0))),0)),1,0),1))</f>
        <v/>
      </c>
    </row>
    <row r="292">
      <c r="A292" s="92" t="n"/>
      <c r="B292" s="55" t="n"/>
      <c r="C292" s="55" t="n"/>
      <c r="D292" s="55" t="n"/>
      <c r="E292" s="93" t="n"/>
      <c r="F292" s="94" t="n"/>
      <c r="G292" s="94" t="n"/>
      <c r="H292" s="94" t="n"/>
      <c r="I292" s="94" t="n"/>
      <c r="J292" s="55" t="n"/>
      <c r="K292" s="95" t="n"/>
      <c r="L292" s="116">
        <f>IF($A292="","",DATE(YEAR($A292),MONTH($A292)+IF(AND(IFERROR(N(INDEX(Übersicht!$M$15:$M$22,MATCH($B292,Übersicht!$A$15:$A$22,0))),0)&gt;1,DAY($A292)&gt;=IFERROR(N(INDEX(Übersicht!$M$15:$M$22,MATCH($B292,Übersicht!$A$15:$A$22,0))),0)),1,0),1))</f>
        <v/>
      </c>
    </row>
    <row r="293">
      <c r="A293" s="92" t="n"/>
      <c r="B293" s="55" t="n"/>
      <c r="C293" s="55" t="n"/>
      <c r="D293" s="55" t="n"/>
      <c r="E293" s="93" t="n"/>
      <c r="F293" s="94" t="n"/>
      <c r="G293" s="94" t="n"/>
      <c r="H293" s="94" t="n"/>
      <c r="I293" s="94" t="n"/>
      <c r="J293" s="55" t="n"/>
      <c r="K293" s="95" t="n"/>
      <c r="L293" s="116">
        <f>IF($A293="","",DATE(YEAR($A293),MONTH($A293)+IF(AND(IFERROR(N(INDEX(Übersicht!$M$15:$M$22,MATCH($B293,Übersicht!$A$15:$A$22,0))),0)&gt;1,DAY($A293)&gt;=IFERROR(N(INDEX(Übersicht!$M$15:$M$22,MATCH($B293,Übersicht!$A$15:$A$22,0))),0)),1,0),1))</f>
        <v/>
      </c>
    </row>
    <row r="294">
      <c r="A294" s="92" t="n"/>
      <c r="B294" s="55" t="n"/>
      <c r="C294" s="55" t="n"/>
      <c r="D294" s="55" t="n"/>
      <c r="E294" s="93" t="n"/>
      <c r="F294" s="94" t="n"/>
      <c r="G294" s="94" t="n"/>
      <c r="H294" s="94" t="n"/>
      <c r="I294" s="94" t="n"/>
      <c r="J294" s="55" t="n"/>
      <c r="K294" s="95" t="n"/>
      <c r="L294" s="116">
        <f>IF($A294="","",DATE(YEAR($A294),MONTH($A294)+IF(AND(IFERROR(N(INDEX(Übersicht!$M$15:$M$22,MATCH($B294,Übersicht!$A$15:$A$22,0))),0)&gt;1,DAY($A294)&gt;=IFERROR(N(INDEX(Übersicht!$M$15:$M$22,MATCH($B294,Übersicht!$A$15:$A$22,0))),0)),1,0),1))</f>
        <v/>
      </c>
    </row>
    <row r="295">
      <c r="A295" s="92" t="n"/>
      <c r="B295" s="55" t="n"/>
      <c r="C295" s="55" t="n"/>
      <c r="D295" s="55" t="n"/>
      <c r="E295" s="93" t="n"/>
      <c r="F295" s="94" t="n"/>
      <c r="G295" s="94" t="n"/>
      <c r="H295" s="94" t="n"/>
      <c r="I295" s="94" t="n"/>
      <c r="J295" s="55" t="n"/>
      <c r="K295" s="95" t="n"/>
      <c r="L295" s="116">
        <f>IF($A295="","",DATE(YEAR($A295),MONTH($A295)+IF(AND(IFERROR(N(INDEX(Übersicht!$M$15:$M$22,MATCH($B295,Übersicht!$A$15:$A$22,0))),0)&gt;1,DAY($A295)&gt;=IFERROR(N(INDEX(Übersicht!$M$15:$M$22,MATCH($B295,Übersicht!$A$15:$A$22,0))),0)),1,0),1))</f>
        <v/>
      </c>
    </row>
    <row r="296">
      <c r="A296" s="92" t="n"/>
      <c r="B296" s="55" t="n"/>
      <c r="C296" s="55" t="n"/>
      <c r="D296" s="55" t="n"/>
      <c r="E296" s="93" t="n"/>
      <c r="F296" s="94" t="n"/>
      <c r="G296" s="94" t="n"/>
      <c r="H296" s="94" t="n"/>
      <c r="I296" s="94" t="n"/>
      <c r="J296" s="55" t="n"/>
      <c r="K296" s="95" t="n"/>
      <c r="L296" s="116">
        <f>IF($A296="","",DATE(YEAR($A296),MONTH($A296)+IF(AND(IFERROR(N(INDEX(Übersicht!$M$15:$M$22,MATCH($B296,Übersicht!$A$15:$A$22,0))),0)&gt;1,DAY($A296)&gt;=IFERROR(N(INDEX(Übersicht!$M$15:$M$22,MATCH($B296,Übersicht!$A$15:$A$22,0))),0)),1,0),1))</f>
        <v/>
      </c>
    </row>
    <row r="297">
      <c r="A297" s="92" t="n"/>
      <c r="B297" s="55" t="n"/>
      <c r="C297" s="55" t="n"/>
      <c r="D297" s="55" t="n"/>
      <c r="E297" s="93" t="n"/>
      <c r="F297" s="94" t="n"/>
      <c r="G297" s="94" t="n"/>
      <c r="H297" s="94" t="n"/>
      <c r="I297" s="94" t="n"/>
      <c r="J297" s="55" t="n"/>
      <c r="K297" s="95" t="n"/>
      <c r="L297" s="116">
        <f>IF($A297="","",DATE(YEAR($A297),MONTH($A297)+IF(AND(IFERROR(N(INDEX(Übersicht!$M$15:$M$22,MATCH($B297,Übersicht!$A$15:$A$22,0))),0)&gt;1,DAY($A297)&gt;=IFERROR(N(INDEX(Übersicht!$M$15:$M$22,MATCH($B297,Übersicht!$A$15:$A$22,0))),0)),1,0),1))</f>
        <v/>
      </c>
    </row>
    <row r="298">
      <c r="A298" s="92" t="n"/>
      <c r="B298" s="55" t="n"/>
      <c r="C298" s="55" t="n"/>
      <c r="D298" s="55" t="n"/>
      <c r="E298" s="93" t="n"/>
      <c r="F298" s="94" t="n"/>
      <c r="G298" s="94" t="n"/>
      <c r="H298" s="94" t="n"/>
      <c r="I298" s="94" t="n"/>
      <c r="J298" s="55" t="n"/>
      <c r="K298" s="95" t="n"/>
      <c r="L298" s="116">
        <f>IF($A298="","",DATE(YEAR($A298),MONTH($A298)+IF(AND(IFERROR(N(INDEX(Übersicht!$M$15:$M$22,MATCH($B298,Übersicht!$A$15:$A$22,0))),0)&gt;1,DAY($A298)&gt;=IFERROR(N(INDEX(Übersicht!$M$15:$M$22,MATCH($B298,Übersicht!$A$15:$A$22,0))),0)),1,0),1))</f>
        <v/>
      </c>
    </row>
    <row r="299">
      <c r="A299" s="92" t="n"/>
      <c r="B299" s="55" t="n"/>
      <c r="C299" s="55" t="n"/>
      <c r="D299" s="55" t="n"/>
      <c r="E299" s="93" t="n"/>
      <c r="F299" s="94" t="n"/>
      <c r="G299" s="94" t="n"/>
      <c r="H299" s="94" t="n"/>
      <c r="I299" s="94" t="n"/>
      <c r="J299" s="55" t="n"/>
      <c r="K299" s="95" t="n"/>
      <c r="L299" s="116">
        <f>IF($A299="","",DATE(YEAR($A299),MONTH($A299)+IF(AND(IFERROR(N(INDEX(Übersicht!$M$15:$M$22,MATCH($B299,Übersicht!$A$15:$A$22,0))),0)&gt;1,DAY($A299)&gt;=IFERROR(N(INDEX(Übersicht!$M$15:$M$22,MATCH($B299,Übersicht!$A$15:$A$22,0))),0)),1,0),1))</f>
        <v/>
      </c>
    </row>
    <row r="300">
      <c r="A300" s="92" t="n"/>
      <c r="B300" s="55" t="n"/>
      <c r="C300" s="55" t="n"/>
      <c r="D300" s="55" t="n"/>
      <c r="E300" s="93" t="n"/>
      <c r="F300" s="94" t="n"/>
      <c r="G300" s="94" t="n"/>
      <c r="H300" s="94" t="n"/>
      <c r="I300" s="94" t="n"/>
      <c r="J300" s="55" t="n"/>
      <c r="K300" s="95" t="n"/>
      <c r="L300" s="116">
        <f>IF($A300="","",DATE(YEAR($A300),MONTH($A300)+IF(AND(IFERROR(N(INDEX(Übersicht!$M$15:$M$22,MATCH($B300,Übersicht!$A$15:$A$22,0))),0)&gt;1,DAY($A300)&gt;=IFERROR(N(INDEX(Übersicht!$M$15:$M$22,MATCH($B300,Übersicht!$A$15:$A$22,0))),0)),1,0),1))</f>
        <v/>
      </c>
    </row>
    <row r="301">
      <c r="A301" s="92" t="n"/>
      <c r="B301" s="55" t="n"/>
      <c r="C301" s="55" t="n"/>
      <c r="D301" s="55" t="n"/>
      <c r="E301" s="93" t="n"/>
      <c r="F301" s="94" t="n"/>
      <c r="G301" s="94" t="n"/>
      <c r="H301" s="94" t="n"/>
      <c r="I301" s="94" t="n"/>
      <c r="J301" s="55" t="n"/>
      <c r="K301" s="95" t="n"/>
      <c r="L301" s="116">
        <f>IF($A301="","",DATE(YEAR($A301),MONTH($A301)+IF(AND(IFERROR(N(INDEX(Übersicht!$M$15:$M$22,MATCH($B301,Übersicht!$A$15:$A$22,0))),0)&gt;1,DAY($A301)&gt;=IFERROR(N(INDEX(Übersicht!$M$15:$M$22,MATCH($B301,Übersicht!$A$15:$A$22,0))),0)),1,0),1))</f>
        <v/>
      </c>
    </row>
    <row r="302">
      <c r="A302" s="92" t="n"/>
      <c r="B302" s="55" t="n"/>
      <c r="C302" s="55" t="n"/>
      <c r="D302" s="55" t="n"/>
      <c r="E302" s="93" t="n"/>
      <c r="F302" s="94" t="n"/>
      <c r="G302" s="94" t="n"/>
      <c r="H302" s="94" t="n"/>
      <c r="I302" s="94" t="n"/>
      <c r="J302" s="55" t="n"/>
      <c r="K302" s="95" t="n"/>
      <c r="L302" s="116">
        <f>IF($A302="","",DATE(YEAR($A302),MONTH($A302)+IF(AND(IFERROR(N(INDEX(Übersicht!$M$15:$M$22,MATCH($B302,Übersicht!$A$15:$A$22,0))),0)&gt;1,DAY($A302)&gt;=IFERROR(N(INDEX(Übersicht!$M$15:$M$22,MATCH($B302,Übersicht!$A$15:$A$22,0))),0)),1,0),1))</f>
        <v/>
      </c>
    </row>
    <row r="303">
      <c r="A303" s="92" t="n"/>
      <c r="B303" s="55" t="n"/>
      <c r="C303" s="55" t="n"/>
      <c r="D303" s="55" t="n"/>
      <c r="E303" s="93" t="n"/>
      <c r="F303" s="94" t="n"/>
      <c r="G303" s="94" t="n"/>
      <c r="H303" s="94" t="n"/>
      <c r="I303" s="94" t="n"/>
      <c r="J303" s="55" t="n"/>
      <c r="K303" s="95" t="n"/>
      <c r="L303" s="116">
        <f>IF($A303="","",DATE(YEAR($A303),MONTH($A303)+IF(AND(IFERROR(N(INDEX(Übersicht!$M$15:$M$22,MATCH($B303,Übersicht!$A$15:$A$22,0))),0)&gt;1,DAY($A303)&gt;=IFERROR(N(INDEX(Übersicht!$M$15:$M$22,MATCH($B303,Übersicht!$A$15:$A$22,0))),0)),1,0),1))</f>
        <v/>
      </c>
    </row>
    <row r="304">
      <c r="A304" s="92" t="n"/>
      <c r="B304" s="55" t="n"/>
      <c r="C304" s="55" t="n"/>
      <c r="D304" s="55" t="n"/>
      <c r="E304" s="93" t="n"/>
      <c r="F304" s="94" t="n"/>
      <c r="G304" s="94" t="n"/>
      <c r="H304" s="94" t="n"/>
      <c r="I304" s="94" t="n"/>
      <c r="J304" s="55" t="n"/>
      <c r="K304" s="95" t="n"/>
      <c r="L304" s="116">
        <f>IF($A304="","",DATE(YEAR($A304),MONTH($A304)+IF(AND(IFERROR(N(INDEX(Übersicht!$M$15:$M$22,MATCH($B304,Übersicht!$A$15:$A$22,0))),0)&gt;1,DAY($A304)&gt;=IFERROR(N(INDEX(Übersicht!$M$15:$M$22,MATCH($B304,Übersicht!$A$15:$A$22,0))),0)),1,0),1))</f>
        <v/>
      </c>
    </row>
    <row r="305">
      <c r="A305" s="92" t="n"/>
      <c r="B305" s="55" t="n"/>
      <c r="C305" s="55" t="n"/>
      <c r="D305" s="55" t="n"/>
      <c r="E305" s="93" t="n"/>
      <c r="F305" s="94" t="n"/>
      <c r="G305" s="94" t="n"/>
      <c r="H305" s="94" t="n"/>
      <c r="I305" s="94" t="n"/>
      <c r="J305" s="55" t="n"/>
      <c r="K305" s="95" t="n"/>
      <c r="L305" s="116">
        <f>IF($A305="","",DATE(YEAR($A305),MONTH($A305)+IF(AND(IFERROR(N(INDEX(Übersicht!$M$15:$M$22,MATCH($B305,Übersicht!$A$15:$A$22,0))),0)&gt;1,DAY($A305)&gt;=IFERROR(N(INDEX(Übersicht!$M$15:$M$22,MATCH($B305,Übersicht!$A$15:$A$22,0))),0)),1,0),1))</f>
        <v/>
      </c>
    </row>
    <row r="306">
      <c r="A306" s="92" t="n"/>
      <c r="B306" s="55" t="n"/>
      <c r="C306" s="55" t="n"/>
      <c r="D306" s="55" t="n"/>
      <c r="E306" s="93" t="n"/>
      <c r="F306" s="94" t="n"/>
      <c r="G306" s="94" t="n"/>
      <c r="H306" s="94" t="n"/>
      <c r="I306" s="94" t="n"/>
      <c r="J306" s="55" t="n"/>
      <c r="K306" s="95" t="n"/>
      <c r="L306" s="116">
        <f>IF($A306="","",DATE(YEAR($A306),MONTH($A306)+IF(AND(IFERROR(N(INDEX(Übersicht!$M$15:$M$22,MATCH($B306,Übersicht!$A$15:$A$22,0))),0)&gt;1,DAY($A306)&gt;=IFERROR(N(INDEX(Übersicht!$M$15:$M$22,MATCH($B306,Übersicht!$A$15:$A$22,0))),0)),1,0),1))</f>
        <v/>
      </c>
    </row>
    <row r="307">
      <c r="A307" s="92" t="n"/>
      <c r="B307" s="55" t="n"/>
      <c r="C307" s="55" t="n"/>
      <c r="D307" s="55" t="n"/>
      <c r="E307" s="93" t="n"/>
      <c r="F307" s="94" t="n"/>
      <c r="G307" s="94" t="n"/>
      <c r="H307" s="94" t="n"/>
      <c r="I307" s="94" t="n"/>
      <c r="J307" s="55" t="n"/>
      <c r="K307" s="95" t="n"/>
      <c r="L307" s="116">
        <f>IF($A307="","",DATE(YEAR($A307),MONTH($A307)+IF(AND(IFERROR(N(INDEX(Übersicht!$M$15:$M$22,MATCH($B307,Übersicht!$A$15:$A$22,0))),0)&gt;1,DAY($A307)&gt;=IFERROR(N(INDEX(Übersicht!$M$15:$M$22,MATCH($B307,Übersicht!$A$15:$A$22,0))),0)),1,0),1))</f>
        <v/>
      </c>
    </row>
    <row r="308">
      <c r="A308" s="92" t="n"/>
      <c r="B308" s="55" t="n"/>
      <c r="C308" s="55" t="n"/>
      <c r="D308" s="55" t="n"/>
      <c r="E308" s="93" t="n"/>
      <c r="F308" s="94" t="n"/>
      <c r="G308" s="94" t="n"/>
      <c r="H308" s="94" t="n"/>
      <c r="I308" s="94" t="n"/>
      <c r="J308" s="55" t="n"/>
      <c r="K308" s="95" t="n"/>
      <c r="L308" s="116">
        <f>IF($A308="","",DATE(YEAR($A308),MONTH($A308)+IF(AND(IFERROR(N(INDEX(Übersicht!$M$15:$M$22,MATCH($B308,Übersicht!$A$15:$A$22,0))),0)&gt;1,DAY($A308)&gt;=IFERROR(N(INDEX(Übersicht!$M$15:$M$22,MATCH($B308,Übersicht!$A$15:$A$22,0))),0)),1,0),1))</f>
        <v/>
      </c>
    </row>
    <row r="309">
      <c r="A309" s="92" t="n"/>
      <c r="B309" s="55" t="n"/>
      <c r="C309" s="55" t="n"/>
      <c r="D309" s="55" t="n"/>
      <c r="E309" s="93" t="n"/>
      <c r="F309" s="94" t="n"/>
      <c r="G309" s="94" t="n"/>
      <c r="H309" s="94" t="n"/>
      <c r="I309" s="94" t="n"/>
      <c r="J309" s="55" t="n"/>
      <c r="K309" s="95" t="n"/>
      <c r="L309" s="116">
        <f>IF($A309="","",DATE(YEAR($A309),MONTH($A309)+IF(AND(IFERROR(N(INDEX(Übersicht!$M$15:$M$22,MATCH($B309,Übersicht!$A$15:$A$22,0))),0)&gt;1,DAY($A309)&gt;=IFERROR(N(INDEX(Übersicht!$M$15:$M$22,MATCH($B309,Übersicht!$A$15:$A$22,0))),0)),1,0),1))</f>
        <v/>
      </c>
    </row>
    <row r="310">
      <c r="A310" s="92" t="n"/>
      <c r="B310" s="55" t="n"/>
      <c r="C310" s="55" t="n"/>
      <c r="D310" s="55" t="n"/>
      <c r="E310" s="93" t="n"/>
      <c r="F310" s="94" t="n"/>
      <c r="G310" s="94" t="n"/>
      <c r="H310" s="94" t="n"/>
      <c r="I310" s="94" t="n"/>
      <c r="J310" s="55" t="n"/>
      <c r="K310" s="95" t="n"/>
      <c r="L310" s="116">
        <f>IF($A310="","",DATE(YEAR($A310),MONTH($A310)+IF(AND(IFERROR(N(INDEX(Übersicht!$M$15:$M$22,MATCH($B310,Übersicht!$A$15:$A$22,0))),0)&gt;1,DAY($A310)&gt;=IFERROR(N(INDEX(Übersicht!$M$15:$M$22,MATCH($B310,Übersicht!$A$15:$A$22,0))),0)),1,0),1))</f>
        <v/>
      </c>
    </row>
    <row r="311">
      <c r="A311" s="92" t="n"/>
      <c r="B311" s="55" t="n"/>
      <c r="C311" s="55" t="n"/>
      <c r="D311" s="55" t="n"/>
      <c r="E311" s="93" t="n"/>
      <c r="F311" s="94" t="n"/>
      <c r="G311" s="94" t="n"/>
      <c r="H311" s="94" t="n"/>
      <c r="I311" s="94" t="n"/>
      <c r="J311" s="55" t="n"/>
      <c r="K311" s="95" t="n"/>
      <c r="L311" s="116">
        <f>IF($A311="","",DATE(YEAR($A311),MONTH($A311)+IF(AND(IFERROR(N(INDEX(Übersicht!$M$15:$M$22,MATCH($B311,Übersicht!$A$15:$A$22,0))),0)&gt;1,DAY($A311)&gt;=IFERROR(N(INDEX(Übersicht!$M$15:$M$22,MATCH($B311,Übersicht!$A$15:$A$22,0))),0)),1,0),1))</f>
        <v/>
      </c>
    </row>
    <row r="312">
      <c r="A312" s="92" t="n"/>
      <c r="B312" s="55" t="n"/>
      <c r="C312" s="55" t="n"/>
      <c r="D312" s="55" t="n"/>
      <c r="E312" s="93" t="n"/>
      <c r="F312" s="94" t="n"/>
      <c r="G312" s="94" t="n"/>
      <c r="H312" s="94" t="n"/>
      <c r="I312" s="94" t="n"/>
      <c r="J312" s="55" t="n"/>
      <c r="K312" s="95" t="n"/>
      <c r="L312" s="116">
        <f>IF($A312="","",DATE(YEAR($A312),MONTH($A312)+IF(AND(IFERROR(N(INDEX(Übersicht!$M$15:$M$22,MATCH($B312,Übersicht!$A$15:$A$22,0))),0)&gt;1,DAY($A312)&gt;=IFERROR(N(INDEX(Übersicht!$M$15:$M$22,MATCH($B312,Übersicht!$A$15:$A$22,0))),0)),1,0),1))</f>
        <v/>
      </c>
    </row>
    <row r="313">
      <c r="A313" s="92" t="n"/>
      <c r="B313" s="55" t="n"/>
      <c r="C313" s="55" t="n"/>
      <c r="D313" s="55" t="n"/>
      <c r="E313" s="93" t="n"/>
      <c r="F313" s="94" t="n"/>
      <c r="G313" s="94" t="n"/>
      <c r="H313" s="94" t="n"/>
      <c r="I313" s="94" t="n"/>
      <c r="J313" s="55" t="n"/>
      <c r="K313" s="95" t="n"/>
      <c r="L313" s="116">
        <f>IF($A313="","",DATE(YEAR($A313),MONTH($A313)+IF(AND(IFERROR(N(INDEX(Übersicht!$M$15:$M$22,MATCH($B313,Übersicht!$A$15:$A$22,0))),0)&gt;1,DAY($A313)&gt;=IFERROR(N(INDEX(Übersicht!$M$15:$M$22,MATCH($B313,Übersicht!$A$15:$A$22,0))),0)),1,0),1))</f>
        <v/>
      </c>
    </row>
    <row r="314">
      <c r="A314" s="92" t="n"/>
      <c r="B314" s="55" t="n"/>
      <c r="C314" s="55" t="n"/>
      <c r="D314" s="55" t="n"/>
      <c r="E314" s="93" t="n"/>
      <c r="F314" s="94" t="n"/>
      <c r="G314" s="94" t="n"/>
      <c r="H314" s="94" t="n"/>
      <c r="I314" s="94" t="n"/>
      <c r="J314" s="55" t="n"/>
      <c r="K314" s="95" t="n"/>
      <c r="L314" s="116">
        <f>IF($A314="","",DATE(YEAR($A314),MONTH($A314)+IF(AND(IFERROR(N(INDEX(Übersicht!$M$15:$M$22,MATCH($B314,Übersicht!$A$15:$A$22,0))),0)&gt;1,DAY($A314)&gt;=IFERROR(N(INDEX(Übersicht!$M$15:$M$22,MATCH($B314,Übersicht!$A$15:$A$22,0))),0)),1,0),1))</f>
        <v/>
      </c>
    </row>
    <row r="315">
      <c r="A315" s="92" t="n"/>
      <c r="B315" s="55" t="n"/>
      <c r="C315" s="55" t="n"/>
      <c r="D315" s="55" t="n"/>
      <c r="E315" s="93" t="n"/>
      <c r="F315" s="94" t="n"/>
      <c r="G315" s="94" t="n"/>
      <c r="H315" s="94" t="n"/>
      <c r="I315" s="94" t="n"/>
      <c r="J315" s="55" t="n"/>
      <c r="K315" s="95" t="n"/>
      <c r="L315" s="116">
        <f>IF($A315="","",DATE(YEAR($A315),MONTH($A315)+IF(AND(IFERROR(N(INDEX(Übersicht!$M$15:$M$22,MATCH($B315,Übersicht!$A$15:$A$22,0))),0)&gt;1,DAY($A315)&gt;=IFERROR(N(INDEX(Übersicht!$M$15:$M$22,MATCH($B315,Übersicht!$A$15:$A$22,0))),0)),1,0),1))</f>
        <v/>
      </c>
    </row>
    <row r="316">
      <c r="A316" s="92" t="n"/>
      <c r="B316" s="55" t="n"/>
      <c r="C316" s="55" t="n"/>
      <c r="D316" s="55" t="n"/>
      <c r="E316" s="93" t="n"/>
      <c r="F316" s="94" t="n"/>
      <c r="G316" s="94" t="n"/>
      <c r="H316" s="94" t="n"/>
      <c r="I316" s="94" t="n"/>
      <c r="J316" s="55" t="n"/>
      <c r="K316" s="95" t="n"/>
      <c r="L316" s="116">
        <f>IF($A316="","",DATE(YEAR($A316),MONTH($A316)+IF(AND(IFERROR(N(INDEX(Übersicht!$M$15:$M$22,MATCH($B316,Übersicht!$A$15:$A$22,0))),0)&gt;1,DAY($A316)&gt;=IFERROR(N(INDEX(Übersicht!$M$15:$M$22,MATCH($B316,Übersicht!$A$15:$A$22,0))),0)),1,0),1))</f>
        <v/>
      </c>
    </row>
    <row r="317">
      <c r="A317" s="92" t="n"/>
      <c r="B317" s="55" t="n"/>
      <c r="C317" s="55" t="n"/>
      <c r="D317" s="55" t="n"/>
      <c r="E317" s="93" t="n"/>
      <c r="F317" s="94" t="n"/>
      <c r="G317" s="94" t="n"/>
      <c r="H317" s="94" t="n"/>
      <c r="I317" s="94" t="n"/>
      <c r="J317" s="55" t="n"/>
      <c r="K317" s="95" t="n"/>
      <c r="L317" s="116">
        <f>IF($A317="","",DATE(YEAR($A317),MONTH($A317)+IF(AND(IFERROR(N(INDEX(Übersicht!$M$15:$M$22,MATCH($B317,Übersicht!$A$15:$A$22,0))),0)&gt;1,DAY($A317)&gt;=IFERROR(N(INDEX(Übersicht!$M$15:$M$22,MATCH($B317,Übersicht!$A$15:$A$22,0))),0)),1,0),1))</f>
        <v/>
      </c>
    </row>
    <row r="318">
      <c r="A318" s="92" t="n"/>
      <c r="B318" s="55" t="n"/>
      <c r="C318" s="55" t="n"/>
      <c r="D318" s="55" t="n"/>
      <c r="E318" s="93" t="n"/>
      <c r="F318" s="94" t="n"/>
      <c r="G318" s="94" t="n"/>
      <c r="H318" s="94" t="n"/>
      <c r="I318" s="94" t="n"/>
      <c r="J318" s="55" t="n"/>
      <c r="K318" s="95" t="n"/>
      <c r="L318" s="116">
        <f>IF($A318="","",DATE(YEAR($A318),MONTH($A318)+IF(AND(IFERROR(N(INDEX(Übersicht!$M$15:$M$22,MATCH($B318,Übersicht!$A$15:$A$22,0))),0)&gt;1,DAY($A318)&gt;=IFERROR(N(INDEX(Übersicht!$M$15:$M$22,MATCH($B318,Übersicht!$A$15:$A$22,0))),0)),1,0),1))</f>
        <v/>
      </c>
    </row>
    <row r="319">
      <c r="A319" s="92" t="n"/>
      <c r="B319" s="55" t="n"/>
      <c r="C319" s="55" t="n"/>
      <c r="D319" s="55" t="n"/>
      <c r="E319" s="93" t="n"/>
      <c r="F319" s="94" t="n"/>
      <c r="G319" s="94" t="n"/>
      <c r="H319" s="94" t="n"/>
      <c r="I319" s="94" t="n"/>
      <c r="J319" s="55" t="n"/>
      <c r="K319" s="95" t="n"/>
      <c r="L319" s="116">
        <f>IF($A319="","",DATE(YEAR($A319),MONTH($A319)+IF(AND(IFERROR(N(INDEX(Übersicht!$M$15:$M$22,MATCH($B319,Übersicht!$A$15:$A$22,0))),0)&gt;1,DAY($A319)&gt;=IFERROR(N(INDEX(Übersicht!$M$15:$M$22,MATCH($B319,Übersicht!$A$15:$A$22,0))),0)),1,0),1))</f>
        <v/>
      </c>
    </row>
    <row r="320">
      <c r="A320" s="92" t="n"/>
      <c r="B320" s="55" t="n"/>
      <c r="C320" s="55" t="n"/>
      <c r="D320" s="55" t="n"/>
      <c r="E320" s="93" t="n"/>
      <c r="F320" s="94" t="n"/>
      <c r="G320" s="94" t="n"/>
      <c r="H320" s="94" t="n"/>
      <c r="I320" s="94" t="n"/>
      <c r="J320" s="55" t="n"/>
      <c r="K320" s="95" t="n"/>
      <c r="L320" s="116">
        <f>IF($A320="","",DATE(YEAR($A320),MONTH($A320)+IF(AND(IFERROR(N(INDEX(Übersicht!$M$15:$M$22,MATCH($B320,Übersicht!$A$15:$A$22,0))),0)&gt;1,DAY($A320)&gt;=IFERROR(N(INDEX(Übersicht!$M$15:$M$22,MATCH($B320,Übersicht!$A$15:$A$22,0))),0)),1,0),1))</f>
        <v/>
      </c>
    </row>
    <row r="321">
      <c r="A321" s="92" t="n"/>
      <c r="B321" s="55" t="n"/>
      <c r="C321" s="55" t="n"/>
      <c r="D321" s="55" t="n"/>
      <c r="E321" s="93" t="n"/>
      <c r="F321" s="94" t="n"/>
      <c r="G321" s="94" t="n"/>
      <c r="H321" s="94" t="n"/>
      <c r="I321" s="94" t="n"/>
      <c r="J321" s="55" t="n"/>
      <c r="K321" s="95" t="n"/>
      <c r="L321" s="116">
        <f>IF($A321="","",DATE(YEAR($A321),MONTH($A321)+IF(AND(IFERROR(N(INDEX(Übersicht!$M$15:$M$22,MATCH($B321,Übersicht!$A$15:$A$22,0))),0)&gt;1,DAY($A321)&gt;=IFERROR(N(INDEX(Übersicht!$M$15:$M$22,MATCH($B321,Übersicht!$A$15:$A$22,0))),0)),1,0),1))</f>
        <v/>
      </c>
    </row>
    <row r="322">
      <c r="A322" s="92" t="n"/>
      <c r="B322" s="55" t="n"/>
      <c r="C322" s="55" t="n"/>
      <c r="D322" s="55" t="n"/>
      <c r="E322" s="93" t="n"/>
      <c r="F322" s="94" t="n"/>
      <c r="G322" s="94" t="n"/>
      <c r="H322" s="94" t="n"/>
      <c r="I322" s="94" t="n"/>
      <c r="J322" s="55" t="n"/>
      <c r="K322" s="95" t="n"/>
      <c r="L322" s="116">
        <f>IF($A322="","",DATE(YEAR($A322),MONTH($A322)+IF(AND(IFERROR(N(INDEX(Übersicht!$M$15:$M$22,MATCH($B322,Übersicht!$A$15:$A$22,0))),0)&gt;1,DAY($A322)&gt;=IFERROR(N(INDEX(Übersicht!$M$15:$M$22,MATCH($B322,Übersicht!$A$15:$A$22,0))),0)),1,0),1))</f>
        <v/>
      </c>
    </row>
    <row r="323">
      <c r="A323" s="92" t="n"/>
      <c r="B323" s="55" t="n"/>
      <c r="C323" s="55" t="n"/>
      <c r="D323" s="55" t="n"/>
      <c r="E323" s="93" t="n"/>
      <c r="F323" s="94" t="n"/>
      <c r="G323" s="94" t="n"/>
      <c r="H323" s="94" t="n"/>
      <c r="I323" s="94" t="n"/>
      <c r="J323" s="55" t="n"/>
      <c r="K323" s="95" t="n"/>
      <c r="L323" s="116">
        <f>IF($A323="","",DATE(YEAR($A323),MONTH($A323)+IF(AND(IFERROR(N(INDEX(Übersicht!$M$15:$M$22,MATCH($B323,Übersicht!$A$15:$A$22,0))),0)&gt;1,DAY($A323)&gt;=IFERROR(N(INDEX(Übersicht!$M$15:$M$22,MATCH($B323,Übersicht!$A$15:$A$22,0))),0)),1,0),1))</f>
        <v/>
      </c>
    </row>
    <row r="324">
      <c r="A324" s="92" t="n"/>
      <c r="B324" s="55" t="n"/>
      <c r="C324" s="55" t="n"/>
      <c r="D324" s="55" t="n"/>
      <c r="E324" s="93" t="n"/>
      <c r="F324" s="94" t="n"/>
      <c r="G324" s="94" t="n"/>
      <c r="H324" s="94" t="n"/>
      <c r="I324" s="94" t="n"/>
      <c r="J324" s="55" t="n"/>
      <c r="K324" s="95" t="n"/>
      <c r="L324" s="116">
        <f>IF($A324="","",DATE(YEAR($A324),MONTH($A324)+IF(AND(IFERROR(N(INDEX(Übersicht!$M$15:$M$22,MATCH($B324,Übersicht!$A$15:$A$22,0))),0)&gt;1,DAY($A324)&gt;=IFERROR(N(INDEX(Übersicht!$M$15:$M$22,MATCH($B324,Übersicht!$A$15:$A$22,0))),0)),1,0),1))</f>
        <v/>
      </c>
    </row>
    <row r="325">
      <c r="A325" s="92" t="n"/>
      <c r="B325" s="55" t="n"/>
      <c r="C325" s="55" t="n"/>
      <c r="D325" s="55" t="n"/>
      <c r="E325" s="93" t="n"/>
      <c r="F325" s="94" t="n"/>
      <c r="G325" s="94" t="n"/>
      <c r="H325" s="94" t="n"/>
      <c r="I325" s="94" t="n"/>
      <c r="J325" s="55" t="n"/>
      <c r="K325" s="95" t="n"/>
      <c r="L325" s="116">
        <f>IF($A325="","",DATE(YEAR($A325),MONTH($A325)+IF(AND(IFERROR(N(INDEX(Übersicht!$M$15:$M$22,MATCH($B325,Übersicht!$A$15:$A$22,0))),0)&gt;1,DAY($A325)&gt;=IFERROR(N(INDEX(Übersicht!$M$15:$M$22,MATCH($B325,Übersicht!$A$15:$A$22,0))),0)),1,0),1))</f>
        <v/>
      </c>
    </row>
    <row r="326">
      <c r="A326" s="92" t="n"/>
      <c r="B326" s="55" t="n"/>
      <c r="C326" s="55" t="n"/>
      <c r="D326" s="55" t="n"/>
      <c r="E326" s="93" t="n"/>
      <c r="F326" s="94" t="n"/>
      <c r="G326" s="94" t="n"/>
      <c r="H326" s="94" t="n"/>
      <c r="I326" s="94" t="n"/>
      <c r="J326" s="55" t="n"/>
      <c r="K326" s="95" t="n"/>
      <c r="L326" s="116">
        <f>IF($A326="","",DATE(YEAR($A326),MONTH($A326)+IF(AND(IFERROR(N(INDEX(Übersicht!$M$15:$M$22,MATCH($B326,Übersicht!$A$15:$A$22,0))),0)&gt;1,DAY($A326)&gt;=IFERROR(N(INDEX(Übersicht!$M$15:$M$22,MATCH($B326,Übersicht!$A$15:$A$22,0))),0)),1,0),1))</f>
        <v/>
      </c>
    </row>
    <row r="327">
      <c r="A327" s="92" t="n"/>
      <c r="B327" s="55" t="n"/>
      <c r="C327" s="55" t="n"/>
      <c r="D327" s="55" t="n"/>
      <c r="E327" s="93" t="n"/>
      <c r="F327" s="94" t="n"/>
      <c r="G327" s="94" t="n"/>
      <c r="H327" s="94" t="n"/>
      <c r="I327" s="94" t="n"/>
      <c r="J327" s="55" t="n"/>
      <c r="K327" s="95" t="n"/>
      <c r="L327" s="116">
        <f>IF($A327="","",DATE(YEAR($A327),MONTH($A327)+IF(AND(IFERROR(N(INDEX(Übersicht!$M$15:$M$22,MATCH($B327,Übersicht!$A$15:$A$22,0))),0)&gt;1,DAY($A327)&gt;=IFERROR(N(INDEX(Übersicht!$M$15:$M$22,MATCH($B327,Übersicht!$A$15:$A$22,0))),0)),1,0),1))</f>
        <v/>
      </c>
    </row>
    <row r="328">
      <c r="A328" s="92" t="n"/>
      <c r="B328" s="55" t="n"/>
      <c r="C328" s="55" t="n"/>
      <c r="D328" s="55" t="n"/>
      <c r="E328" s="93" t="n"/>
      <c r="F328" s="94" t="n"/>
      <c r="G328" s="94" t="n"/>
      <c r="H328" s="94" t="n"/>
      <c r="I328" s="94" t="n"/>
      <c r="J328" s="55" t="n"/>
      <c r="K328" s="95" t="n"/>
      <c r="L328" s="116">
        <f>IF($A328="","",DATE(YEAR($A328),MONTH($A328)+IF(AND(IFERROR(N(INDEX(Übersicht!$M$15:$M$22,MATCH($B328,Übersicht!$A$15:$A$22,0))),0)&gt;1,DAY($A328)&gt;=IFERROR(N(INDEX(Übersicht!$M$15:$M$22,MATCH($B328,Übersicht!$A$15:$A$22,0))),0)),1,0),1))</f>
        <v/>
      </c>
    </row>
    <row r="329">
      <c r="A329" s="92" t="n"/>
      <c r="B329" s="55" t="n"/>
      <c r="C329" s="55" t="n"/>
      <c r="D329" s="55" t="n"/>
      <c r="E329" s="93" t="n"/>
      <c r="F329" s="94" t="n"/>
      <c r="G329" s="94" t="n"/>
      <c r="H329" s="94" t="n"/>
      <c r="I329" s="94" t="n"/>
      <c r="J329" s="55" t="n"/>
      <c r="K329" s="95" t="n"/>
      <c r="L329" s="116">
        <f>IF($A329="","",DATE(YEAR($A329),MONTH($A329)+IF(AND(IFERROR(N(INDEX(Übersicht!$M$15:$M$22,MATCH($B329,Übersicht!$A$15:$A$22,0))),0)&gt;1,DAY($A329)&gt;=IFERROR(N(INDEX(Übersicht!$M$15:$M$22,MATCH($B329,Übersicht!$A$15:$A$22,0))),0)),1,0),1))</f>
        <v/>
      </c>
    </row>
    <row r="330">
      <c r="A330" s="92" t="n"/>
      <c r="B330" s="55" t="n"/>
      <c r="C330" s="55" t="n"/>
      <c r="D330" s="55" t="n"/>
      <c r="E330" s="93" t="n"/>
      <c r="F330" s="94" t="n"/>
      <c r="G330" s="94" t="n"/>
      <c r="H330" s="94" t="n"/>
      <c r="I330" s="94" t="n"/>
      <c r="J330" s="55" t="n"/>
      <c r="K330" s="95" t="n"/>
      <c r="L330" s="116">
        <f>IF($A330="","",DATE(YEAR($A330),MONTH($A330)+IF(AND(IFERROR(N(INDEX(Übersicht!$M$15:$M$22,MATCH($B330,Übersicht!$A$15:$A$22,0))),0)&gt;1,DAY($A330)&gt;=IFERROR(N(INDEX(Übersicht!$M$15:$M$22,MATCH($B330,Übersicht!$A$15:$A$22,0))),0)),1,0),1))</f>
        <v/>
      </c>
    </row>
    <row r="331">
      <c r="A331" s="92" t="n"/>
      <c r="B331" s="55" t="n"/>
      <c r="C331" s="55" t="n"/>
      <c r="D331" s="55" t="n"/>
      <c r="E331" s="93" t="n"/>
      <c r="F331" s="94" t="n"/>
      <c r="G331" s="94" t="n"/>
      <c r="H331" s="94" t="n"/>
      <c r="I331" s="94" t="n"/>
      <c r="J331" s="55" t="n"/>
      <c r="K331" s="95" t="n"/>
      <c r="L331" s="116">
        <f>IF($A331="","",DATE(YEAR($A331),MONTH($A331)+IF(AND(IFERROR(N(INDEX(Übersicht!$M$15:$M$22,MATCH($B331,Übersicht!$A$15:$A$22,0))),0)&gt;1,DAY($A331)&gt;=IFERROR(N(INDEX(Übersicht!$M$15:$M$22,MATCH($B331,Übersicht!$A$15:$A$22,0))),0)),1,0),1))</f>
        <v/>
      </c>
    </row>
    <row r="332">
      <c r="A332" s="92" t="n"/>
      <c r="B332" s="55" t="n"/>
      <c r="C332" s="55" t="n"/>
      <c r="D332" s="55" t="n"/>
      <c r="E332" s="93" t="n"/>
      <c r="F332" s="94" t="n"/>
      <c r="G332" s="94" t="n"/>
      <c r="H332" s="94" t="n"/>
      <c r="I332" s="94" t="n"/>
      <c r="J332" s="55" t="n"/>
      <c r="K332" s="95" t="n"/>
      <c r="L332" s="116">
        <f>IF($A332="","",DATE(YEAR($A332),MONTH($A332)+IF(AND(IFERROR(N(INDEX(Übersicht!$M$15:$M$22,MATCH($B332,Übersicht!$A$15:$A$22,0))),0)&gt;1,DAY($A332)&gt;=IFERROR(N(INDEX(Übersicht!$M$15:$M$22,MATCH($B332,Übersicht!$A$15:$A$22,0))),0)),1,0),1))</f>
        <v/>
      </c>
    </row>
    <row r="333">
      <c r="A333" s="92" t="n"/>
      <c r="B333" s="55" t="n"/>
      <c r="C333" s="55" t="n"/>
      <c r="D333" s="55" t="n"/>
      <c r="E333" s="93" t="n"/>
      <c r="F333" s="94" t="n"/>
      <c r="G333" s="94" t="n"/>
      <c r="H333" s="94" t="n"/>
      <c r="I333" s="94" t="n"/>
      <c r="J333" s="55" t="n"/>
      <c r="K333" s="95" t="n"/>
      <c r="L333" s="116">
        <f>IF($A333="","",DATE(YEAR($A333),MONTH($A333)+IF(AND(IFERROR(N(INDEX(Übersicht!$M$15:$M$22,MATCH($B333,Übersicht!$A$15:$A$22,0))),0)&gt;1,DAY($A333)&gt;=IFERROR(N(INDEX(Übersicht!$M$15:$M$22,MATCH($B333,Übersicht!$A$15:$A$22,0))),0)),1,0),1))</f>
        <v/>
      </c>
    </row>
    <row r="334">
      <c r="A334" s="92" t="n"/>
      <c r="B334" s="55" t="n"/>
      <c r="C334" s="55" t="n"/>
      <c r="D334" s="55" t="n"/>
      <c r="E334" s="93" t="n"/>
      <c r="F334" s="94" t="n"/>
      <c r="G334" s="94" t="n"/>
      <c r="H334" s="94" t="n"/>
      <c r="I334" s="94" t="n"/>
      <c r="J334" s="55" t="n"/>
      <c r="K334" s="95" t="n"/>
      <c r="L334" s="116">
        <f>IF($A334="","",DATE(YEAR($A334),MONTH($A334)+IF(AND(IFERROR(N(INDEX(Übersicht!$M$15:$M$22,MATCH($B334,Übersicht!$A$15:$A$22,0))),0)&gt;1,DAY($A334)&gt;=IFERROR(N(INDEX(Übersicht!$M$15:$M$22,MATCH($B334,Übersicht!$A$15:$A$22,0))),0)),1,0),1))</f>
        <v/>
      </c>
    </row>
    <row r="335">
      <c r="A335" s="92" t="n"/>
      <c r="B335" s="55" t="n"/>
      <c r="C335" s="55" t="n"/>
      <c r="D335" s="55" t="n"/>
      <c r="E335" s="93" t="n"/>
      <c r="F335" s="94" t="n"/>
      <c r="G335" s="94" t="n"/>
      <c r="H335" s="94" t="n"/>
      <c r="I335" s="94" t="n"/>
      <c r="J335" s="55" t="n"/>
      <c r="K335" s="95" t="n"/>
      <c r="L335" s="116">
        <f>IF($A335="","",DATE(YEAR($A335),MONTH($A335)+IF(AND(IFERROR(N(INDEX(Übersicht!$M$15:$M$22,MATCH($B335,Übersicht!$A$15:$A$22,0))),0)&gt;1,DAY($A335)&gt;=IFERROR(N(INDEX(Übersicht!$M$15:$M$22,MATCH($B335,Übersicht!$A$15:$A$22,0))),0)),1,0),1))</f>
        <v/>
      </c>
    </row>
    <row r="336">
      <c r="A336" s="92" t="n"/>
      <c r="B336" s="55" t="n"/>
      <c r="C336" s="55" t="n"/>
      <c r="D336" s="55" t="n"/>
      <c r="E336" s="93" t="n"/>
      <c r="F336" s="94" t="n"/>
      <c r="G336" s="94" t="n"/>
      <c r="H336" s="94" t="n"/>
      <c r="I336" s="94" t="n"/>
      <c r="J336" s="55" t="n"/>
      <c r="K336" s="95" t="n"/>
      <c r="L336" s="116">
        <f>IF($A336="","",DATE(YEAR($A336),MONTH($A336)+IF(AND(IFERROR(N(INDEX(Übersicht!$M$15:$M$22,MATCH($B336,Übersicht!$A$15:$A$22,0))),0)&gt;1,DAY($A336)&gt;=IFERROR(N(INDEX(Übersicht!$M$15:$M$22,MATCH($B336,Übersicht!$A$15:$A$22,0))),0)),1,0),1))</f>
        <v/>
      </c>
    </row>
    <row r="337">
      <c r="A337" s="92" t="n"/>
      <c r="B337" s="55" t="n"/>
      <c r="C337" s="55" t="n"/>
      <c r="D337" s="55" t="n"/>
      <c r="E337" s="93" t="n"/>
      <c r="F337" s="94" t="n"/>
      <c r="G337" s="94" t="n"/>
      <c r="H337" s="94" t="n"/>
      <c r="I337" s="94" t="n"/>
      <c r="J337" s="55" t="n"/>
      <c r="K337" s="95" t="n"/>
      <c r="L337" s="116">
        <f>IF($A337="","",DATE(YEAR($A337),MONTH($A337)+IF(AND(IFERROR(N(INDEX(Übersicht!$M$15:$M$22,MATCH($B337,Übersicht!$A$15:$A$22,0))),0)&gt;1,DAY($A337)&gt;=IFERROR(N(INDEX(Übersicht!$M$15:$M$22,MATCH($B337,Übersicht!$A$15:$A$22,0))),0)),1,0),1))</f>
        <v/>
      </c>
    </row>
    <row r="338">
      <c r="A338" s="92" t="n"/>
      <c r="B338" s="55" t="n"/>
      <c r="C338" s="55" t="n"/>
      <c r="D338" s="55" t="n"/>
      <c r="E338" s="93" t="n"/>
      <c r="F338" s="94" t="n"/>
      <c r="G338" s="94" t="n"/>
      <c r="H338" s="94" t="n"/>
      <c r="I338" s="94" t="n"/>
      <c r="J338" s="55" t="n"/>
      <c r="K338" s="95" t="n"/>
      <c r="L338" s="116">
        <f>IF($A338="","",DATE(YEAR($A338),MONTH($A338)+IF(AND(IFERROR(N(INDEX(Übersicht!$M$15:$M$22,MATCH($B338,Übersicht!$A$15:$A$22,0))),0)&gt;1,DAY($A338)&gt;=IFERROR(N(INDEX(Übersicht!$M$15:$M$22,MATCH($B338,Übersicht!$A$15:$A$22,0))),0)),1,0),1))</f>
        <v/>
      </c>
    </row>
    <row r="339">
      <c r="A339" s="92" t="n"/>
      <c r="B339" s="55" t="n"/>
      <c r="C339" s="55" t="n"/>
      <c r="D339" s="55" t="n"/>
      <c r="E339" s="93" t="n"/>
      <c r="F339" s="94" t="n"/>
      <c r="G339" s="94" t="n"/>
      <c r="H339" s="94" t="n"/>
      <c r="I339" s="94" t="n"/>
      <c r="J339" s="55" t="n"/>
      <c r="K339" s="95" t="n"/>
      <c r="L339" s="116">
        <f>IF($A339="","",DATE(YEAR($A339),MONTH($A339)+IF(AND(IFERROR(N(INDEX(Übersicht!$M$15:$M$22,MATCH($B339,Übersicht!$A$15:$A$22,0))),0)&gt;1,DAY($A339)&gt;=IFERROR(N(INDEX(Übersicht!$M$15:$M$22,MATCH($B339,Übersicht!$A$15:$A$22,0))),0)),1,0),1))</f>
        <v/>
      </c>
    </row>
    <row r="340">
      <c r="A340" s="92" t="n"/>
      <c r="B340" s="55" t="n"/>
      <c r="C340" s="55" t="n"/>
      <c r="D340" s="55" t="n"/>
      <c r="E340" s="93" t="n"/>
      <c r="F340" s="94" t="n"/>
      <c r="G340" s="94" t="n"/>
      <c r="H340" s="94" t="n"/>
      <c r="I340" s="94" t="n"/>
      <c r="J340" s="55" t="n"/>
      <c r="K340" s="95" t="n"/>
      <c r="L340" s="116">
        <f>IF($A340="","",DATE(YEAR($A340),MONTH($A340)+IF(AND(IFERROR(N(INDEX(Übersicht!$M$15:$M$22,MATCH($B340,Übersicht!$A$15:$A$22,0))),0)&gt;1,DAY($A340)&gt;=IFERROR(N(INDEX(Übersicht!$M$15:$M$22,MATCH($B340,Übersicht!$A$15:$A$22,0))),0)),1,0),1))</f>
        <v/>
      </c>
    </row>
    <row r="341">
      <c r="A341" s="92" t="n"/>
      <c r="B341" s="55" t="n"/>
      <c r="C341" s="55" t="n"/>
      <c r="D341" s="55" t="n"/>
      <c r="E341" s="93" t="n"/>
      <c r="F341" s="94" t="n"/>
      <c r="G341" s="94" t="n"/>
      <c r="H341" s="94" t="n"/>
      <c r="I341" s="94" t="n"/>
      <c r="J341" s="55" t="n"/>
      <c r="K341" s="95" t="n"/>
      <c r="L341" s="116">
        <f>IF($A341="","",DATE(YEAR($A341),MONTH($A341)+IF(AND(IFERROR(N(INDEX(Übersicht!$M$15:$M$22,MATCH($B341,Übersicht!$A$15:$A$22,0))),0)&gt;1,DAY($A341)&gt;=IFERROR(N(INDEX(Übersicht!$M$15:$M$22,MATCH($B341,Übersicht!$A$15:$A$22,0))),0)),1,0),1))</f>
        <v/>
      </c>
    </row>
    <row r="342">
      <c r="A342" s="92" t="n"/>
      <c r="B342" s="55" t="n"/>
      <c r="C342" s="55" t="n"/>
      <c r="D342" s="55" t="n"/>
      <c r="E342" s="93" t="n"/>
      <c r="F342" s="94" t="n"/>
      <c r="G342" s="94" t="n"/>
      <c r="H342" s="94" t="n"/>
      <c r="I342" s="94" t="n"/>
      <c r="J342" s="55" t="n"/>
      <c r="K342" s="95" t="n"/>
      <c r="L342" s="116">
        <f>IF($A342="","",DATE(YEAR($A342),MONTH($A342)+IF(AND(IFERROR(N(INDEX(Übersicht!$M$15:$M$22,MATCH($B342,Übersicht!$A$15:$A$22,0))),0)&gt;1,DAY($A342)&gt;=IFERROR(N(INDEX(Übersicht!$M$15:$M$22,MATCH($B342,Übersicht!$A$15:$A$22,0))),0)),1,0),1))</f>
        <v/>
      </c>
    </row>
    <row r="343">
      <c r="A343" s="92" t="n"/>
      <c r="B343" s="55" t="n"/>
      <c r="C343" s="55" t="n"/>
      <c r="D343" s="55" t="n"/>
      <c r="E343" s="93" t="n"/>
      <c r="F343" s="94" t="n"/>
      <c r="G343" s="94" t="n"/>
      <c r="H343" s="94" t="n"/>
      <c r="I343" s="94" t="n"/>
      <c r="J343" s="55" t="n"/>
      <c r="K343" s="95" t="n"/>
      <c r="L343" s="116">
        <f>IF($A343="","",DATE(YEAR($A343),MONTH($A343)+IF(AND(IFERROR(N(INDEX(Übersicht!$M$15:$M$22,MATCH($B343,Übersicht!$A$15:$A$22,0))),0)&gt;1,DAY($A343)&gt;=IFERROR(N(INDEX(Übersicht!$M$15:$M$22,MATCH($B343,Übersicht!$A$15:$A$22,0))),0)),1,0),1))</f>
        <v/>
      </c>
    </row>
    <row r="344">
      <c r="A344" s="92" t="n"/>
      <c r="B344" s="55" t="n"/>
      <c r="C344" s="55" t="n"/>
      <c r="D344" s="55" t="n"/>
      <c r="E344" s="93" t="n"/>
      <c r="F344" s="94" t="n"/>
      <c r="G344" s="94" t="n"/>
      <c r="H344" s="94" t="n"/>
      <c r="I344" s="94" t="n"/>
      <c r="J344" s="55" t="n"/>
      <c r="K344" s="95" t="n"/>
      <c r="L344" s="116">
        <f>IF($A344="","",DATE(YEAR($A344),MONTH($A344)+IF(AND(IFERROR(N(INDEX(Übersicht!$M$15:$M$22,MATCH($B344,Übersicht!$A$15:$A$22,0))),0)&gt;1,DAY($A344)&gt;=IFERROR(N(INDEX(Übersicht!$M$15:$M$22,MATCH($B344,Übersicht!$A$15:$A$22,0))),0)),1,0),1))</f>
        <v/>
      </c>
    </row>
    <row r="345">
      <c r="A345" s="92" t="n"/>
      <c r="B345" s="55" t="n"/>
      <c r="C345" s="55" t="n"/>
      <c r="D345" s="55" t="n"/>
      <c r="E345" s="93" t="n"/>
      <c r="F345" s="94" t="n"/>
      <c r="G345" s="94" t="n"/>
      <c r="H345" s="94" t="n"/>
      <c r="I345" s="94" t="n"/>
      <c r="J345" s="55" t="n"/>
      <c r="K345" s="95" t="n"/>
      <c r="L345" s="116">
        <f>IF($A345="","",DATE(YEAR($A345),MONTH($A345)+IF(AND(IFERROR(N(INDEX(Übersicht!$M$15:$M$22,MATCH($B345,Übersicht!$A$15:$A$22,0))),0)&gt;1,DAY($A345)&gt;=IFERROR(N(INDEX(Übersicht!$M$15:$M$22,MATCH($B345,Übersicht!$A$15:$A$22,0))),0)),1,0),1))</f>
        <v/>
      </c>
    </row>
    <row r="346">
      <c r="A346" s="92" t="n"/>
      <c r="B346" s="55" t="n"/>
      <c r="C346" s="55" t="n"/>
      <c r="D346" s="55" t="n"/>
      <c r="E346" s="93" t="n"/>
      <c r="F346" s="94" t="n"/>
      <c r="G346" s="94" t="n"/>
      <c r="H346" s="94" t="n"/>
      <c r="I346" s="94" t="n"/>
      <c r="J346" s="55" t="n"/>
      <c r="K346" s="95" t="n"/>
      <c r="L346" s="116">
        <f>IF($A346="","",DATE(YEAR($A346),MONTH($A346)+IF(AND(IFERROR(N(INDEX(Übersicht!$M$15:$M$22,MATCH($B346,Übersicht!$A$15:$A$22,0))),0)&gt;1,DAY($A346)&gt;=IFERROR(N(INDEX(Übersicht!$M$15:$M$22,MATCH($B346,Übersicht!$A$15:$A$22,0))),0)),1,0),1))</f>
        <v/>
      </c>
    </row>
    <row r="347">
      <c r="A347" s="92" t="n"/>
      <c r="B347" s="55" t="n"/>
      <c r="C347" s="55" t="n"/>
      <c r="D347" s="55" t="n"/>
      <c r="E347" s="93" t="n"/>
      <c r="F347" s="94" t="n"/>
      <c r="G347" s="94" t="n"/>
      <c r="H347" s="94" t="n"/>
      <c r="I347" s="94" t="n"/>
      <c r="J347" s="55" t="n"/>
      <c r="K347" s="95" t="n"/>
      <c r="L347" s="116">
        <f>IF($A347="","",DATE(YEAR($A347),MONTH($A347)+IF(AND(IFERROR(N(INDEX(Übersicht!$M$15:$M$22,MATCH($B347,Übersicht!$A$15:$A$22,0))),0)&gt;1,DAY($A347)&gt;=IFERROR(N(INDEX(Übersicht!$M$15:$M$22,MATCH($B347,Übersicht!$A$15:$A$22,0))),0)),1,0),1))</f>
        <v/>
      </c>
    </row>
    <row r="348">
      <c r="A348" s="92" t="n"/>
      <c r="B348" s="55" t="n"/>
      <c r="C348" s="55" t="n"/>
      <c r="D348" s="55" t="n"/>
      <c r="E348" s="93" t="n"/>
      <c r="F348" s="94" t="n"/>
      <c r="G348" s="94" t="n"/>
      <c r="H348" s="94" t="n"/>
      <c r="I348" s="94" t="n"/>
      <c r="J348" s="55" t="n"/>
      <c r="K348" s="95" t="n"/>
      <c r="L348" s="116">
        <f>IF($A348="","",DATE(YEAR($A348),MONTH($A348)+IF(AND(IFERROR(N(INDEX(Übersicht!$M$15:$M$22,MATCH($B348,Übersicht!$A$15:$A$22,0))),0)&gt;1,DAY($A348)&gt;=IFERROR(N(INDEX(Übersicht!$M$15:$M$22,MATCH($B348,Übersicht!$A$15:$A$22,0))),0)),1,0),1))</f>
        <v/>
      </c>
    </row>
    <row r="349">
      <c r="A349" s="92" t="n"/>
      <c r="B349" s="55" t="n"/>
      <c r="C349" s="55" t="n"/>
      <c r="D349" s="55" t="n"/>
      <c r="E349" s="93" t="n"/>
      <c r="F349" s="94" t="n"/>
      <c r="G349" s="94" t="n"/>
      <c r="H349" s="94" t="n"/>
      <c r="I349" s="94" t="n"/>
      <c r="J349" s="55" t="n"/>
      <c r="K349" s="95" t="n"/>
      <c r="L349" s="116">
        <f>IF($A349="","",DATE(YEAR($A349),MONTH($A349)+IF(AND(IFERROR(N(INDEX(Übersicht!$M$15:$M$22,MATCH($B349,Übersicht!$A$15:$A$22,0))),0)&gt;1,DAY($A349)&gt;=IFERROR(N(INDEX(Übersicht!$M$15:$M$22,MATCH($B349,Übersicht!$A$15:$A$22,0))),0)),1,0),1))</f>
        <v/>
      </c>
    </row>
    <row r="350">
      <c r="A350" s="92" t="n"/>
      <c r="B350" s="55" t="n"/>
      <c r="C350" s="55" t="n"/>
      <c r="D350" s="55" t="n"/>
      <c r="E350" s="93" t="n"/>
      <c r="F350" s="94" t="n"/>
      <c r="G350" s="94" t="n"/>
      <c r="H350" s="94" t="n"/>
      <c r="I350" s="94" t="n"/>
      <c r="J350" s="55" t="n"/>
      <c r="K350" s="95" t="n"/>
      <c r="L350" s="116">
        <f>IF($A350="","",DATE(YEAR($A350),MONTH($A350)+IF(AND(IFERROR(N(INDEX(Übersicht!$M$15:$M$22,MATCH($B350,Übersicht!$A$15:$A$22,0))),0)&gt;1,DAY($A350)&gt;=IFERROR(N(INDEX(Übersicht!$M$15:$M$22,MATCH($B350,Übersicht!$A$15:$A$22,0))),0)),1,0),1))</f>
        <v/>
      </c>
    </row>
    <row r="351">
      <c r="A351" s="92" t="n"/>
      <c r="B351" s="55" t="n"/>
      <c r="C351" s="55" t="n"/>
      <c r="D351" s="55" t="n"/>
      <c r="E351" s="93" t="n"/>
      <c r="F351" s="94" t="n"/>
      <c r="G351" s="94" t="n"/>
      <c r="H351" s="94" t="n"/>
      <c r="I351" s="94" t="n"/>
      <c r="J351" s="55" t="n"/>
      <c r="K351" s="95" t="n"/>
      <c r="L351" s="116">
        <f>IF($A351="","",DATE(YEAR($A351),MONTH($A351)+IF(AND(IFERROR(N(INDEX(Übersicht!$M$15:$M$22,MATCH($B351,Übersicht!$A$15:$A$22,0))),0)&gt;1,DAY($A351)&gt;=IFERROR(N(INDEX(Übersicht!$M$15:$M$22,MATCH($B351,Übersicht!$A$15:$A$22,0))),0)),1,0),1))</f>
        <v/>
      </c>
    </row>
    <row r="352">
      <c r="A352" s="92" t="n"/>
      <c r="B352" s="55" t="n"/>
      <c r="C352" s="55" t="n"/>
      <c r="D352" s="55" t="n"/>
      <c r="E352" s="93" t="n"/>
      <c r="F352" s="94" t="n"/>
      <c r="G352" s="94" t="n"/>
      <c r="H352" s="94" t="n"/>
      <c r="I352" s="94" t="n"/>
      <c r="J352" s="55" t="n"/>
      <c r="K352" s="95" t="n"/>
      <c r="L352" s="116">
        <f>IF($A352="","",DATE(YEAR($A352),MONTH($A352)+IF(AND(IFERROR(N(INDEX(Übersicht!$M$15:$M$22,MATCH($B352,Übersicht!$A$15:$A$22,0))),0)&gt;1,DAY($A352)&gt;=IFERROR(N(INDEX(Übersicht!$M$15:$M$22,MATCH($B352,Übersicht!$A$15:$A$22,0))),0)),1,0),1))</f>
        <v/>
      </c>
    </row>
    <row r="353">
      <c r="A353" s="92" t="n"/>
      <c r="B353" s="55" t="n"/>
      <c r="C353" s="55" t="n"/>
      <c r="D353" s="55" t="n"/>
      <c r="E353" s="93" t="n"/>
      <c r="F353" s="94" t="n"/>
      <c r="G353" s="94" t="n"/>
      <c r="H353" s="94" t="n"/>
      <c r="I353" s="94" t="n"/>
      <c r="J353" s="55" t="n"/>
      <c r="K353" s="95" t="n"/>
      <c r="L353" s="116">
        <f>IF($A353="","",DATE(YEAR($A353),MONTH($A353)+IF(AND(IFERROR(N(INDEX(Übersicht!$M$15:$M$22,MATCH($B353,Übersicht!$A$15:$A$22,0))),0)&gt;1,DAY($A353)&gt;=IFERROR(N(INDEX(Übersicht!$M$15:$M$22,MATCH($B353,Übersicht!$A$15:$A$22,0))),0)),1,0),1))</f>
        <v/>
      </c>
    </row>
    <row r="354">
      <c r="A354" s="92" t="n"/>
      <c r="B354" s="55" t="n"/>
      <c r="C354" s="55" t="n"/>
      <c r="D354" s="55" t="n"/>
      <c r="E354" s="93" t="n"/>
      <c r="F354" s="94" t="n"/>
      <c r="G354" s="94" t="n"/>
      <c r="H354" s="94" t="n"/>
      <c r="I354" s="94" t="n"/>
      <c r="J354" s="55" t="n"/>
      <c r="K354" s="95" t="n"/>
      <c r="L354" s="116">
        <f>IF($A354="","",DATE(YEAR($A354),MONTH($A354)+IF(AND(IFERROR(N(INDEX(Übersicht!$M$15:$M$22,MATCH($B354,Übersicht!$A$15:$A$22,0))),0)&gt;1,DAY($A354)&gt;=IFERROR(N(INDEX(Übersicht!$M$15:$M$22,MATCH($B354,Übersicht!$A$15:$A$22,0))),0)),1,0),1))</f>
        <v/>
      </c>
    </row>
    <row r="355">
      <c r="A355" s="92" t="n"/>
      <c r="B355" s="55" t="n"/>
      <c r="C355" s="55" t="n"/>
      <c r="D355" s="55" t="n"/>
      <c r="E355" s="93" t="n"/>
      <c r="F355" s="94" t="n"/>
      <c r="G355" s="94" t="n"/>
      <c r="H355" s="94" t="n"/>
      <c r="I355" s="94" t="n"/>
      <c r="J355" s="55" t="n"/>
      <c r="K355" s="95" t="n"/>
      <c r="L355" s="116">
        <f>IF($A355="","",DATE(YEAR($A355),MONTH($A355)+IF(AND(IFERROR(N(INDEX(Übersicht!$M$15:$M$22,MATCH($B355,Übersicht!$A$15:$A$22,0))),0)&gt;1,DAY($A355)&gt;=IFERROR(N(INDEX(Übersicht!$M$15:$M$22,MATCH($B355,Übersicht!$A$15:$A$22,0))),0)),1,0),1))</f>
        <v/>
      </c>
    </row>
    <row r="356">
      <c r="A356" s="92" t="n"/>
      <c r="B356" s="55" t="n"/>
      <c r="C356" s="55" t="n"/>
      <c r="D356" s="55" t="n"/>
      <c r="E356" s="93" t="n"/>
      <c r="F356" s="94" t="n"/>
      <c r="G356" s="94" t="n"/>
      <c r="H356" s="94" t="n"/>
      <c r="I356" s="94" t="n"/>
      <c r="J356" s="55" t="n"/>
      <c r="K356" s="95" t="n"/>
      <c r="L356" s="116">
        <f>IF($A356="","",DATE(YEAR($A356),MONTH($A356)+IF(AND(IFERROR(N(INDEX(Übersicht!$M$15:$M$22,MATCH($B356,Übersicht!$A$15:$A$22,0))),0)&gt;1,DAY($A356)&gt;=IFERROR(N(INDEX(Übersicht!$M$15:$M$22,MATCH($B356,Übersicht!$A$15:$A$22,0))),0)),1,0),1))</f>
        <v/>
      </c>
    </row>
    <row r="357">
      <c r="A357" s="92" t="n"/>
      <c r="B357" s="55" t="n"/>
      <c r="C357" s="55" t="n"/>
      <c r="D357" s="55" t="n"/>
      <c r="E357" s="93" t="n"/>
      <c r="F357" s="94" t="n"/>
      <c r="G357" s="94" t="n"/>
      <c r="H357" s="94" t="n"/>
      <c r="I357" s="94" t="n"/>
      <c r="J357" s="55" t="n"/>
      <c r="K357" s="95" t="n"/>
      <c r="L357" s="116">
        <f>IF($A357="","",DATE(YEAR($A357),MONTH($A357)+IF(AND(IFERROR(N(INDEX(Übersicht!$M$15:$M$22,MATCH($B357,Übersicht!$A$15:$A$22,0))),0)&gt;1,DAY($A357)&gt;=IFERROR(N(INDEX(Übersicht!$M$15:$M$22,MATCH($B357,Übersicht!$A$15:$A$22,0))),0)),1,0),1))</f>
        <v/>
      </c>
    </row>
    <row r="358">
      <c r="A358" s="92" t="n"/>
      <c r="B358" s="55" t="n"/>
      <c r="C358" s="55" t="n"/>
      <c r="D358" s="55" t="n"/>
      <c r="E358" s="93" t="n"/>
      <c r="F358" s="94" t="n"/>
      <c r="G358" s="94" t="n"/>
      <c r="H358" s="94" t="n"/>
      <c r="I358" s="94" t="n"/>
      <c r="J358" s="55" t="n"/>
      <c r="K358" s="95" t="n"/>
      <c r="L358" s="116">
        <f>IF($A358="","",DATE(YEAR($A358),MONTH($A358)+IF(AND(IFERROR(N(INDEX(Übersicht!$M$15:$M$22,MATCH($B358,Übersicht!$A$15:$A$22,0))),0)&gt;1,DAY($A358)&gt;=IFERROR(N(INDEX(Übersicht!$M$15:$M$22,MATCH($B358,Übersicht!$A$15:$A$22,0))),0)),1,0),1))</f>
        <v/>
      </c>
    </row>
    <row r="359">
      <c r="A359" s="92" t="n"/>
      <c r="B359" s="55" t="n"/>
      <c r="C359" s="55" t="n"/>
      <c r="D359" s="55" t="n"/>
      <c r="E359" s="93" t="n"/>
      <c r="F359" s="94" t="n"/>
      <c r="G359" s="94" t="n"/>
      <c r="H359" s="94" t="n"/>
      <c r="I359" s="94" t="n"/>
      <c r="J359" s="55" t="n"/>
      <c r="K359" s="95" t="n"/>
      <c r="L359" s="116">
        <f>IF($A359="","",DATE(YEAR($A359),MONTH($A359)+IF(AND(IFERROR(N(INDEX(Übersicht!$M$15:$M$22,MATCH($B359,Übersicht!$A$15:$A$22,0))),0)&gt;1,DAY($A359)&gt;=IFERROR(N(INDEX(Übersicht!$M$15:$M$22,MATCH($B359,Übersicht!$A$15:$A$22,0))),0)),1,0),1))</f>
        <v/>
      </c>
    </row>
    <row r="360">
      <c r="A360" s="92" t="n"/>
      <c r="B360" s="55" t="n"/>
      <c r="C360" s="55" t="n"/>
      <c r="D360" s="55" t="n"/>
      <c r="E360" s="93" t="n"/>
      <c r="F360" s="94" t="n"/>
      <c r="G360" s="94" t="n"/>
      <c r="H360" s="94" t="n"/>
      <c r="I360" s="94" t="n"/>
      <c r="J360" s="55" t="n"/>
      <c r="K360" s="95" t="n"/>
      <c r="L360" s="116">
        <f>IF($A360="","",DATE(YEAR($A360),MONTH($A360)+IF(AND(IFERROR(N(INDEX(Übersicht!$M$15:$M$22,MATCH($B360,Übersicht!$A$15:$A$22,0))),0)&gt;1,DAY($A360)&gt;=IFERROR(N(INDEX(Übersicht!$M$15:$M$22,MATCH($B360,Übersicht!$A$15:$A$22,0))),0)),1,0),1))</f>
        <v/>
      </c>
    </row>
    <row r="361">
      <c r="A361" s="92" t="n"/>
      <c r="B361" s="55" t="n"/>
      <c r="C361" s="55" t="n"/>
      <c r="D361" s="55" t="n"/>
      <c r="E361" s="93" t="n"/>
      <c r="F361" s="94" t="n"/>
      <c r="G361" s="94" t="n"/>
      <c r="H361" s="94" t="n"/>
      <c r="I361" s="94" t="n"/>
      <c r="J361" s="55" t="n"/>
      <c r="K361" s="95" t="n"/>
      <c r="L361" s="116">
        <f>IF($A361="","",DATE(YEAR($A361),MONTH($A361)+IF(AND(IFERROR(N(INDEX(Übersicht!$M$15:$M$22,MATCH($B361,Übersicht!$A$15:$A$22,0))),0)&gt;1,DAY($A361)&gt;=IFERROR(N(INDEX(Übersicht!$M$15:$M$22,MATCH($B361,Übersicht!$A$15:$A$22,0))),0)),1,0),1))</f>
        <v/>
      </c>
    </row>
    <row r="362">
      <c r="A362" s="92" t="n"/>
      <c r="B362" s="55" t="n"/>
      <c r="C362" s="55" t="n"/>
      <c r="D362" s="55" t="n"/>
      <c r="E362" s="93" t="n"/>
      <c r="F362" s="94" t="n"/>
      <c r="G362" s="94" t="n"/>
      <c r="H362" s="94" t="n"/>
      <c r="I362" s="94" t="n"/>
      <c r="J362" s="55" t="n"/>
      <c r="K362" s="95" t="n"/>
      <c r="L362" s="116">
        <f>IF($A362="","",DATE(YEAR($A362),MONTH($A362)+IF(AND(IFERROR(N(INDEX(Übersicht!$M$15:$M$22,MATCH($B362,Übersicht!$A$15:$A$22,0))),0)&gt;1,DAY($A362)&gt;=IFERROR(N(INDEX(Übersicht!$M$15:$M$22,MATCH($B362,Übersicht!$A$15:$A$22,0))),0)),1,0),1))</f>
        <v/>
      </c>
    </row>
    <row r="363">
      <c r="A363" s="92" t="n"/>
      <c r="B363" s="55" t="n"/>
      <c r="C363" s="55" t="n"/>
      <c r="D363" s="55" t="n"/>
      <c r="E363" s="93" t="n"/>
      <c r="F363" s="94" t="n"/>
      <c r="G363" s="94" t="n"/>
      <c r="H363" s="94" t="n"/>
      <c r="I363" s="94" t="n"/>
      <c r="J363" s="55" t="n"/>
      <c r="K363" s="95" t="n"/>
      <c r="L363" s="116">
        <f>IF($A363="","",DATE(YEAR($A363),MONTH($A363)+IF(AND(IFERROR(N(INDEX(Übersicht!$M$15:$M$22,MATCH($B363,Übersicht!$A$15:$A$22,0))),0)&gt;1,DAY($A363)&gt;=IFERROR(N(INDEX(Übersicht!$M$15:$M$22,MATCH($B363,Übersicht!$A$15:$A$22,0))),0)),1,0),1))</f>
        <v/>
      </c>
    </row>
    <row r="364">
      <c r="A364" s="92" t="n"/>
      <c r="B364" s="55" t="n"/>
      <c r="C364" s="55" t="n"/>
      <c r="D364" s="55" t="n"/>
      <c r="E364" s="93" t="n"/>
      <c r="F364" s="94" t="n"/>
      <c r="G364" s="94" t="n"/>
      <c r="H364" s="94" t="n"/>
      <c r="I364" s="94" t="n"/>
      <c r="J364" s="55" t="n"/>
      <c r="K364" s="95" t="n"/>
      <c r="L364" s="116">
        <f>IF($A364="","",DATE(YEAR($A364),MONTH($A364)+IF(AND(IFERROR(N(INDEX(Übersicht!$M$15:$M$22,MATCH($B364,Übersicht!$A$15:$A$22,0))),0)&gt;1,DAY($A364)&gt;=IFERROR(N(INDEX(Übersicht!$M$15:$M$22,MATCH($B364,Übersicht!$A$15:$A$22,0))),0)),1,0),1))</f>
        <v/>
      </c>
    </row>
    <row r="365">
      <c r="A365" s="92" t="n"/>
      <c r="B365" s="55" t="n"/>
      <c r="C365" s="55" t="n"/>
      <c r="D365" s="55" t="n"/>
      <c r="E365" s="93" t="n"/>
      <c r="F365" s="94" t="n"/>
      <c r="G365" s="94" t="n"/>
      <c r="H365" s="94" t="n"/>
      <c r="I365" s="94" t="n"/>
      <c r="J365" s="55" t="n"/>
      <c r="K365" s="95" t="n"/>
      <c r="L365" s="116">
        <f>IF($A365="","",DATE(YEAR($A365),MONTH($A365)+IF(AND(IFERROR(N(INDEX(Übersicht!$M$15:$M$22,MATCH($B365,Übersicht!$A$15:$A$22,0))),0)&gt;1,DAY($A365)&gt;=IFERROR(N(INDEX(Übersicht!$M$15:$M$22,MATCH($B365,Übersicht!$A$15:$A$22,0))),0)),1,0),1))</f>
        <v/>
      </c>
    </row>
    <row r="366">
      <c r="A366" s="92" t="n"/>
      <c r="B366" s="55" t="n"/>
      <c r="C366" s="55" t="n"/>
      <c r="D366" s="55" t="n"/>
      <c r="E366" s="93" t="n"/>
      <c r="F366" s="94" t="n"/>
      <c r="G366" s="94" t="n"/>
      <c r="H366" s="94" t="n"/>
      <c r="I366" s="94" t="n"/>
      <c r="J366" s="55" t="n"/>
      <c r="K366" s="95" t="n"/>
      <c r="L366" s="116">
        <f>IF($A366="","",DATE(YEAR($A366),MONTH($A366)+IF(AND(IFERROR(N(INDEX(Übersicht!$M$15:$M$22,MATCH($B366,Übersicht!$A$15:$A$22,0))),0)&gt;1,DAY($A366)&gt;=IFERROR(N(INDEX(Übersicht!$M$15:$M$22,MATCH($B366,Übersicht!$A$15:$A$22,0))),0)),1,0),1))</f>
        <v/>
      </c>
    </row>
    <row r="367">
      <c r="A367" s="92" t="n"/>
      <c r="B367" s="55" t="n"/>
      <c r="C367" s="55" t="n"/>
      <c r="D367" s="55" t="n"/>
      <c r="E367" s="93" t="n"/>
      <c r="F367" s="94" t="n"/>
      <c r="G367" s="94" t="n"/>
      <c r="H367" s="94" t="n"/>
      <c r="I367" s="94" t="n"/>
      <c r="J367" s="55" t="n"/>
      <c r="K367" s="95" t="n"/>
      <c r="L367" s="116">
        <f>IF($A367="","",DATE(YEAR($A367),MONTH($A367)+IF(AND(IFERROR(N(INDEX(Übersicht!$M$15:$M$22,MATCH($B367,Übersicht!$A$15:$A$22,0))),0)&gt;1,DAY($A367)&gt;=IFERROR(N(INDEX(Übersicht!$M$15:$M$22,MATCH($B367,Übersicht!$A$15:$A$22,0))),0)),1,0),1))</f>
        <v/>
      </c>
    </row>
    <row r="368">
      <c r="A368" s="92" t="n"/>
      <c r="B368" s="55" t="n"/>
      <c r="C368" s="55" t="n"/>
      <c r="D368" s="55" t="n"/>
      <c r="E368" s="93" t="n"/>
      <c r="F368" s="94" t="n"/>
      <c r="G368" s="94" t="n"/>
      <c r="H368" s="94" t="n"/>
      <c r="I368" s="94" t="n"/>
      <c r="J368" s="55" t="n"/>
      <c r="K368" s="95" t="n"/>
      <c r="L368" s="116">
        <f>IF($A368="","",DATE(YEAR($A368),MONTH($A368)+IF(AND(IFERROR(N(INDEX(Übersicht!$M$15:$M$22,MATCH($B368,Übersicht!$A$15:$A$22,0))),0)&gt;1,DAY($A368)&gt;=IFERROR(N(INDEX(Übersicht!$M$15:$M$22,MATCH($B368,Übersicht!$A$15:$A$22,0))),0)),1,0),1))</f>
        <v/>
      </c>
    </row>
    <row r="369">
      <c r="A369" s="92" t="n"/>
      <c r="B369" s="55" t="n"/>
      <c r="C369" s="55" t="n"/>
      <c r="D369" s="55" t="n"/>
      <c r="E369" s="93" t="n"/>
      <c r="F369" s="94" t="n"/>
      <c r="G369" s="94" t="n"/>
      <c r="H369" s="94" t="n"/>
      <c r="I369" s="94" t="n"/>
      <c r="J369" s="55" t="n"/>
      <c r="K369" s="95" t="n"/>
      <c r="L369" s="116">
        <f>IF($A369="","",DATE(YEAR($A369),MONTH($A369)+IF(AND(IFERROR(N(INDEX(Übersicht!$M$15:$M$22,MATCH($B369,Übersicht!$A$15:$A$22,0))),0)&gt;1,DAY($A369)&gt;=IFERROR(N(INDEX(Übersicht!$M$15:$M$22,MATCH($B369,Übersicht!$A$15:$A$22,0))),0)),1,0),1))</f>
        <v/>
      </c>
    </row>
    <row r="370">
      <c r="A370" s="92" t="n"/>
      <c r="B370" s="55" t="n"/>
      <c r="C370" s="55" t="n"/>
      <c r="D370" s="55" t="n"/>
      <c r="E370" s="93" t="n"/>
      <c r="F370" s="94" t="n"/>
      <c r="G370" s="94" t="n"/>
      <c r="H370" s="94" t="n"/>
      <c r="I370" s="94" t="n"/>
      <c r="J370" s="55" t="n"/>
      <c r="K370" s="95" t="n"/>
      <c r="L370" s="116">
        <f>IF($A370="","",DATE(YEAR($A370),MONTH($A370)+IF(AND(IFERROR(N(INDEX(Übersicht!$M$15:$M$22,MATCH($B370,Übersicht!$A$15:$A$22,0))),0)&gt;1,DAY($A370)&gt;=IFERROR(N(INDEX(Übersicht!$M$15:$M$22,MATCH($B370,Übersicht!$A$15:$A$22,0))),0)),1,0),1))</f>
        <v/>
      </c>
    </row>
    <row r="371">
      <c r="A371" s="92" t="n"/>
      <c r="B371" s="55" t="n"/>
      <c r="C371" s="55" t="n"/>
      <c r="D371" s="55" t="n"/>
      <c r="E371" s="93" t="n"/>
      <c r="F371" s="94" t="n"/>
      <c r="G371" s="94" t="n"/>
      <c r="H371" s="94" t="n"/>
      <c r="I371" s="94" t="n"/>
      <c r="J371" s="55" t="n"/>
      <c r="K371" s="95" t="n"/>
      <c r="L371" s="116">
        <f>IF($A371="","",DATE(YEAR($A371),MONTH($A371)+IF(AND(IFERROR(N(INDEX(Übersicht!$M$15:$M$22,MATCH($B371,Übersicht!$A$15:$A$22,0))),0)&gt;1,DAY($A371)&gt;=IFERROR(N(INDEX(Übersicht!$M$15:$M$22,MATCH($B371,Übersicht!$A$15:$A$22,0))),0)),1,0),1))</f>
        <v/>
      </c>
    </row>
    <row r="372">
      <c r="A372" s="92" t="n"/>
      <c r="B372" s="55" t="n"/>
      <c r="C372" s="55" t="n"/>
      <c r="D372" s="55" t="n"/>
      <c r="E372" s="93" t="n"/>
      <c r="F372" s="94" t="n"/>
      <c r="G372" s="94" t="n"/>
      <c r="H372" s="94" t="n"/>
      <c r="I372" s="94" t="n"/>
      <c r="J372" s="55" t="n"/>
      <c r="K372" s="95" t="n"/>
      <c r="L372" s="116">
        <f>IF($A372="","",DATE(YEAR($A372),MONTH($A372)+IF(AND(IFERROR(N(INDEX(Übersicht!$M$15:$M$22,MATCH($B372,Übersicht!$A$15:$A$22,0))),0)&gt;1,DAY($A372)&gt;=IFERROR(N(INDEX(Übersicht!$M$15:$M$22,MATCH($B372,Übersicht!$A$15:$A$22,0))),0)),1,0),1))</f>
        <v/>
      </c>
    </row>
    <row r="373">
      <c r="A373" s="92" t="n"/>
      <c r="B373" s="55" t="n"/>
      <c r="C373" s="55" t="n"/>
      <c r="D373" s="55" t="n"/>
      <c r="E373" s="93" t="n"/>
      <c r="F373" s="94" t="n"/>
      <c r="G373" s="94" t="n"/>
      <c r="H373" s="94" t="n"/>
      <c r="I373" s="94" t="n"/>
      <c r="J373" s="55" t="n"/>
      <c r="K373" s="95" t="n"/>
      <c r="L373" s="116">
        <f>IF($A373="","",DATE(YEAR($A373),MONTH($A373)+IF(AND(IFERROR(N(INDEX(Übersicht!$M$15:$M$22,MATCH($B373,Übersicht!$A$15:$A$22,0))),0)&gt;1,DAY($A373)&gt;=IFERROR(N(INDEX(Übersicht!$M$15:$M$22,MATCH($B373,Übersicht!$A$15:$A$22,0))),0)),1,0),1))</f>
        <v/>
      </c>
    </row>
    <row r="374">
      <c r="A374" s="92" t="n"/>
      <c r="B374" s="55" t="n"/>
      <c r="C374" s="55" t="n"/>
      <c r="D374" s="55" t="n"/>
      <c r="E374" s="93" t="n"/>
      <c r="F374" s="94" t="n"/>
      <c r="G374" s="94" t="n"/>
      <c r="H374" s="94" t="n"/>
      <c r="I374" s="94" t="n"/>
      <c r="J374" s="55" t="n"/>
      <c r="K374" s="95" t="n"/>
      <c r="L374" s="116">
        <f>IF($A374="","",DATE(YEAR($A374),MONTH($A374)+IF(AND(IFERROR(N(INDEX(Übersicht!$M$15:$M$22,MATCH($B374,Übersicht!$A$15:$A$22,0))),0)&gt;1,DAY($A374)&gt;=IFERROR(N(INDEX(Übersicht!$M$15:$M$22,MATCH($B374,Übersicht!$A$15:$A$22,0))),0)),1,0),1))</f>
        <v/>
      </c>
    </row>
    <row r="375">
      <c r="A375" s="92" t="n"/>
      <c r="B375" s="55" t="n"/>
      <c r="C375" s="55" t="n"/>
      <c r="D375" s="55" t="n"/>
      <c r="E375" s="93" t="n"/>
      <c r="F375" s="94" t="n"/>
      <c r="G375" s="94" t="n"/>
      <c r="H375" s="94" t="n"/>
      <c r="I375" s="94" t="n"/>
      <c r="J375" s="55" t="n"/>
      <c r="K375" s="95" t="n"/>
      <c r="L375" s="116">
        <f>IF($A375="","",DATE(YEAR($A375),MONTH($A375)+IF(AND(IFERROR(N(INDEX(Übersicht!$M$15:$M$22,MATCH($B375,Übersicht!$A$15:$A$22,0))),0)&gt;1,DAY($A375)&gt;=IFERROR(N(INDEX(Übersicht!$M$15:$M$22,MATCH($B375,Übersicht!$A$15:$A$22,0))),0)),1,0),1))</f>
        <v/>
      </c>
    </row>
    <row r="376">
      <c r="A376" s="92" t="n"/>
      <c r="B376" s="55" t="n"/>
      <c r="C376" s="55" t="n"/>
      <c r="D376" s="55" t="n"/>
      <c r="E376" s="93" t="n"/>
      <c r="F376" s="94" t="n"/>
      <c r="G376" s="94" t="n"/>
      <c r="H376" s="94" t="n"/>
      <c r="I376" s="94" t="n"/>
      <c r="J376" s="55" t="n"/>
      <c r="K376" s="95" t="n"/>
      <c r="L376" s="116">
        <f>IF($A376="","",DATE(YEAR($A376),MONTH($A376)+IF(AND(IFERROR(N(INDEX(Übersicht!$M$15:$M$22,MATCH($B376,Übersicht!$A$15:$A$22,0))),0)&gt;1,DAY($A376)&gt;=IFERROR(N(INDEX(Übersicht!$M$15:$M$22,MATCH($B376,Übersicht!$A$15:$A$22,0))),0)),1,0),1))</f>
        <v/>
      </c>
    </row>
    <row r="377">
      <c r="A377" s="92" t="n"/>
      <c r="B377" s="55" t="n"/>
      <c r="C377" s="55" t="n"/>
      <c r="D377" s="55" t="n"/>
      <c r="E377" s="93" t="n"/>
      <c r="F377" s="94" t="n"/>
      <c r="G377" s="94" t="n"/>
      <c r="H377" s="94" t="n"/>
      <c r="I377" s="94" t="n"/>
      <c r="J377" s="55" t="n"/>
      <c r="K377" s="95" t="n"/>
      <c r="L377" s="116">
        <f>IF($A377="","",DATE(YEAR($A377),MONTH($A377)+IF(AND(IFERROR(N(INDEX(Übersicht!$M$15:$M$22,MATCH($B377,Übersicht!$A$15:$A$22,0))),0)&gt;1,DAY($A377)&gt;=IFERROR(N(INDEX(Übersicht!$M$15:$M$22,MATCH($B377,Übersicht!$A$15:$A$22,0))),0)),1,0),1))</f>
        <v/>
      </c>
    </row>
    <row r="378">
      <c r="A378" s="92" t="n"/>
      <c r="B378" s="55" t="n"/>
      <c r="C378" s="55" t="n"/>
      <c r="D378" s="55" t="n"/>
      <c r="E378" s="93" t="n"/>
      <c r="F378" s="94" t="n"/>
      <c r="G378" s="94" t="n"/>
      <c r="H378" s="94" t="n"/>
      <c r="I378" s="94" t="n"/>
      <c r="J378" s="55" t="n"/>
      <c r="K378" s="95" t="n"/>
      <c r="L378" s="116">
        <f>IF($A378="","",DATE(YEAR($A378),MONTH($A378)+IF(AND(IFERROR(N(INDEX(Übersicht!$M$15:$M$22,MATCH($B378,Übersicht!$A$15:$A$22,0))),0)&gt;1,DAY($A378)&gt;=IFERROR(N(INDEX(Übersicht!$M$15:$M$22,MATCH($B378,Übersicht!$A$15:$A$22,0))),0)),1,0),1))</f>
        <v/>
      </c>
    </row>
    <row r="379">
      <c r="A379" s="92" t="n"/>
      <c r="B379" s="55" t="n"/>
      <c r="C379" s="55" t="n"/>
      <c r="D379" s="55" t="n"/>
      <c r="E379" s="93" t="n"/>
      <c r="F379" s="94" t="n"/>
      <c r="G379" s="94" t="n"/>
      <c r="H379" s="94" t="n"/>
      <c r="I379" s="94" t="n"/>
      <c r="J379" s="55" t="n"/>
      <c r="K379" s="95" t="n"/>
      <c r="L379" s="116">
        <f>IF($A379="","",DATE(YEAR($A379),MONTH($A379)+IF(AND(IFERROR(N(INDEX(Übersicht!$M$15:$M$22,MATCH($B379,Übersicht!$A$15:$A$22,0))),0)&gt;1,DAY($A379)&gt;=IFERROR(N(INDEX(Übersicht!$M$15:$M$22,MATCH($B379,Übersicht!$A$15:$A$22,0))),0)),1,0),1))</f>
        <v/>
      </c>
    </row>
    <row r="380">
      <c r="A380" s="92" t="n"/>
      <c r="B380" s="55" t="n"/>
      <c r="C380" s="55" t="n"/>
      <c r="D380" s="55" t="n"/>
      <c r="E380" s="93" t="n"/>
      <c r="F380" s="94" t="n"/>
      <c r="G380" s="94" t="n"/>
      <c r="H380" s="94" t="n"/>
      <c r="I380" s="94" t="n"/>
      <c r="J380" s="55" t="n"/>
      <c r="K380" s="95" t="n"/>
      <c r="L380" s="116">
        <f>IF($A380="","",DATE(YEAR($A380),MONTH($A380)+IF(AND(IFERROR(N(INDEX(Übersicht!$M$15:$M$22,MATCH($B380,Übersicht!$A$15:$A$22,0))),0)&gt;1,DAY($A380)&gt;=IFERROR(N(INDEX(Übersicht!$M$15:$M$22,MATCH($B380,Übersicht!$A$15:$A$22,0))),0)),1,0),1))</f>
        <v/>
      </c>
    </row>
    <row r="381">
      <c r="A381" s="92" t="n"/>
      <c r="B381" s="55" t="n"/>
      <c r="C381" s="55" t="n"/>
      <c r="D381" s="55" t="n"/>
      <c r="E381" s="93" t="n"/>
      <c r="F381" s="94" t="n"/>
      <c r="G381" s="94" t="n"/>
      <c r="H381" s="94" t="n"/>
      <c r="I381" s="94" t="n"/>
      <c r="J381" s="55" t="n"/>
      <c r="K381" s="95" t="n"/>
      <c r="L381" s="116">
        <f>IF($A381="","",DATE(YEAR($A381),MONTH($A381)+IF(AND(IFERROR(N(INDEX(Übersicht!$M$15:$M$22,MATCH($B381,Übersicht!$A$15:$A$22,0))),0)&gt;1,DAY($A381)&gt;=IFERROR(N(INDEX(Übersicht!$M$15:$M$22,MATCH($B381,Übersicht!$A$15:$A$22,0))),0)),1,0),1))</f>
        <v/>
      </c>
    </row>
    <row r="382">
      <c r="A382" s="92" t="n"/>
      <c r="B382" s="55" t="n"/>
      <c r="C382" s="55" t="n"/>
      <c r="D382" s="55" t="n"/>
      <c r="E382" s="93" t="n"/>
      <c r="F382" s="94" t="n"/>
      <c r="G382" s="94" t="n"/>
      <c r="H382" s="94" t="n"/>
      <c r="I382" s="94" t="n"/>
      <c r="J382" s="55" t="n"/>
      <c r="K382" s="95" t="n"/>
      <c r="L382" s="116">
        <f>IF($A382="","",DATE(YEAR($A382),MONTH($A382)+IF(AND(IFERROR(N(INDEX(Übersicht!$M$15:$M$22,MATCH($B382,Übersicht!$A$15:$A$22,0))),0)&gt;1,DAY($A382)&gt;=IFERROR(N(INDEX(Übersicht!$M$15:$M$22,MATCH($B382,Übersicht!$A$15:$A$22,0))),0)),1,0),1))</f>
        <v/>
      </c>
    </row>
    <row r="383">
      <c r="A383" s="92" t="n"/>
      <c r="B383" s="55" t="n"/>
      <c r="C383" s="55" t="n"/>
      <c r="D383" s="55" t="n"/>
      <c r="E383" s="93" t="n"/>
      <c r="F383" s="94" t="n"/>
      <c r="G383" s="94" t="n"/>
      <c r="H383" s="94" t="n"/>
      <c r="I383" s="94" t="n"/>
      <c r="J383" s="55" t="n"/>
      <c r="K383" s="95" t="n"/>
      <c r="L383" s="116">
        <f>IF($A383="","",DATE(YEAR($A383),MONTH($A383)+IF(AND(IFERROR(N(INDEX(Übersicht!$M$15:$M$22,MATCH($B383,Übersicht!$A$15:$A$22,0))),0)&gt;1,DAY($A383)&gt;=IFERROR(N(INDEX(Übersicht!$M$15:$M$22,MATCH($B383,Übersicht!$A$15:$A$22,0))),0)),1,0),1))</f>
        <v/>
      </c>
    </row>
    <row r="384">
      <c r="A384" s="92" t="n"/>
      <c r="B384" s="55" t="n"/>
      <c r="C384" s="55" t="n"/>
      <c r="D384" s="55" t="n"/>
      <c r="E384" s="93" t="n"/>
      <c r="F384" s="94" t="n"/>
      <c r="G384" s="94" t="n"/>
      <c r="H384" s="94" t="n"/>
      <c r="I384" s="94" t="n"/>
      <c r="J384" s="55" t="n"/>
      <c r="K384" s="95" t="n"/>
      <c r="L384" s="116">
        <f>IF($A384="","",DATE(YEAR($A384),MONTH($A384)+IF(AND(IFERROR(N(INDEX(Übersicht!$M$15:$M$22,MATCH($B384,Übersicht!$A$15:$A$22,0))),0)&gt;1,DAY($A384)&gt;=IFERROR(N(INDEX(Übersicht!$M$15:$M$22,MATCH($B384,Übersicht!$A$15:$A$22,0))),0)),1,0),1))</f>
        <v/>
      </c>
    </row>
    <row r="385">
      <c r="A385" s="92" t="n"/>
      <c r="B385" s="55" t="n"/>
      <c r="C385" s="55" t="n"/>
      <c r="D385" s="55" t="n"/>
      <c r="E385" s="93" t="n"/>
      <c r="F385" s="94" t="n"/>
      <c r="G385" s="94" t="n"/>
      <c r="H385" s="94" t="n"/>
      <c r="I385" s="94" t="n"/>
      <c r="J385" s="55" t="n"/>
      <c r="K385" s="95" t="n"/>
      <c r="L385" s="116">
        <f>IF($A385="","",DATE(YEAR($A385),MONTH($A385)+IF(AND(IFERROR(N(INDEX(Übersicht!$M$15:$M$22,MATCH($B385,Übersicht!$A$15:$A$22,0))),0)&gt;1,DAY($A385)&gt;=IFERROR(N(INDEX(Übersicht!$M$15:$M$22,MATCH($B385,Übersicht!$A$15:$A$22,0))),0)),1,0),1))</f>
        <v/>
      </c>
    </row>
    <row r="386">
      <c r="A386" s="92" t="n"/>
      <c r="B386" s="55" t="n"/>
      <c r="C386" s="55" t="n"/>
      <c r="D386" s="55" t="n"/>
      <c r="E386" s="93" t="n"/>
      <c r="F386" s="94" t="n"/>
      <c r="G386" s="94" t="n"/>
      <c r="H386" s="94" t="n"/>
      <c r="I386" s="94" t="n"/>
      <c r="J386" s="55" t="n"/>
      <c r="K386" s="95" t="n"/>
      <c r="L386" s="116">
        <f>IF($A386="","",DATE(YEAR($A386),MONTH($A386)+IF(AND(IFERROR(N(INDEX(Übersicht!$M$15:$M$22,MATCH($B386,Übersicht!$A$15:$A$22,0))),0)&gt;1,DAY($A386)&gt;=IFERROR(N(INDEX(Übersicht!$M$15:$M$22,MATCH($B386,Übersicht!$A$15:$A$22,0))),0)),1,0),1))</f>
        <v/>
      </c>
    </row>
    <row r="387">
      <c r="A387" s="92" t="n"/>
      <c r="B387" s="55" t="n"/>
      <c r="C387" s="55" t="n"/>
      <c r="D387" s="55" t="n"/>
      <c r="E387" s="93" t="n"/>
      <c r="F387" s="94" t="n"/>
      <c r="G387" s="94" t="n"/>
      <c r="H387" s="94" t="n"/>
      <c r="I387" s="94" t="n"/>
      <c r="J387" s="55" t="n"/>
      <c r="K387" s="95" t="n"/>
      <c r="L387" s="116">
        <f>IF($A387="","",DATE(YEAR($A387),MONTH($A387)+IF(AND(IFERROR(N(INDEX(Übersicht!$M$15:$M$22,MATCH($B387,Übersicht!$A$15:$A$22,0))),0)&gt;1,DAY($A387)&gt;=IFERROR(N(INDEX(Übersicht!$M$15:$M$22,MATCH($B387,Übersicht!$A$15:$A$22,0))),0)),1,0),1))</f>
        <v/>
      </c>
    </row>
    <row r="388">
      <c r="A388" s="92" t="n"/>
      <c r="B388" s="55" t="n"/>
      <c r="C388" s="55" t="n"/>
      <c r="D388" s="55" t="n"/>
      <c r="E388" s="93" t="n"/>
      <c r="F388" s="94" t="n"/>
      <c r="G388" s="94" t="n"/>
      <c r="H388" s="94" t="n"/>
      <c r="I388" s="94" t="n"/>
      <c r="J388" s="55" t="n"/>
      <c r="K388" s="95" t="n"/>
      <c r="L388" s="116">
        <f>IF($A388="","",DATE(YEAR($A388),MONTH($A388)+IF(AND(IFERROR(N(INDEX(Übersicht!$M$15:$M$22,MATCH($B388,Übersicht!$A$15:$A$22,0))),0)&gt;1,DAY($A388)&gt;=IFERROR(N(INDEX(Übersicht!$M$15:$M$22,MATCH($B388,Übersicht!$A$15:$A$22,0))),0)),1,0),1))</f>
        <v/>
      </c>
    </row>
    <row r="389">
      <c r="A389" s="92" t="n"/>
      <c r="B389" s="55" t="n"/>
      <c r="C389" s="55" t="n"/>
      <c r="D389" s="55" t="n"/>
      <c r="E389" s="93" t="n"/>
      <c r="F389" s="94" t="n"/>
      <c r="G389" s="94" t="n"/>
      <c r="H389" s="94" t="n"/>
      <c r="I389" s="94" t="n"/>
      <c r="J389" s="55" t="n"/>
      <c r="K389" s="95" t="n"/>
      <c r="L389" s="116">
        <f>IF($A389="","",DATE(YEAR($A389),MONTH($A389)+IF(AND(IFERROR(N(INDEX(Übersicht!$M$15:$M$22,MATCH($B389,Übersicht!$A$15:$A$22,0))),0)&gt;1,DAY($A389)&gt;=IFERROR(N(INDEX(Übersicht!$M$15:$M$22,MATCH($B389,Übersicht!$A$15:$A$22,0))),0)),1,0),1))</f>
        <v/>
      </c>
    </row>
    <row r="390">
      <c r="A390" s="92" t="n"/>
      <c r="B390" s="55" t="n"/>
      <c r="C390" s="55" t="n"/>
      <c r="D390" s="55" t="n"/>
      <c r="E390" s="93" t="n"/>
      <c r="F390" s="94" t="n"/>
      <c r="G390" s="94" t="n"/>
      <c r="H390" s="94" t="n"/>
      <c r="I390" s="94" t="n"/>
      <c r="J390" s="55" t="n"/>
      <c r="K390" s="95" t="n"/>
      <c r="L390" s="116">
        <f>IF($A390="","",DATE(YEAR($A390),MONTH($A390)+IF(AND(IFERROR(N(INDEX(Übersicht!$M$15:$M$22,MATCH($B390,Übersicht!$A$15:$A$22,0))),0)&gt;1,DAY($A390)&gt;=IFERROR(N(INDEX(Übersicht!$M$15:$M$22,MATCH($B390,Übersicht!$A$15:$A$22,0))),0)),1,0),1))</f>
        <v/>
      </c>
    </row>
    <row r="391">
      <c r="A391" s="92" t="n"/>
      <c r="B391" s="55" t="n"/>
      <c r="C391" s="55" t="n"/>
      <c r="D391" s="55" t="n"/>
      <c r="E391" s="93" t="n"/>
      <c r="F391" s="94" t="n"/>
      <c r="G391" s="94" t="n"/>
      <c r="H391" s="94" t="n"/>
      <c r="I391" s="94" t="n"/>
      <c r="J391" s="55" t="n"/>
      <c r="K391" s="95" t="n"/>
      <c r="L391" s="116">
        <f>IF($A391="","",DATE(YEAR($A391),MONTH($A391)+IF(AND(IFERROR(N(INDEX(Übersicht!$M$15:$M$22,MATCH($B391,Übersicht!$A$15:$A$22,0))),0)&gt;1,DAY($A391)&gt;=IFERROR(N(INDEX(Übersicht!$M$15:$M$22,MATCH($B391,Übersicht!$A$15:$A$22,0))),0)),1,0),1))</f>
        <v/>
      </c>
    </row>
    <row r="392">
      <c r="A392" s="92" t="n"/>
      <c r="B392" s="55" t="n"/>
      <c r="C392" s="55" t="n"/>
      <c r="D392" s="55" t="n"/>
      <c r="E392" s="93" t="n"/>
      <c r="F392" s="94" t="n"/>
      <c r="G392" s="94" t="n"/>
      <c r="H392" s="94" t="n"/>
      <c r="I392" s="94" t="n"/>
      <c r="J392" s="55" t="n"/>
      <c r="K392" s="95" t="n"/>
      <c r="L392" s="116">
        <f>IF($A392="","",DATE(YEAR($A392),MONTH($A392)+IF(AND(IFERROR(N(INDEX(Übersicht!$M$15:$M$22,MATCH($B392,Übersicht!$A$15:$A$22,0))),0)&gt;1,DAY($A392)&gt;=IFERROR(N(INDEX(Übersicht!$M$15:$M$22,MATCH($B392,Übersicht!$A$15:$A$22,0))),0)),1,0),1))</f>
        <v/>
      </c>
    </row>
    <row r="393">
      <c r="A393" s="92" t="n"/>
      <c r="B393" s="55" t="n"/>
      <c r="C393" s="55" t="n"/>
      <c r="D393" s="55" t="n"/>
      <c r="E393" s="93" t="n"/>
      <c r="F393" s="94" t="n"/>
      <c r="G393" s="94" t="n"/>
      <c r="H393" s="94" t="n"/>
      <c r="I393" s="94" t="n"/>
      <c r="J393" s="55" t="n"/>
      <c r="K393" s="95" t="n"/>
      <c r="L393" s="116">
        <f>IF($A393="","",DATE(YEAR($A393),MONTH($A393)+IF(AND(IFERROR(N(INDEX(Übersicht!$M$15:$M$22,MATCH($B393,Übersicht!$A$15:$A$22,0))),0)&gt;1,DAY($A393)&gt;=IFERROR(N(INDEX(Übersicht!$M$15:$M$22,MATCH($B393,Übersicht!$A$15:$A$22,0))),0)),1,0),1))</f>
        <v/>
      </c>
    </row>
    <row r="394">
      <c r="A394" s="92" t="n"/>
      <c r="B394" s="55" t="n"/>
      <c r="C394" s="55" t="n"/>
      <c r="D394" s="55" t="n"/>
      <c r="E394" s="93" t="n"/>
      <c r="F394" s="94" t="n"/>
      <c r="G394" s="94" t="n"/>
      <c r="H394" s="94" t="n"/>
      <c r="I394" s="94" t="n"/>
      <c r="J394" s="55" t="n"/>
      <c r="K394" s="95" t="n"/>
      <c r="L394" s="116">
        <f>IF($A394="","",DATE(YEAR($A394),MONTH($A394)+IF(AND(IFERROR(N(INDEX(Übersicht!$M$15:$M$22,MATCH($B394,Übersicht!$A$15:$A$22,0))),0)&gt;1,DAY($A394)&gt;=IFERROR(N(INDEX(Übersicht!$M$15:$M$22,MATCH($B394,Übersicht!$A$15:$A$22,0))),0)),1,0),1))</f>
        <v/>
      </c>
    </row>
    <row r="395">
      <c r="A395" s="92" t="n"/>
      <c r="B395" s="55" t="n"/>
      <c r="C395" s="55" t="n"/>
      <c r="D395" s="55" t="n"/>
      <c r="E395" s="93" t="n"/>
      <c r="F395" s="94" t="n"/>
      <c r="G395" s="94" t="n"/>
      <c r="H395" s="94" t="n"/>
      <c r="I395" s="94" t="n"/>
      <c r="J395" s="55" t="n"/>
      <c r="K395" s="95" t="n"/>
      <c r="L395" s="116">
        <f>IF($A395="","",DATE(YEAR($A395),MONTH($A395)+IF(AND(IFERROR(N(INDEX(Übersicht!$M$15:$M$22,MATCH($B395,Übersicht!$A$15:$A$22,0))),0)&gt;1,DAY($A395)&gt;=IFERROR(N(INDEX(Übersicht!$M$15:$M$22,MATCH($B395,Übersicht!$A$15:$A$22,0))),0)),1,0),1))</f>
        <v/>
      </c>
    </row>
    <row r="396">
      <c r="A396" s="92" t="n"/>
      <c r="B396" s="55" t="n"/>
      <c r="C396" s="55" t="n"/>
      <c r="D396" s="55" t="n"/>
      <c r="E396" s="93" t="n"/>
      <c r="F396" s="94" t="n"/>
      <c r="G396" s="94" t="n"/>
      <c r="H396" s="94" t="n"/>
      <c r="I396" s="94" t="n"/>
      <c r="J396" s="55" t="n"/>
      <c r="K396" s="95" t="n"/>
      <c r="L396" s="116">
        <f>IF($A396="","",DATE(YEAR($A396),MONTH($A396)+IF(AND(IFERROR(N(INDEX(Übersicht!$M$15:$M$22,MATCH($B396,Übersicht!$A$15:$A$22,0))),0)&gt;1,DAY($A396)&gt;=IFERROR(N(INDEX(Übersicht!$M$15:$M$22,MATCH($B396,Übersicht!$A$15:$A$22,0))),0)),1,0),1))</f>
        <v/>
      </c>
    </row>
    <row r="397">
      <c r="A397" s="92" t="n"/>
      <c r="B397" s="55" t="n"/>
      <c r="C397" s="55" t="n"/>
      <c r="D397" s="55" t="n"/>
      <c r="E397" s="93" t="n"/>
      <c r="F397" s="94" t="n"/>
      <c r="G397" s="94" t="n"/>
      <c r="H397" s="94" t="n"/>
      <c r="I397" s="94" t="n"/>
      <c r="J397" s="55" t="n"/>
      <c r="K397" s="95" t="n"/>
      <c r="L397" s="116">
        <f>IF($A397="","",DATE(YEAR($A397),MONTH($A397)+IF(AND(IFERROR(N(INDEX(Übersicht!$M$15:$M$22,MATCH($B397,Übersicht!$A$15:$A$22,0))),0)&gt;1,DAY($A397)&gt;=IFERROR(N(INDEX(Übersicht!$M$15:$M$22,MATCH($B397,Übersicht!$A$15:$A$22,0))),0)),1,0),1))</f>
        <v/>
      </c>
    </row>
    <row r="398">
      <c r="A398" s="92" t="n"/>
      <c r="B398" s="55" t="n"/>
      <c r="C398" s="55" t="n"/>
      <c r="D398" s="55" t="n"/>
      <c r="E398" s="93" t="n"/>
      <c r="F398" s="94" t="n"/>
      <c r="G398" s="94" t="n"/>
      <c r="H398" s="94" t="n"/>
      <c r="I398" s="94" t="n"/>
      <c r="J398" s="55" t="n"/>
      <c r="K398" s="95" t="n"/>
      <c r="L398" s="116">
        <f>IF($A398="","",DATE(YEAR($A398),MONTH($A398)+IF(AND(IFERROR(N(INDEX(Übersicht!$M$15:$M$22,MATCH($B398,Übersicht!$A$15:$A$22,0))),0)&gt;1,DAY($A398)&gt;=IFERROR(N(INDEX(Übersicht!$M$15:$M$22,MATCH($B398,Übersicht!$A$15:$A$22,0))),0)),1,0),1))</f>
        <v/>
      </c>
    </row>
    <row r="399">
      <c r="A399" s="92" t="n"/>
      <c r="B399" s="55" t="n"/>
      <c r="C399" s="55" t="n"/>
      <c r="D399" s="55" t="n"/>
      <c r="E399" s="93" t="n"/>
      <c r="F399" s="94" t="n"/>
      <c r="G399" s="94" t="n"/>
      <c r="H399" s="94" t="n"/>
      <c r="I399" s="94" t="n"/>
      <c r="J399" s="55" t="n"/>
      <c r="K399" s="95" t="n"/>
      <c r="L399" s="116">
        <f>IF($A399="","",DATE(YEAR($A399),MONTH($A399)+IF(AND(IFERROR(N(INDEX(Übersicht!$M$15:$M$22,MATCH($B399,Übersicht!$A$15:$A$22,0))),0)&gt;1,DAY($A399)&gt;=IFERROR(N(INDEX(Übersicht!$M$15:$M$22,MATCH($B399,Übersicht!$A$15:$A$22,0))),0)),1,0),1))</f>
        <v/>
      </c>
    </row>
    <row r="400">
      <c r="A400" s="92" t="n"/>
      <c r="B400" s="55" t="n"/>
      <c r="C400" s="55" t="n"/>
      <c r="D400" s="55" t="n"/>
      <c r="E400" s="93" t="n"/>
      <c r="F400" s="94" t="n"/>
      <c r="G400" s="94" t="n"/>
      <c r="H400" s="94" t="n"/>
      <c r="I400" s="94" t="n"/>
      <c r="J400" s="55" t="n"/>
      <c r="K400" s="95" t="n"/>
      <c r="L400" s="116">
        <f>IF($A400="","",DATE(YEAR($A400),MONTH($A400)+IF(AND(IFERROR(N(INDEX(Übersicht!$M$15:$M$22,MATCH($B400,Übersicht!$A$15:$A$22,0))),0)&gt;1,DAY($A400)&gt;=IFERROR(N(INDEX(Übersicht!$M$15:$M$22,MATCH($B400,Übersicht!$A$15:$A$22,0))),0)),1,0),1))</f>
        <v/>
      </c>
    </row>
    <row r="401">
      <c r="A401" s="92" t="n"/>
      <c r="B401" s="55" t="n"/>
      <c r="C401" s="55" t="n"/>
      <c r="D401" s="55" t="n"/>
      <c r="E401" s="93" t="n"/>
      <c r="F401" s="94" t="n"/>
      <c r="G401" s="94" t="n"/>
      <c r="H401" s="94" t="n"/>
      <c r="I401" s="94" t="n"/>
      <c r="J401" s="55" t="n"/>
      <c r="K401" s="95" t="n"/>
      <c r="L401" s="116">
        <f>IF($A401="","",DATE(YEAR($A401),MONTH($A401)+IF(AND(IFERROR(N(INDEX(Übersicht!$M$15:$M$22,MATCH($B401,Übersicht!$A$15:$A$22,0))),0)&gt;1,DAY($A401)&gt;=IFERROR(N(INDEX(Übersicht!$M$15:$M$22,MATCH($B401,Übersicht!$A$15:$A$22,0))),0)),1,0),1))</f>
        <v/>
      </c>
    </row>
    <row r="402">
      <c r="A402" s="92" t="n"/>
      <c r="B402" s="55" t="n"/>
      <c r="C402" s="55" t="n"/>
      <c r="D402" s="55" t="n"/>
      <c r="E402" s="93" t="n"/>
      <c r="F402" s="94" t="n"/>
      <c r="G402" s="94" t="n"/>
      <c r="H402" s="94" t="n"/>
      <c r="I402" s="94" t="n"/>
      <c r="J402" s="55" t="n"/>
      <c r="K402" s="95" t="n"/>
      <c r="L402" s="116">
        <f>IF($A402="","",DATE(YEAR($A402),MONTH($A402)+IF(AND(IFERROR(N(INDEX(Übersicht!$M$15:$M$22,MATCH($B402,Übersicht!$A$15:$A$22,0))),0)&gt;1,DAY($A402)&gt;=IFERROR(N(INDEX(Übersicht!$M$15:$M$22,MATCH($B402,Übersicht!$A$15:$A$22,0))),0)),1,0),1))</f>
        <v/>
      </c>
    </row>
    <row r="403">
      <c r="A403" s="92" t="n"/>
      <c r="B403" s="55" t="n"/>
      <c r="C403" s="55" t="n"/>
      <c r="D403" s="55" t="n"/>
      <c r="E403" s="93" t="n"/>
      <c r="F403" s="94" t="n"/>
      <c r="G403" s="94" t="n"/>
      <c r="H403" s="94" t="n"/>
      <c r="I403" s="94" t="n"/>
      <c r="J403" s="55" t="n"/>
      <c r="K403" s="95" t="n"/>
      <c r="L403" s="116">
        <f>IF($A403="","",DATE(YEAR($A403),MONTH($A403)+IF(AND(IFERROR(N(INDEX(Übersicht!$M$15:$M$22,MATCH($B403,Übersicht!$A$15:$A$22,0))),0)&gt;1,DAY($A403)&gt;=IFERROR(N(INDEX(Übersicht!$M$15:$M$22,MATCH($B403,Übersicht!$A$15:$A$22,0))),0)),1,0),1))</f>
        <v/>
      </c>
    </row>
    <row r="404">
      <c r="A404" s="92" t="n"/>
      <c r="B404" s="55" t="n"/>
      <c r="C404" s="55" t="n"/>
      <c r="D404" s="55" t="n"/>
      <c r="E404" s="93" t="n"/>
      <c r="F404" s="94" t="n"/>
      <c r="G404" s="94" t="n"/>
      <c r="H404" s="94" t="n"/>
      <c r="I404" s="94" t="n"/>
      <c r="J404" s="55" t="n"/>
      <c r="K404" s="95" t="n"/>
      <c r="L404" s="116">
        <f>IF($A404="","",DATE(YEAR($A404),MONTH($A404)+IF(AND(IFERROR(N(INDEX(Übersicht!$M$15:$M$22,MATCH($B404,Übersicht!$A$15:$A$22,0))),0)&gt;1,DAY($A404)&gt;=IFERROR(N(INDEX(Übersicht!$M$15:$M$22,MATCH($B404,Übersicht!$A$15:$A$22,0))),0)),1,0),1))</f>
        <v/>
      </c>
    </row>
    <row r="405">
      <c r="A405" s="92" t="n"/>
      <c r="B405" s="55" t="n"/>
      <c r="C405" s="55" t="n"/>
      <c r="D405" s="55" t="n"/>
      <c r="E405" s="93" t="n"/>
      <c r="F405" s="94" t="n"/>
      <c r="G405" s="94" t="n"/>
      <c r="H405" s="94" t="n"/>
      <c r="I405" s="94" t="n"/>
      <c r="J405" s="55" t="n"/>
      <c r="K405" s="95" t="n"/>
      <c r="L405" s="116">
        <f>IF($A405="","",DATE(YEAR($A405),MONTH($A405)+IF(AND(IFERROR(N(INDEX(Übersicht!$M$15:$M$22,MATCH($B405,Übersicht!$A$15:$A$22,0))),0)&gt;1,DAY($A405)&gt;=IFERROR(N(INDEX(Übersicht!$M$15:$M$22,MATCH($B405,Übersicht!$A$15:$A$22,0))),0)),1,0),1))</f>
        <v/>
      </c>
    </row>
    <row r="406">
      <c r="A406" s="92" t="n"/>
      <c r="B406" s="55" t="n"/>
      <c r="C406" s="55" t="n"/>
      <c r="D406" s="55" t="n"/>
      <c r="E406" s="93" t="n"/>
      <c r="F406" s="94" t="n"/>
      <c r="G406" s="94" t="n"/>
      <c r="H406" s="94" t="n"/>
      <c r="I406" s="94" t="n"/>
      <c r="J406" s="55" t="n"/>
      <c r="K406" s="95" t="n"/>
      <c r="L406" s="116">
        <f>IF($A406="","",DATE(YEAR($A406),MONTH($A406)+IF(AND(IFERROR(N(INDEX(Übersicht!$M$15:$M$22,MATCH($B406,Übersicht!$A$15:$A$22,0))),0)&gt;1,DAY($A406)&gt;=IFERROR(N(INDEX(Übersicht!$M$15:$M$22,MATCH($B406,Übersicht!$A$15:$A$22,0))),0)),1,0),1))</f>
        <v/>
      </c>
    </row>
    <row r="407">
      <c r="A407" s="92" t="n"/>
      <c r="B407" s="55" t="n"/>
      <c r="C407" s="55" t="n"/>
      <c r="D407" s="55" t="n"/>
      <c r="E407" s="93" t="n"/>
      <c r="F407" s="94" t="n"/>
      <c r="G407" s="94" t="n"/>
      <c r="H407" s="94" t="n"/>
      <c r="I407" s="94" t="n"/>
      <c r="J407" s="55" t="n"/>
      <c r="K407" s="95" t="n"/>
      <c r="L407" s="116">
        <f>IF($A407="","",DATE(YEAR($A407),MONTH($A407)+IF(AND(IFERROR(N(INDEX(Übersicht!$M$15:$M$22,MATCH($B407,Übersicht!$A$15:$A$22,0))),0)&gt;1,DAY($A407)&gt;=IFERROR(N(INDEX(Übersicht!$M$15:$M$22,MATCH($B407,Übersicht!$A$15:$A$22,0))),0)),1,0),1))</f>
        <v/>
      </c>
    </row>
    <row r="408">
      <c r="A408" s="92" t="n"/>
      <c r="B408" s="55" t="n"/>
      <c r="C408" s="55" t="n"/>
      <c r="D408" s="55" t="n"/>
      <c r="E408" s="93" t="n"/>
      <c r="F408" s="94" t="n"/>
      <c r="G408" s="94" t="n"/>
      <c r="H408" s="94" t="n"/>
      <c r="I408" s="94" t="n"/>
      <c r="J408" s="55" t="n"/>
      <c r="K408" s="95" t="n"/>
      <c r="L408" s="116">
        <f>IF($A408="","",DATE(YEAR($A408),MONTH($A408)+IF(AND(IFERROR(N(INDEX(Übersicht!$M$15:$M$22,MATCH($B408,Übersicht!$A$15:$A$22,0))),0)&gt;1,DAY($A408)&gt;=IFERROR(N(INDEX(Übersicht!$M$15:$M$22,MATCH($B408,Übersicht!$A$15:$A$22,0))),0)),1,0),1))</f>
        <v/>
      </c>
    </row>
    <row r="409">
      <c r="A409" s="92" t="n"/>
      <c r="B409" s="55" t="n"/>
      <c r="C409" s="55" t="n"/>
      <c r="D409" s="55" t="n"/>
      <c r="E409" s="93" t="n"/>
      <c r="F409" s="94" t="n"/>
      <c r="G409" s="94" t="n"/>
      <c r="H409" s="94" t="n"/>
      <c r="I409" s="94" t="n"/>
      <c r="J409" s="55" t="n"/>
      <c r="K409" s="95" t="n"/>
      <c r="L409" s="116">
        <f>IF($A409="","",DATE(YEAR($A409),MONTH($A409)+IF(AND(IFERROR(N(INDEX(Übersicht!$M$15:$M$22,MATCH($B409,Übersicht!$A$15:$A$22,0))),0)&gt;1,DAY($A409)&gt;=IFERROR(N(INDEX(Übersicht!$M$15:$M$22,MATCH($B409,Übersicht!$A$15:$A$22,0))),0)),1,0),1))</f>
        <v/>
      </c>
    </row>
    <row r="410">
      <c r="A410" s="92" t="n"/>
      <c r="B410" s="55" t="n"/>
      <c r="C410" s="55" t="n"/>
      <c r="D410" s="55" t="n"/>
      <c r="E410" s="93" t="n"/>
      <c r="F410" s="94" t="n"/>
      <c r="G410" s="94" t="n"/>
      <c r="H410" s="94" t="n"/>
      <c r="I410" s="94" t="n"/>
      <c r="J410" s="55" t="n"/>
      <c r="K410" s="95" t="n"/>
      <c r="L410" s="116">
        <f>IF($A410="","",DATE(YEAR($A410),MONTH($A410)+IF(AND(IFERROR(N(INDEX(Übersicht!$M$15:$M$22,MATCH($B410,Übersicht!$A$15:$A$22,0))),0)&gt;1,DAY($A410)&gt;=IFERROR(N(INDEX(Übersicht!$M$15:$M$22,MATCH($B410,Übersicht!$A$15:$A$22,0))),0)),1,0),1))</f>
        <v/>
      </c>
    </row>
    <row r="411">
      <c r="A411" s="92" t="n"/>
      <c r="B411" s="55" t="n"/>
      <c r="C411" s="55" t="n"/>
      <c r="D411" s="55" t="n"/>
      <c r="E411" s="93" t="n"/>
      <c r="F411" s="94" t="n"/>
      <c r="G411" s="94" t="n"/>
      <c r="H411" s="94" t="n"/>
      <c r="I411" s="94" t="n"/>
      <c r="J411" s="55" t="n"/>
      <c r="K411" s="95" t="n"/>
      <c r="L411" s="116">
        <f>IF($A411="","",DATE(YEAR($A411),MONTH($A411)+IF(AND(IFERROR(N(INDEX(Übersicht!$M$15:$M$22,MATCH($B411,Übersicht!$A$15:$A$22,0))),0)&gt;1,DAY($A411)&gt;=IFERROR(N(INDEX(Übersicht!$M$15:$M$22,MATCH($B411,Übersicht!$A$15:$A$22,0))),0)),1,0),1))</f>
        <v/>
      </c>
    </row>
    <row r="412">
      <c r="A412" s="92" t="n"/>
      <c r="B412" s="55" t="n"/>
      <c r="C412" s="55" t="n"/>
      <c r="D412" s="55" t="n"/>
      <c r="E412" s="93" t="n"/>
      <c r="F412" s="94" t="n"/>
      <c r="G412" s="94" t="n"/>
      <c r="H412" s="94" t="n"/>
      <c r="I412" s="94" t="n"/>
      <c r="J412" s="55" t="n"/>
      <c r="K412" s="95" t="n"/>
      <c r="L412" s="116">
        <f>IF($A412="","",DATE(YEAR($A412),MONTH($A412)+IF(AND(IFERROR(N(INDEX(Übersicht!$M$15:$M$22,MATCH($B412,Übersicht!$A$15:$A$22,0))),0)&gt;1,DAY($A412)&gt;=IFERROR(N(INDEX(Übersicht!$M$15:$M$22,MATCH($B412,Übersicht!$A$15:$A$22,0))),0)),1,0),1))</f>
        <v/>
      </c>
    </row>
    <row r="413">
      <c r="A413" s="92" t="n"/>
      <c r="B413" s="55" t="n"/>
      <c r="C413" s="55" t="n"/>
      <c r="D413" s="55" t="n"/>
      <c r="E413" s="93" t="n"/>
      <c r="F413" s="94" t="n"/>
      <c r="G413" s="94" t="n"/>
      <c r="H413" s="94" t="n"/>
      <c r="I413" s="94" t="n"/>
      <c r="J413" s="55" t="n"/>
      <c r="K413" s="95" t="n"/>
      <c r="L413" s="116">
        <f>IF($A413="","",DATE(YEAR($A413),MONTH($A413)+IF(AND(IFERROR(N(INDEX(Übersicht!$M$15:$M$22,MATCH($B413,Übersicht!$A$15:$A$22,0))),0)&gt;1,DAY($A413)&gt;=IFERROR(N(INDEX(Übersicht!$M$15:$M$22,MATCH($B413,Übersicht!$A$15:$A$22,0))),0)),1,0),1))</f>
        <v/>
      </c>
    </row>
    <row r="414">
      <c r="A414" s="92" t="n"/>
      <c r="B414" s="55" t="n"/>
      <c r="C414" s="55" t="n"/>
      <c r="D414" s="55" t="n"/>
      <c r="E414" s="93" t="n"/>
      <c r="F414" s="94" t="n"/>
      <c r="G414" s="94" t="n"/>
      <c r="H414" s="94" t="n"/>
      <c r="I414" s="94" t="n"/>
      <c r="J414" s="55" t="n"/>
      <c r="K414" s="95" t="n"/>
      <c r="L414" s="116">
        <f>IF($A414="","",DATE(YEAR($A414),MONTH($A414)+IF(AND(IFERROR(N(INDEX(Übersicht!$M$15:$M$22,MATCH($B414,Übersicht!$A$15:$A$22,0))),0)&gt;1,DAY($A414)&gt;=IFERROR(N(INDEX(Übersicht!$M$15:$M$22,MATCH($B414,Übersicht!$A$15:$A$22,0))),0)),1,0),1))</f>
        <v/>
      </c>
    </row>
    <row r="415">
      <c r="A415" s="92" t="n"/>
      <c r="B415" s="55" t="n"/>
      <c r="C415" s="55" t="n"/>
      <c r="D415" s="55" t="n"/>
      <c r="E415" s="93" t="n"/>
      <c r="F415" s="94" t="n"/>
      <c r="G415" s="94" t="n"/>
      <c r="H415" s="94" t="n"/>
      <c r="I415" s="94" t="n"/>
      <c r="J415" s="55" t="n"/>
      <c r="K415" s="95" t="n"/>
      <c r="L415" s="116">
        <f>IF($A415="","",DATE(YEAR($A415),MONTH($A415)+IF(AND(IFERROR(N(INDEX(Übersicht!$M$15:$M$22,MATCH($B415,Übersicht!$A$15:$A$22,0))),0)&gt;1,DAY($A415)&gt;=IFERROR(N(INDEX(Übersicht!$M$15:$M$22,MATCH($B415,Übersicht!$A$15:$A$22,0))),0)),1,0),1))</f>
        <v/>
      </c>
    </row>
    <row r="416">
      <c r="A416" s="92" t="n"/>
      <c r="B416" s="55" t="n"/>
      <c r="C416" s="55" t="n"/>
      <c r="D416" s="55" t="n"/>
      <c r="E416" s="93" t="n"/>
      <c r="F416" s="94" t="n"/>
      <c r="G416" s="94" t="n"/>
      <c r="H416" s="94" t="n"/>
      <c r="I416" s="94" t="n"/>
      <c r="J416" s="55" t="n"/>
      <c r="K416" s="95" t="n"/>
      <c r="L416" s="116">
        <f>IF($A416="","",DATE(YEAR($A416),MONTH($A416)+IF(AND(IFERROR(N(INDEX(Übersicht!$M$15:$M$22,MATCH($B416,Übersicht!$A$15:$A$22,0))),0)&gt;1,DAY($A416)&gt;=IFERROR(N(INDEX(Übersicht!$M$15:$M$22,MATCH($B416,Übersicht!$A$15:$A$22,0))),0)),1,0),1))</f>
        <v/>
      </c>
    </row>
    <row r="417">
      <c r="A417" s="92" t="n"/>
      <c r="B417" s="55" t="n"/>
      <c r="C417" s="55" t="n"/>
      <c r="D417" s="55" t="n"/>
      <c r="E417" s="93" t="n"/>
      <c r="F417" s="94" t="n"/>
      <c r="G417" s="94" t="n"/>
      <c r="H417" s="94" t="n"/>
      <c r="I417" s="94" t="n"/>
      <c r="J417" s="55" t="n"/>
      <c r="K417" s="95" t="n"/>
      <c r="L417" s="116">
        <f>IF($A417="","",DATE(YEAR($A417),MONTH($A417)+IF(AND(IFERROR(N(INDEX(Übersicht!$M$15:$M$22,MATCH($B417,Übersicht!$A$15:$A$22,0))),0)&gt;1,DAY($A417)&gt;=IFERROR(N(INDEX(Übersicht!$M$15:$M$22,MATCH($B417,Übersicht!$A$15:$A$22,0))),0)),1,0),1))</f>
        <v/>
      </c>
    </row>
    <row r="418">
      <c r="A418" s="92" t="n"/>
      <c r="B418" s="55" t="n"/>
      <c r="C418" s="55" t="n"/>
      <c r="D418" s="55" t="n"/>
      <c r="E418" s="93" t="n"/>
      <c r="F418" s="94" t="n"/>
      <c r="G418" s="94" t="n"/>
      <c r="H418" s="94" t="n"/>
      <c r="I418" s="94" t="n"/>
      <c r="J418" s="55" t="n"/>
      <c r="K418" s="95" t="n"/>
      <c r="L418" s="116">
        <f>IF($A418="","",DATE(YEAR($A418),MONTH($A418)+IF(AND(IFERROR(N(INDEX(Übersicht!$M$15:$M$22,MATCH($B418,Übersicht!$A$15:$A$22,0))),0)&gt;1,DAY($A418)&gt;=IFERROR(N(INDEX(Übersicht!$M$15:$M$22,MATCH($B418,Übersicht!$A$15:$A$22,0))),0)),1,0),1))</f>
        <v/>
      </c>
    </row>
    <row r="419">
      <c r="A419" s="92" t="n"/>
      <c r="B419" s="55" t="n"/>
      <c r="C419" s="55" t="n"/>
      <c r="D419" s="55" t="n"/>
      <c r="E419" s="93" t="n"/>
      <c r="F419" s="94" t="n"/>
      <c r="G419" s="94" t="n"/>
      <c r="H419" s="94" t="n"/>
      <c r="I419" s="94" t="n"/>
      <c r="J419" s="55" t="n"/>
      <c r="K419" s="95" t="n"/>
      <c r="L419" s="116">
        <f>IF($A419="","",DATE(YEAR($A419),MONTH($A419)+IF(AND(IFERROR(N(INDEX(Übersicht!$M$15:$M$22,MATCH($B419,Übersicht!$A$15:$A$22,0))),0)&gt;1,DAY($A419)&gt;=IFERROR(N(INDEX(Übersicht!$M$15:$M$22,MATCH($B419,Übersicht!$A$15:$A$22,0))),0)),1,0),1))</f>
        <v/>
      </c>
    </row>
    <row r="420">
      <c r="A420" s="92" t="n"/>
      <c r="B420" s="55" t="n"/>
      <c r="C420" s="55" t="n"/>
      <c r="D420" s="55" t="n"/>
      <c r="E420" s="93" t="n"/>
      <c r="F420" s="94" t="n"/>
      <c r="G420" s="94" t="n"/>
      <c r="H420" s="94" t="n"/>
      <c r="I420" s="94" t="n"/>
      <c r="J420" s="55" t="n"/>
      <c r="K420" s="95" t="n"/>
      <c r="L420" s="116">
        <f>IF($A420="","",DATE(YEAR($A420),MONTH($A420)+IF(AND(IFERROR(N(INDEX(Übersicht!$M$15:$M$22,MATCH($B420,Übersicht!$A$15:$A$22,0))),0)&gt;1,DAY($A420)&gt;=IFERROR(N(INDEX(Übersicht!$M$15:$M$22,MATCH($B420,Übersicht!$A$15:$A$22,0))),0)),1,0),1))</f>
        <v/>
      </c>
    </row>
    <row r="421">
      <c r="A421" s="92" t="n"/>
      <c r="B421" s="55" t="n"/>
      <c r="C421" s="55" t="n"/>
      <c r="D421" s="55" t="n"/>
      <c r="E421" s="93" t="n"/>
      <c r="F421" s="94" t="n"/>
      <c r="G421" s="94" t="n"/>
      <c r="H421" s="94" t="n"/>
      <c r="I421" s="94" t="n"/>
      <c r="J421" s="55" t="n"/>
      <c r="K421" s="95" t="n"/>
      <c r="L421" s="116">
        <f>IF($A421="","",DATE(YEAR($A421),MONTH($A421)+IF(AND(IFERROR(N(INDEX(Übersicht!$M$15:$M$22,MATCH($B421,Übersicht!$A$15:$A$22,0))),0)&gt;1,DAY($A421)&gt;=IFERROR(N(INDEX(Übersicht!$M$15:$M$22,MATCH($B421,Übersicht!$A$15:$A$22,0))),0)),1,0),1))</f>
        <v/>
      </c>
    </row>
    <row r="422">
      <c r="A422" s="92" t="n"/>
      <c r="B422" s="55" t="n"/>
      <c r="C422" s="55" t="n"/>
      <c r="D422" s="55" t="n"/>
      <c r="E422" s="93" t="n"/>
      <c r="F422" s="94" t="n"/>
      <c r="G422" s="94" t="n"/>
      <c r="H422" s="94" t="n"/>
      <c r="I422" s="94" t="n"/>
      <c r="J422" s="55" t="n"/>
      <c r="K422" s="95" t="n"/>
      <c r="L422" s="116">
        <f>IF($A422="","",DATE(YEAR($A422),MONTH($A422)+IF(AND(IFERROR(N(INDEX(Übersicht!$M$15:$M$22,MATCH($B422,Übersicht!$A$15:$A$22,0))),0)&gt;1,DAY($A422)&gt;=IFERROR(N(INDEX(Übersicht!$M$15:$M$22,MATCH($B422,Übersicht!$A$15:$A$22,0))),0)),1,0),1))</f>
        <v/>
      </c>
    </row>
    <row r="423">
      <c r="A423" s="92" t="n"/>
      <c r="B423" s="55" t="n"/>
      <c r="C423" s="55" t="n"/>
      <c r="D423" s="55" t="n"/>
      <c r="E423" s="93" t="n"/>
      <c r="F423" s="94" t="n"/>
      <c r="G423" s="94" t="n"/>
      <c r="H423" s="94" t="n"/>
      <c r="I423" s="94" t="n"/>
      <c r="J423" s="55" t="n"/>
      <c r="K423" s="95" t="n"/>
      <c r="L423" s="116">
        <f>IF($A423="","",DATE(YEAR($A423),MONTH($A423)+IF(AND(IFERROR(N(INDEX(Übersicht!$M$15:$M$22,MATCH($B423,Übersicht!$A$15:$A$22,0))),0)&gt;1,DAY($A423)&gt;=IFERROR(N(INDEX(Übersicht!$M$15:$M$22,MATCH($B423,Übersicht!$A$15:$A$22,0))),0)),1,0),1))</f>
        <v/>
      </c>
    </row>
    <row r="424">
      <c r="A424" s="92" t="n"/>
      <c r="B424" s="55" t="n"/>
      <c r="C424" s="55" t="n"/>
      <c r="D424" s="55" t="n"/>
      <c r="E424" s="93" t="n"/>
      <c r="F424" s="94" t="n"/>
      <c r="G424" s="94" t="n"/>
      <c r="H424" s="94" t="n"/>
      <c r="I424" s="94" t="n"/>
      <c r="J424" s="55" t="n"/>
      <c r="K424" s="95" t="n"/>
      <c r="L424" s="116">
        <f>IF($A424="","",DATE(YEAR($A424),MONTH($A424)+IF(AND(IFERROR(N(INDEX(Übersicht!$M$15:$M$22,MATCH($B424,Übersicht!$A$15:$A$22,0))),0)&gt;1,DAY($A424)&gt;=IFERROR(N(INDEX(Übersicht!$M$15:$M$22,MATCH($B424,Übersicht!$A$15:$A$22,0))),0)),1,0),1))</f>
        <v/>
      </c>
    </row>
    <row r="425">
      <c r="A425" s="92" t="n"/>
      <c r="B425" s="55" t="n"/>
      <c r="C425" s="55" t="n"/>
      <c r="D425" s="55" t="n"/>
      <c r="E425" s="93" t="n"/>
      <c r="F425" s="94" t="n"/>
      <c r="G425" s="94" t="n"/>
      <c r="H425" s="94" t="n"/>
      <c r="I425" s="94" t="n"/>
      <c r="J425" s="55" t="n"/>
      <c r="K425" s="95" t="n"/>
      <c r="L425" s="116">
        <f>IF($A425="","",DATE(YEAR($A425),MONTH($A425)+IF(AND(IFERROR(N(INDEX(Übersicht!$M$15:$M$22,MATCH($B425,Übersicht!$A$15:$A$22,0))),0)&gt;1,DAY($A425)&gt;=IFERROR(N(INDEX(Übersicht!$M$15:$M$22,MATCH($B425,Übersicht!$A$15:$A$22,0))),0)),1,0),1))</f>
        <v/>
      </c>
    </row>
    <row r="426">
      <c r="A426" s="92" t="n"/>
      <c r="B426" s="55" t="n"/>
      <c r="C426" s="55" t="n"/>
      <c r="D426" s="55" t="n"/>
      <c r="E426" s="93" t="n"/>
      <c r="F426" s="94" t="n"/>
      <c r="G426" s="94" t="n"/>
      <c r="H426" s="94" t="n"/>
      <c r="I426" s="94" t="n"/>
      <c r="J426" s="55" t="n"/>
      <c r="K426" s="95" t="n"/>
      <c r="L426" s="116">
        <f>IF($A426="","",DATE(YEAR($A426),MONTH($A426)+IF(AND(IFERROR(N(INDEX(Übersicht!$M$15:$M$22,MATCH($B426,Übersicht!$A$15:$A$22,0))),0)&gt;1,DAY($A426)&gt;=IFERROR(N(INDEX(Übersicht!$M$15:$M$22,MATCH($B426,Übersicht!$A$15:$A$22,0))),0)),1,0),1))</f>
        <v/>
      </c>
    </row>
    <row r="427">
      <c r="A427" s="92" t="n"/>
      <c r="B427" s="55" t="n"/>
      <c r="C427" s="55" t="n"/>
      <c r="D427" s="55" t="n"/>
      <c r="E427" s="93" t="n"/>
      <c r="F427" s="94" t="n"/>
      <c r="G427" s="94" t="n"/>
      <c r="H427" s="94" t="n"/>
      <c r="I427" s="94" t="n"/>
      <c r="J427" s="55" t="n"/>
      <c r="K427" s="95" t="n"/>
      <c r="L427" s="116">
        <f>IF($A427="","",DATE(YEAR($A427),MONTH($A427)+IF(AND(IFERROR(N(INDEX(Übersicht!$M$15:$M$22,MATCH($B427,Übersicht!$A$15:$A$22,0))),0)&gt;1,DAY($A427)&gt;=IFERROR(N(INDEX(Übersicht!$M$15:$M$22,MATCH($B427,Übersicht!$A$15:$A$22,0))),0)),1,0),1))</f>
        <v/>
      </c>
    </row>
    <row r="428">
      <c r="A428" s="92" t="n"/>
      <c r="B428" s="55" t="n"/>
      <c r="C428" s="55" t="n"/>
      <c r="D428" s="55" t="n"/>
      <c r="E428" s="93" t="n"/>
      <c r="F428" s="94" t="n"/>
      <c r="G428" s="94" t="n"/>
      <c r="H428" s="94" t="n"/>
      <c r="I428" s="94" t="n"/>
      <c r="J428" s="55" t="n"/>
      <c r="K428" s="95" t="n"/>
      <c r="L428" s="116">
        <f>IF($A428="","",DATE(YEAR($A428),MONTH($A428)+IF(AND(IFERROR(N(INDEX(Übersicht!$M$15:$M$22,MATCH($B428,Übersicht!$A$15:$A$22,0))),0)&gt;1,DAY($A428)&gt;=IFERROR(N(INDEX(Übersicht!$M$15:$M$22,MATCH($B428,Übersicht!$A$15:$A$22,0))),0)),1,0),1))</f>
        <v/>
      </c>
    </row>
    <row r="429">
      <c r="A429" s="92" t="n"/>
      <c r="B429" s="55" t="n"/>
      <c r="C429" s="55" t="n"/>
      <c r="D429" s="55" t="n"/>
      <c r="E429" s="93" t="n"/>
      <c r="F429" s="94" t="n"/>
      <c r="G429" s="94" t="n"/>
      <c r="H429" s="94" t="n"/>
      <c r="I429" s="94" t="n"/>
      <c r="J429" s="55" t="n"/>
      <c r="K429" s="95" t="n"/>
      <c r="L429" s="116">
        <f>IF($A429="","",DATE(YEAR($A429),MONTH($A429)+IF(AND(IFERROR(N(INDEX(Übersicht!$M$15:$M$22,MATCH($B429,Übersicht!$A$15:$A$22,0))),0)&gt;1,DAY($A429)&gt;=IFERROR(N(INDEX(Übersicht!$M$15:$M$22,MATCH($B429,Übersicht!$A$15:$A$22,0))),0)),1,0),1))</f>
        <v/>
      </c>
    </row>
    <row r="430">
      <c r="A430" s="92" t="n"/>
      <c r="B430" s="55" t="n"/>
      <c r="C430" s="55" t="n"/>
      <c r="D430" s="55" t="n"/>
      <c r="E430" s="93" t="n"/>
      <c r="F430" s="94" t="n"/>
      <c r="G430" s="94" t="n"/>
      <c r="H430" s="94" t="n"/>
      <c r="I430" s="94" t="n"/>
      <c r="J430" s="55" t="n"/>
      <c r="K430" s="95" t="n"/>
      <c r="L430" s="116">
        <f>IF($A430="","",DATE(YEAR($A430),MONTH($A430)+IF(AND(IFERROR(N(INDEX(Übersicht!$M$15:$M$22,MATCH($B430,Übersicht!$A$15:$A$22,0))),0)&gt;1,DAY($A430)&gt;=IFERROR(N(INDEX(Übersicht!$M$15:$M$22,MATCH($B430,Übersicht!$A$15:$A$22,0))),0)),1,0),1))</f>
        <v/>
      </c>
    </row>
    <row r="431">
      <c r="A431" s="92" t="n"/>
      <c r="B431" s="55" t="n"/>
      <c r="C431" s="55" t="n"/>
      <c r="D431" s="55" t="n"/>
      <c r="E431" s="93" t="n"/>
      <c r="F431" s="94" t="n"/>
      <c r="G431" s="94" t="n"/>
      <c r="H431" s="94" t="n"/>
      <c r="I431" s="94" t="n"/>
      <c r="J431" s="55" t="n"/>
      <c r="K431" s="95" t="n"/>
      <c r="L431" s="116">
        <f>IF($A431="","",DATE(YEAR($A431),MONTH($A431)+IF(AND(IFERROR(N(INDEX(Übersicht!$M$15:$M$22,MATCH($B431,Übersicht!$A$15:$A$22,0))),0)&gt;1,DAY($A431)&gt;=IFERROR(N(INDEX(Übersicht!$M$15:$M$22,MATCH($B431,Übersicht!$A$15:$A$22,0))),0)),1,0),1))</f>
        <v/>
      </c>
    </row>
    <row r="432">
      <c r="A432" s="92" t="n"/>
      <c r="B432" s="55" t="n"/>
      <c r="C432" s="55" t="n"/>
      <c r="D432" s="55" t="n"/>
      <c r="E432" s="93" t="n"/>
      <c r="F432" s="94" t="n"/>
      <c r="G432" s="94" t="n"/>
      <c r="H432" s="94" t="n"/>
      <c r="I432" s="94" t="n"/>
      <c r="J432" s="55" t="n"/>
      <c r="K432" s="95" t="n"/>
      <c r="L432" s="116">
        <f>IF($A432="","",DATE(YEAR($A432),MONTH($A432)+IF(AND(IFERROR(N(INDEX(Übersicht!$M$15:$M$22,MATCH($B432,Übersicht!$A$15:$A$22,0))),0)&gt;1,DAY($A432)&gt;=IFERROR(N(INDEX(Übersicht!$M$15:$M$22,MATCH($B432,Übersicht!$A$15:$A$22,0))),0)),1,0),1))</f>
        <v/>
      </c>
    </row>
    <row r="433">
      <c r="A433" s="92" t="n"/>
      <c r="B433" s="55" t="n"/>
      <c r="C433" s="55" t="n"/>
      <c r="D433" s="55" t="n"/>
      <c r="E433" s="93" t="n"/>
      <c r="F433" s="94" t="n"/>
      <c r="G433" s="94" t="n"/>
      <c r="H433" s="94" t="n"/>
      <c r="I433" s="94" t="n"/>
      <c r="J433" s="55" t="n"/>
      <c r="K433" s="95" t="n"/>
      <c r="L433" s="116">
        <f>IF($A433="","",DATE(YEAR($A433),MONTH($A433)+IF(AND(IFERROR(N(INDEX(Übersicht!$M$15:$M$22,MATCH($B433,Übersicht!$A$15:$A$22,0))),0)&gt;1,DAY($A433)&gt;=IFERROR(N(INDEX(Übersicht!$M$15:$M$22,MATCH($B433,Übersicht!$A$15:$A$22,0))),0)),1,0),1))</f>
        <v/>
      </c>
    </row>
    <row r="434">
      <c r="A434" s="92" t="n"/>
      <c r="B434" s="55" t="n"/>
      <c r="C434" s="55" t="n"/>
      <c r="D434" s="55" t="n"/>
      <c r="E434" s="93" t="n"/>
      <c r="F434" s="94" t="n"/>
      <c r="G434" s="94" t="n"/>
      <c r="H434" s="94" t="n"/>
      <c r="I434" s="94" t="n"/>
      <c r="J434" s="55" t="n"/>
      <c r="K434" s="95" t="n"/>
      <c r="L434" s="116">
        <f>IF($A434="","",DATE(YEAR($A434),MONTH($A434)+IF(AND(IFERROR(N(INDEX(Übersicht!$M$15:$M$22,MATCH($B434,Übersicht!$A$15:$A$22,0))),0)&gt;1,DAY($A434)&gt;=IFERROR(N(INDEX(Übersicht!$M$15:$M$22,MATCH($B434,Übersicht!$A$15:$A$22,0))),0)),1,0),1))</f>
        <v/>
      </c>
    </row>
    <row r="435">
      <c r="A435" s="92" t="n"/>
      <c r="B435" s="55" t="n"/>
      <c r="C435" s="55" t="n"/>
      <c r="D435" s="55" t="n"/>
      <c r="E435" s="93" t="n"/>
      <c r="F435" s="94" t="n"/>
      <c r="G435" s="94" t="n"/>
      <c r="H435" s="94" t="n"/>
      <c r="I435" s="94" t="n"/>
      <c r="J435" s="55" t="n"/>
      <c r="K435" s="95" t="n"/>
      <c r="L435" s="116">
        <f>IF($A435="","",DATE(YEAR($A435),MONTH($A435)+IF(AND(IFERROR(N(INDEX(Übersicht!$M$15:$M$22,MATCH($B435,Übersicht!$A$15:$A$22,0))),0)&gt;1,DAY($A435)&gt;=IFERROR(N(INDEX(Übersicht!$M$15:$M$22,MATCH($B435,Übersicht!$A$15:$A$22,0))),0)),1,0),1))</f>
        <v/>
      </c>
    </row>
    <row r="436">
      <c r="A436" s="92" t="n"/>
      <c r="B436" s="55" t="n"/>
      <c r="C436" s="55" t="n"/>
      <c r="D436" s="55" t="n"/>
      <c r="E436" s="93" t="n"/>
      <c r="F436" s="94" t="n"/>
      <c r="G436" s="94" t="n"/>
      <c r="H436" s="94" t="n"/>
      <c r="I436" s="94" t="n"/>
      <c r="J436" s="55" t="n"/>
      <c r="K436" s="95" t="n"/>
      <c r="L436" s="116">
        <f>IF($A436="","",DATE(YEAR($A436),MONTH($A436)+IF(AND(IFERROR(N(INDEX(Übersicht!$M$15:$M$22,MATCH($B436,Übersicht!$A$15:$A$22,0))),0)&gt;1,DAY($A436)&gt;=IFERROR(N(INDEX(Übersicht!$M$15:$M$22,MATCH($B436,Übersicht!$A$15:$A$22,0))),0)),1,0),1))</f>
        <v/>
      </c>
    </row>
    <row r="437">
      <c r="A437" s="92" t="n"/>
      <c r="B437" s="55" t="n"/>
      <c r="C437" s="55" t="n"/>
      <c r="D437" s="55" t="n"/>
      <c r="E437" s="93" t="n"/>
      <c r="F437" s="94" t="n"/>
      <c r="G437" s="94" t="n"/>
      <c r="H437" s="94" t="n"/>
      <c r="I437" s="94" t="n"/>
      <c r="J437" s="55" t="n"/>
      <c r="K437" s="95" t="n"/>
      <c r="L437" s="116">
        <f>IF($A437="","",DATE(YEAR($A437),MONTH($A437)+IF(AND(IFERROR(N(INDEX(Übersicht!$M$15:$M$22,MATCH($B437,Übersicht!$A$15:$A$22,0))),0)&gt;1,DAY($A437)&gt;=IFERROR(N(INDEX(Übersicht!$M$15:$M$22,MATCH($B437,Übersicht!$A$15:$A$22,0))),0)),1,0),1))</f>
        <v/>
      </c>
    </row>
    <row r="438">
      <c r="A438" s="92" t="n"/>
      <c r="B438" s="55" t="n"/>
      <c r="C438" s="55" t="n"/>
      <c r="D438" s="55" t="n"/>
      <c r="E438" s="93" t="n"/>
      <c r="F438" s="94" t="n"/>
      <c r="G438" s="94" t="n"/>
      <c r="H438" s="94" t="n"/>
      <c r="I438" s="94" t="n"/>
      <c r="J438" s="55" t="n"/>
      <c r="K438" s="95" t="n"/>
      <c r="L438" s="116">
        <f>IF($A438="","",DATE(YEAR($A438),MONTH($A438)+IF(AND(IFERROR(N(INDEX(Übersicht!$M$15:$M$22,MATCH($B438,Übersicht!$A$15:$A$22,0))),0)&gt;1,DAY($A438)&gt;=IFERROR(N(INDEX(Übersicht!$M$15:$M$22,MATCH($B438,Übersicht!$A$15:$A$22,0))),0)),1,0),1))</f>
        <v/>
      </c>
    </row>
    <row r="439">
      <c r="A439" s="92" t="n"/>
      <c r="B439" s="55" t="n"/>
      <c r="C439" s="55" t="n"/>
      <c r="D439" s="55" t="n"/>
      <c r="E439" s="93" t="n"/>
      <c r="F439" s="94" t="n"/>
      <c r="G439" s="94" t="n"/>
      <c r="H439" s="94" t="n"/>
      <c r="I439" s="94" t="n"/>
      <c r="J439" s="55" t="n"/>
      <c r="K439" s="95" t="n"/>
      <c r="L439" s="116">
        <f>IF($A439="","",DATE(YEAR($A439),MONTH($A439)+IF(AND(IFERROR(N(INDEX(Übersicht!$M$15:$M$22,MATCH($B439,Übersicht!$A$15:$A$22,0))),0)&gt;1,DAY($A439)&gt;=IFERROR(N(INDEX(Übersicht!$M$15:$M$22,MATCH($B439,Übersicht!$A$15:$A$22,0))),0)),1,0),1))</f>
        <v/>
      </c>
    </row>
    <row r="440">
      <c r="A440" s="92" t="n"/>
      <c r="B440" s="55" t="n"/>
      <c r="C440" s="55" t="n"/>
      <c r="D440" s="55" t="n"/>
      <c r="E440" s="93" t="n"/>
      <c r="F440" s="94" t="n"/>
      <c r="G440" s="94" t="n"/>
      <c r="H440" s="94" t="n"/>
      <c r="I440" s="94" t="n"/>
      <c r="J440" s="55" t="n"/>
      <c r="K440" s="95" t="n"/>
      <c r="L440" s="116">
        <f>IF($A440="","",DATE(YEAR($A440),MONTH($A440)+IF(AND(IFERROR(N(INDEX(Übersicht!$M$15:$M$22,MATCH($B440,Übersicht!$A$15:$A$22,0))),0)&gt;1,DAY($A440)&gt;=IFERROR(N(INDEX(Übersicht!$M$15:$M$22,MATCH($B440,Übersicht!$A$15:$A$22,0))),0)),1,0),1))</f>
        <v/>
      </c>
    </row>
    <row r="441">
      <c r="A441" s="92" t="n"/>
      <c r="B441" s="55" t="n"/>
      <c r="C441" s="55" t="n"/>
      <c r="D441" s="55" t="n"/>
      <c r="E441" s="93" t="n"/>
      <c r="F441" s="94" t="n"/>
      <c r="G441" s="94" t="n"/>
      <c r="H441" s="94" t="n"/>
      <c r="I441" s="94" t="n"/>
      <c r="J441" s="55" t="n"/>
      <c r="K441" s="95" t="n"/>
      <c r="L441" s="116">
        <f>IF($A441="","",DATE(YEAR($A441),MONTH($A441)+IF(AND(IFERROR(N(INDEX(Übersicht!$M$15:$M$22,MATCH($B441,Übersicht!$A$15:$A$22,0))),0)&gt;1,DAY($A441)&gt;=IFERROR(N(INDEX(Übersicht!$M$15:$M$22,MATCH($B441,Übersicht!$A$15:$A$22,0))),0)),1,0),1))</f>
        <v/>
      </c>
    </row>
    <row r="442">
      <c r="A442" s="92" t="n"/>
      <c r="B442" s="55" t="n"/>
      <c r="C442" s="55" t="n"/>
      <c r="D442" s="55" t="n"/>
      <c r="E442" s="93" t="n"/>
      <c r="F442" s="94" t="n"/>
      <c r="G442" s="94" t="n"/>
      <c r="H442" s="94" t="n"/>
      <c r="I442" s="94" t="n"/>
      <c r="J442" s="55" t="n"/>
      <c r="K442" s="95" t="n"/>
      <c r="L442" s="116">
        <f>IF($A442="","",DATE(YEAR($A442),MONTH($A442)+IF(AND(IFERROR(N(INDEX(Übersicht!$M$15:$M$22,MATCH($B442,Übersicht!$A$15:$A$22,0))),0)&gt;1,DAY($A442)&gt;=IFERROR(N(INDEX(Übersicht!$M$15:$M$22,MATCH($B442,Übersicht!$A$15:$A$22,0))),0)),1,0),1))</f>
        <v/>
      </c>
    </row>
    <row r="443">
      <c r="A443" s="92" t="n"/>
      <c r="B443" s="55" t="n"/>
      <c r="C443" s="55" t="n"/>
      <c r="D443" s="55" t="n"/>
      <c r="E443" s="93" t="n"/>
      <c r="F443" s="94" t="n"/>
      <c r="G443" s="94" t="n"/>
      <c r="H443" s="94" t="n"/>
      <c r="I443" s="94" t="n"/>
      <c r="J443" s="55" t="n"/>
      <c r="K443" s="95" t="n"/>
      <c r="L443" s="116">
        <f>IF($A443="","",DATE(YEAR($A443),MONTH($A443)+IF(AND(IFERROR(N(INDEX(Übersicht!$M$15:$M$22,MATCH($B443,Übersicht!$A$15:$A$22,0))),0)&gt;1,DAY($A443)&gt;=IFERROR(N(INDEX(Übersicht!$M$15:$M$22,MATCH($B443,Übersicht!$A$15:$A$22,0))),0)),1,0),1))</f>
        <v/>
      </c>
    </row>
    <row r="444">
      <c r="A444" s="92" t="n"/>
      <c r="B444" s="55" t="n"/>
      <c r="C444" s="55" t="n"/>
      <c r="D444" s="55" t="n"/>
      <c r="E444" s="93" t="n"/>
      <c r="F444" s="94" t="n"/>
      <c r="G444" s="94" t="n"/>
      <c r="H444" s="94" t="n"/>
      <c r="I444" s="94" t="n"/>
      <c r="J444" s="55" t="n"/>
      <c r="K444" s="95" t="n"/>
      <c r="L444" s="116">
        <f>IF($A444="","",DATE(YEAR($A444),MONTH($A444)+IF(AND(IFERROR(N(INDEX(Übersicht!$M$15:$M$22,MATCH($B444,Übersicht!$A$15:$A$22,0))),0)&gt;1,DAY($A444)&gt;=IFERROR(N(INDEX(Übersicht!$M$15:$M$22,MATCH($B444,Übersicht!$A$15:$A$22,0))),0)),1,0),1))</f>
        <v/>
      </c>
    </row>
    <row r="445">
      <c r="A445" s="92" t="n"/>
      <c r="B445" s="55" t="n"/>
      <c r="C445" s="55" t="n"/>
      <c r="D445" s="55" t="n"/>
      <c r="E445" s="93" t="n"/>
      <c r="F445" s="94" t="n"/>
      <c r="G445" s="94" t="n"/>
      <c r="H445" s="94" t="n"/>
      <c r="I445" s="94" t="n"/>
      <c r="J445" s="55" t="n"/>
      <c r="K445" s="95" t="n"/>
      <c r="L445" s="116">
        <f>IF($A445="","",DATE(YEAR($A445),MONTH($A445)+IF(AND(IFERROR(N(INDEX(Übersicht!$M$15:$M$22,MATCH($B445,Übersicht!$A$15:$A$22,0))),0)&gt;1,DAY($A445)&gt;=IFERROR(N(INDEX(Übersicht!$M$15:$M$22,MATCH($B445,Übersicht!$A$15:$A$22,0))),0)),1,0),1))</f>
        <v/>
      </c>
    </row>
    <row r="446">
      <c r="A446" s="92" t="n"/>
      <c r="B446" s="55" t="n"/>
      <c r="C446" s="55" t="n"/>
      <c r="D446" s="55" t="n"/>
      <c r="E446" s="93" t="n"/>
      <c r="F446" s="94" t="n"/>
      <c r="G446" s="94" t="n"/>
      <c r="H446" s="94" t="n"/>
      <c r="I446" s="94" t="n"/>
      <c r="J446" s="55" t="n"/>
      <c r="K446" s="95" t="n"/>
      <c r="L446" s="116">
        <f>IF($A446="","",DATE(YEAR($A446),MONTH($A446)+IF(AND(IFERROR(N(INDEX(Übersicht!$M$15:$M$22,MATCH($B446,Übersicht!$A$15:$A$22,0))),0)&gt;1,DAY($A446)&gt;=IFERROR(N(INDEX(Übersicht!$M$15:$M$22,MATCH($B446,Übersicht!$A$15:$A$22,0))),0)),1,0),1))</f>
        <v/>
      </c>
    </row>
    <row r="447">
      <c r="A447" s="92" t="n"/>
      <c r="B447" s="55" t="n"/>
      <c r="C447" s="55" t="n"/>
      <c r="D447" s="55" t="n"/>
      <c r="E447" s="93" t="n"/>
      <c r="F447" s="94" t="n"/>
      <c r="G447" s="94" t="n"/>
      <c r="H447" s="94" t="n"/>
      <c r="I447" s="94" t="n"/>
      <c r="J447" s="55" t="n"/>
      <c r="K447" s="95" t="n"/>
      <c r="L447" s="116">
        <f>IF($A447="","",DATE(YEAR($A447),MONTH($A447)+IF(AND(IFERROR(N(INDEX(Übersicht!$M$15:$M$22,MATCH($B447,Übersicht!$A$15:$A$22,0))),0)&gt;1,DAY($A447)&gt;=IFERROR(N(INDEX(Übersicht!$M$15:$M$22,MATCH($B447,Übersicht!$A$15:$A$22,0))),0)),1,0),1))</f>
        <v/>
      </c>
    </row>
    <row r="448">
      <c r="A448" s="92" t="n"/>
      <c r="B448" s="55" t="n"/>
      <c r="C448" s="55" t="n"/>
      <c r="D448" s="55" t="n"/>
      <c r="E448" s="93" t="n"/>
      <c r="F448" s="94" t="n"/>
      <c r="G448" s="94" t="n"/>
      <c r="H448" s="94" t="n"/>
      <c r="I448" s="94" t="n"/>
      <c r="J448" s="55" t="n"/>
      <c r="K448" s="95" t="n"/>
      <c r="L448" s="116">
        <f>IF($A448="","",DATE(YEAR($A448),MONTH($A448)+IF(AND(IFERROR(N(INDEX(Übersicht!$M$15:$M$22,MATCH($B448,Übersicht!$A$15:$A$22,0))),0)&gt;1,DAY($A448)&gt;=IFERROR(N(INDEX(Übersicht!$M$15:$M$22,MATCH($B448,Übersicht!$A$15:$A$22,0))),0)),1,0),1))</f>
        <v/>
      </c>
    </row>
    <row r="449">
      <c r="A449" s="92" t="n"/>
      <c r="B449" s="55" t="n"/>
      <c r="C449" s="55" t="n"/>
      <c r="D449" s="55" t="n"/>
      <c r="E449" s="93" t="n"/>
      <c r="F449" s="94" t="n"/>
      <c r="G449" s="94" t="n"/>
      <c r="H449" s="94" t="n"/>
      <c r="I449" s="94" t="n"/>
      <c r="J449" s="55" t="n"/>
      <c r="K449" s="95" t="n"/>
      <c r="L449" s="116">
        <f>IF($A449="","",DATE(YEAR($A449),MONTH($A449)+IF(AND(IFERROR(N(INDEX(Übersicht!$M$15:$M$22,MATCH($B449,Übersicht!$A$15:$A$22,0))),0)&gt;1,DAY($A449)&gt;=IFERROR(N(INDEX(Übersicht!$M$15:$M$22,MATCH($B449,Übersicht!$A$15:$A$22,0))),0)),1,0),1))</f>
        <v/>
      </c>
    </row>
    <row r="450">
      <c r="A450" s="92" t="n"/>
      <c r="B450" s="55" t="n"/>
      <c r="C450" s="55" t="n"/>
      <c r="D450" s="55" t="n"/>
      <c r="E450" s="93" t="n"/>
      <c r="F450" s="94" t="n"/>
      <c r="G450" s="94" t="n"/>
      <c r="H450" s="94" t="n"/>
      <c r="I450" s="94" t="n"/>
      <c r="J450" s="55" t="n"/>
      <c r="K450" s="95" t="n"/>
      <c r="L450" s="116">
        <f>IF($A450="","",DATE(YEAR($A450),MONTH($A450)+IF(AND(IFERROR(N(INDEX(Übersicht!$M$15:$M$22,MATCH($B450,Übersicht!$A$15:$A$22,0))),0)&gt;1,DAY($A450)&gt;=IFERROR(N(INDEX(Übersicht!$M$15:$M$22,MATCH($B450,Übersicht!$A$15:$A$22,0))),0)),1,0),1))</f>
        <v/>
      </c>
    </row>
    <row r="451">
      <c r="A451" s="92" t="n"/>
      <c r="B451" s="55" t="n"/>
      <c r="C451" s="55" t="n"/>
      <c r="D451" s="55" t="n"/>
      <c r="E451" s="93" t="n"/>
      <c r="F451" s="94" t="n"/>
      <c r="G451" s="94" t="n"/>
      <c r="H451" s="94" t="n"/>
      <c r="I451" s="94" t="n"/>
      <c r="J451" s="55" t="n"/>
      <c r="K451" s="95" t="n"/>
      <c r="L451" s="116">
        <f>IF($A451="","",DATE(YEAR($A451),MONTH($A451)+IF(AND(IFERROR(N(INDEX(Übersicht!$M$15:$M$22,MATCH($B451,Übersicht!$A$15:$A$22,0))),0)&gt;1,DAY($A451)&gt;=IFERROR(N(INDEX(Übersicht!$M$15:$M$22,MATCH($B451,Übersicht!$A$15:$A$22,0))),0)),1,0),1))</f>
        <v/>
      </c>
    </row>
    <row r="452">
      <c r="A452" s="92" t="n"/>
      <c r="B452" s="55" t="n"/>
      <c r="C452" s="55" t="n"/>
      <c r="D452" s="55" t="n"/>
      <c r="E452" s="93" t="n"/>
      <c r="F452" s="94" t="n"/>
      <c r="G452" s="94" t="n"/>
      <c r="H452" s="94" t="n"/>
      <c r="I452" s="94" t="n"/>
      <c r="J452" s="55" t="n"/>
      <c r="K452" s="95" t="n"/>
      <c r="L452" s="116">
        <f>IF($A452="","",DATE(YEAR($A452),MONTH($A452)+IF(AND(IFERROR(N(INDEX(Übersicht!$M$15:$M$22,MATCH($B452,Übersicht!$A$15:$A$22,0))),0)&gt;1,DAY($A452)&gt;=IFERROR(N(INDEX(Übersicht!$M$15:$M$22,MATCH($B452,Übersicht!$A$15:$A$22,0))),0)),1,0),1))</f>
        <v/>
      </c>
    </row>
    <row r="453">
      <c r="A453" s="92" t="n"/>
      <c r="B453" s="55" t="n"/>
      <c r="C453" s="55" t="n"/>
      <c r="D453" s="55" t="n"/>
      <c r="E453" s="93" t="n"/>
      <c r="F453" s="94" t="n"/>
      <c r="G453" s="94" t="n"/>
      <c r="H453" s="94" t="n"/>
      <c r="I453" s="94" t="n"/>
      <c r="J453" s="55" t="n"/>
      <c r="K453" s="95" t="n"/>
      <c r="L453" s="116">
        <f>IF($A453="","",DATE(YEAR($A453),MONTH($A453)+IF(AND(IFERROR(N(INDEX(Übersicht!$M$15:$M$22,MATCH($B453,Übersicht!$A$15:$A$22,0))),0)&gt;1,DAY($A453)&gt;=IFERROR(N(INDEX(Übersicht!$M$15:$M$22,MATCH($B453,Übersicht!$A$15:$A$22,0))),0)),1,0),1))</f>
        <v/>
      </c>
    </row>
    <row r="454">
      <c r="A454" s="92" t="n"/>
      <c r="B454" s="55" t="n"/>
      <c r="C454" s="55" t="n"/>
      <c r="D454" s="55" t="n"/>
      <c r="E454" s="93" t="n"/>
      <c r="F454" s="94" t="n"/>
      <c r="G454" s="94" t="n"/>
      <c r="H454" s="94" t="n"/>
      <c r="I454" s="94" t="n"/>
      <c r="J454" s="55" t="n"/>
      <c r="K454" s="95" t="n"/>
      <c r="L454" s="116">
        <f>IF($A454="","",DATE(YEAR($A454),MONTH($A454)+IF(AND(IFERROR(N(INDEX(Übersicht!$M$15:$M$22,MATCH($B454,Übersicht!$A$15:$A$22,0))),0)&gt;1,DAY($A454)&gt;=IFERROR(N(INDEX(Übersicht!$M$15:$M$22,MATCH($B454,Übersicht!$A$15:$A$22,0))),0)),1,0),1))</f>
        <v/>
      </c>
    </row>
    <row r="455">
      <c r="A455" s="92" t="n"/>
      <c r="B455" s="55" t="n"/>
      <c r="C455" s="55" t="n"/>
      <c r="D455" s="55" t="n"/>
      <c r="E455" s="93" t="n"/>
      <c r="F455" s="94" t="n"/>
      <c r="G455" s="94" t="n"/>
      <c r="H455" s="94" t="n"/>
      <c r="I455" s="94" t="n"/>
      <c r="J455" s="55" t="n"/>
      <c r="K455" s="95" t="n"/>
      <c r="L455" s="116">
        <f>IF($A455="","",DATE(YEAR($A455),MONTH($A455)+IF(AND(IFERROR(N(INDEX(Übersicht!$M$15:$M$22,MATCH($B455,Übersicht!$A$15:$A$22,0))),0)&gt;1,DAY($A455)&gt;=IFERROR(N(INDEX(Übersicht!$M$15:$M$22,MATCH($B455,Übersicht!$A$15:$A$22,0))),0)),1,0),1))</f>
        <v/>
      </c>
    </row>
    <row r="456">
      <c r="A456" s="92" t="n"/>
      <c r="B456" s="55" t="n"/>
      <c r="C456" s="55" t="n"/>
      <c r="D456" s="55" t="n"/>
      <c r="E456" s="93" t="n"/>
      <c r="F456" s="94" t="n"/>
      <c r="G456" s="94" t="n"/>
      <c r="H456" s="94" t="n"/>
      <c r="I456" s="94" t="n"/>
      <c r="J456" s="55" t="n"/>
      <c r="K456" s="95" t="n"/>
      <c r="L456" s="116">
        <f>IF($A456="","",DATE(YEAR($A456),MONTH($A456)+IF(AND(IFERROR(N(INDEX(Übersicht!$M$15:$M$22,MATCH($B456,Übersicht!$A$15:$A$22,0))),0)&gt;1,DAY($A456)&gt;=IFERROR(N(INDEX(Übersicht!$M$15:$M$22,MATCH($B456,Übersicht!$A$15:$A$22,0))),0)),1,0),1))</f>
        <v/>
      </c>
    </row>
    <row r="457">
      <c r="A457" s="92" t="n"/>
      <c r="B457" s="55" t="n"/>
      <c r="C457" s="55" t="n"/>
      <c r="D457" s="55" t="n"/>
      <c r="E457" s="93" t="n"/>
      <c r="F457" s="94" t="n"/>
      <c r="G457" s="94" t="n"/>
      <c r="H457" s="94" t="n"/>
      <c r="I457" s="94" t="n"/>
      <c r="J457" s="55" t="n"/>
      <c r="K457" s="95" t="n"/>
      <c r="L457" s="116">
        <f>IF($A457="","",DATE(YEAR($A457),MONTH($A457)+IF(AND(IFERROR(N(INDEX(Übersicht!$M$15:$M$22,MATCH($B457,Übersicht!$A$15:$A$22,0))),0)&gt;1,DAY($A457)&gt;=IFERROR(N(INDEX(Übersicht!$M$15:$M$22,MATCH($B457,Übersicht!$A$15:$A$22,0))),0)),1,0),1))</f>
        <v/>
      </c>
    </row>
    <row r="458">
      <c r="A458" s="92" t="n"/>
      <c r="B458" s="55" t="n"/>
      <c r="C458" s="55" t="n"/>
      <c r="D458" s="55" t="n"/>
      <c r="E458" s="93" t="n"/>
      <c r="F458" s="94" t="n"/>
      <c r="G458" s="94" t="n"/>
      <c r="H458" s="94" t="n"/>
      <c r="I458" s="94" t="n"/>
      <c r="J458" s="55" t="n"/>
      <c r="K458" s="95" t="n"/>
      <c r="L458" s="116">
        <f>IF($A458="","",DATE(YEAR($A458),MONTH($A458)+IF(AND(IFERROR(N(INDEX(Übersicht!$M$15:$M$22,MATCH($B458,Übersicht!$A$15:$A$22,0))),0)&gt;1,DAY($A458)&gt;=IFERROR(N(INDEX(Übersicht!$M$15:$M$22,MATCH($B458,Übersicht!$A$15:$A$22,0))),0)),1,0),1))</f>
        <v/>
      </c>
    </row>
    <row r="459">
      <c r="A459" s="92" t="n"/>
      <c r="B459" s="55" t="n"/>
      <c r="C459" s="55" t="n"/>
      <c r="D459" s="55" t="n"/>
      <c r="E459" s="93" t="n"/>
      <c r="F459" s="94" t="n"/>
      <c r="G459" s="94" t="n"/>
      <c r="H459" s="94" t="n"/>
      <c r="I459" s="94" t="n"/>
      <c r="J459" s="55" t="n"/>
      <c r="K459" s="95" t="n"/>
      <c r="L459" s="116">
        <f>IF($A459="","",DATE(YEAR($A459),MONTH($A459)+IF(AND(IFERROR(N(INDEX(Übersicht!$M$15:$M$22,MATCH($B459,Übersicht!$A$15:$A$22,0))),0)&gt;1,DAY($A459)&gt;=IFERROR(N(INDEX(Übersicht!$M$15:$M$22,MATCH($B459,Übersicht!$A$15:$A$22,0))),0)),1,0),1))</f>
        <v/>
      </c>
    </row>
    <row r="460">
      <c r="A460" s="92" t="n"/>
      <c r="B460" s="55" t="n"/>
      <c r="C460" s="55" t="n"/>
      <c r="D460" s="55" t="n"/>
      <c r="E460" s="93" t="n"/>
      <c r="F460" s="94" t="n"/>
      <c r="G460" s="94" t="n"/>
      <c r="H460" s="94" t="n"/>
      <c r="I460" s="94" t="n"/>
      <c r="J460" s="55" t="n"/>
      <c r="K460" s="95" t="n"/>
      <c r="L460" s="116">
        <f>IF($A460="","",DATE(YEAR($A460),MONTH($A460)+IF(AND(IFERROR(N(INDEX(Übersicht!$M$15:$M$22,MATCH($B460,Übersicht!$A$15:$A$22,0))),0)&gt;1,DAY($A460)&gt;=IFERROR(N(INDEX(Übersicht!$M$15:$M$22,MATCH($B460,Übersicht!$A$15:$A$22,0))),0)),1,0),1))</f>
        <v/>
      </c>
    </row>
    <row r="461">
      <c r="A461" s="92" t="n"/>
      <c r="B461" s="55" t="n"/>
      <c r="C461" s="55" t="n"/>
      <c r="D461" s="55" t="n"/>
      <c r="E461" s="93" t="n"/>
      <c r="F461" s="94" t="n"/>
      <c r="G461" s="94" t="n"/>
      <c r="H461" s="94" t="n"/>
      <c r="I461" s="94" t="n"/>
      <c r="J461" s="55" t="n"/>
      <c r="K461" s="95" t="n"/>
      <c r="L461" s="116">
        <f>IF($A461="","",DATE(YEAR($A461),MONTH($A461)+IF(AND(IFERROR(N(INDEX(Übersicht!$M$15:$M$22,MATCH($B461,Übersicht!$A$15:$A$22,0))),0)&gt;1,DAY($A461)&gt;=IFERROR(N(INDEX(Übersicht!$M$15:$M$22,MATCH($B461,Übersicht!$A$15:$A$22,0))),0)),1,0),1))</f>
        <v/>
      </c>
    </row>
    <row r="462">
      <c r="A462" s="92" t="n"/>
      <c r="B462" s="55" t="n"/>
      <c r="C462" s="55" t="n"/>
      <c r="D462" s="55" t="n"/>
      <c r="E462" s="93" t="n"/>
      <c r="F462" s="94" t="n"/>
      <c r="G462" s="94" t="n"/>
      <c r="H462" s="94" t="n"/>
      <c r="I462" s="94" t="n"/>
      <c r="J462" s="55" t="n"/>
      <c r="K462" s="95" t="n"/>
      <c r="L462" s="116">
        <f>IF($A462="","",DATE(YEAR($A462),MONTH($A462)+IF(AND(IFERROR(N(INDEX(Übersicht!$M$15:$M$22,MATCH($B462,Übersicht!$A$15:$A$22,0))),0)&gt;1,DAY($A462)&gt;=IFERROR(N(INDEX(Übersicht!$M$15:$M$22,MATCH($B462,Übersicht!$A$15:$A$22,0))),0)),1,0),1))</f>
        <v/>
      </c>
    </row>
    <row r="463">
      <c r="A463" s="92" t="n"/>
      <c r="B463" s="55" t="n"/>
      <c r="C463" s="55" t="n"/>
      <c r="D463" s="55" t="n"/>
      <c r="E463" s="93" t="n"/>
      <c r="F463" s="94" t="n"/>
      <c r="G463" s="94" t="n"/>
      <c r="H463" s="94" t="n"/>
      <c r="I463" s="94" t="n"/>
      <c r="J463" s="55" t="n"/>
      <c r="K463" s="95" t="n"/>
      <c r="L463" s="116">
        <f>IF($A463="","",DATE(YEAR($A463),MONTH($A463)+IF(AND(IFERROR(N(INDEX(Übersicht!$M$15:$M$22,MATCH($B463,Übersicht!$A$15:$A$22,0))),0)&gt;1,DAY($A463)&gt;=IFERROR(N(INDEX(Übersicht!$M$15:$M$22,MATCH($B463,Übersicht!$A$15:$A$22,0))),0)),1,0),1))</f>
        <v/>
      </c>
    </row>
    <row r="464">
      <c r="A464" s="92" t="n"/>
      <c r="B464" s="55" t="n"/>
      <c r="C464" s="55" t="n"/>
      <c r="D464" s="55" t="n"/>
      <c r="E464" s="93" t="n"/>
      <c r="F464" s="94" t="n"/>
      <c r="G464" s="94" t="n"/>
      <c r="H464" s="94" t="n"/>
      <c r="I464" s="94" t="n"/>
      <c r="J464" s="55" t="n"/>
      <c r="K464" s="95" t="n"/>
      <c r="L464" s="116">
        <f>IF($A464="","",DATE(YEAR($A464),MONTH($A464)+IF(AND(IFERROR(N(INDEX(Übersicht!$M$15:$M$22,MATCH($B464,Übersicht!$A$15:$A$22,0))),0)&gt;1,DAY($A464)&gt;=IFERROR(N(INDEX(Übersicht!$M$15:$M$22,MATCH($B464,Übersicht!$A$15:$A$22,0))),0)),1,0),1))</f>
        <v/>
      </c>
    </row>
    <row r="465">
      <c r="A465" s="92" t="n"/>
      <c r="B465" s="55" t="n"/>
      <c r="C465" s="55" t="n"/>
      <c r="D465" s="55" t="n"/>
      <c r="E465" s="93" t="n"/>
      <c r="F465" s="94" t="n"/>
      <c r="G465" s="94" t="n"/>
      <c r="H465" s="94" t="n"/>
      <c r="I465" s="94" t="n"/>
      <c r="J465" s="55" t="n"/>
      <c r="K465" s="95" t="n"/>
      <c r="L465" s="116">
        <f>IF($A465="","",DATE(YEAR($A465),MONTH($A465)+IF(AND(IFERROR(N(INDEX(Übersicht!$M$15:$M$22,MATCH($B465,Übersicht!$A$15:$A$22,0))),0)&gt;1,DAY($A465)&gt;=IFERROR(N(INDEX(Übersicht!$M$15:$M$22,MATCH($B465,Übersicht!$A$15:$A$22,0))),0)),1,0),1))</f>
        <v/>
      </c>
    </row>
    <row r="466">
      <c r="A466" s="92" t="n"/>
      <c r="B466" s="55" t="n"/>
      <c r="C466" s="55" t="n"/>
      <c r="D466" s="55" t="n"/>
      <c r="E466" s="93" t="n"/>
      <c r="F466" s="94" t="n"/>
      <c r="G466" s="94" t="n"/>
      <c r="H466" s="94" t="n"/>
      <c r="I466" s="94" t="n"/>
      <c r="J466" s="55" t="n"/>
      <c r="K466" s="95" t="n"/>
      <c r="L466" s="116">
        <f>IF($A466="","",DATE(YEAR($A466),MONTH($A466)+IF(AND(IFERROR(N(INDEX(Übersicht!$M$15:$M$22,MATCH($B466,Übersicht!$A$15:$A$22,0))),0)&gt;1,DAY($A466)&gt;=IFERROR(N(INDEX(Übersicht!$M$15:$M$22,MATCH($B466,Übersicht!$A$15:$A$22,0))),0)),1,0),1))</f>
        <v/>
      </c>
    </row>
    <row r="467">
      <c r="A467" s="92" t="n"/>
      <c r="B467" s="55" t="n"/>
      <c r="C467" s="55" t="n"/>
      <c r="D467" s="55" t="n"/>
      <c r="E467" s="93" t="n"/>
      <c r="F467" s="94" t="n"/>
      <c r="G467" s="94" t="n"/>
      <c r="H467" s="94" t="n"/>
      <c r="I467" s="94" t="n"/>
      <c r="J467" s="55" t="n"/>
      <c r="K467" s="95" t="n"/>
      <c r="L467" s="116">
        <f>IF($A467="","",DATE(YEAR($A467),MONTH($A467)+IF(AND(IFERROR(N(INDEX(Übersicht!$M$15:$M$22,MATCH($B467,Übersicht!$A$15:$A$22,0))),0)&gt;1,DAY($A467)&gt;=IFERROR(N(INDEX(Übersicht!$M$15:$M$22,MATCH($B467,Übersicht!$A$15:$A$22,0))),0)),1,0),1))</f>
        <v/>
      </c>
    </row>
    <row r="468">
      <c r="A468" s="92" t="n"/>
      <c r="B468" s="55" t="n"/>
      <c r="C468" s="55" t="n"/>
      <c r="D468" s="55" t="n"/>
      <c r="E468" s="93" t="n"/>
      <c r="F468" s="94" t="n"/>
      <c r="G468" s="94" t="n"/>
      <c r="H468" s="94" t="n"/>
      <c r="I468" s="94" t="n"/>
      <c r="J468" s="55" t="n"/>
      <c r="K468" s="95" t="n"/>
      <c r="L468" s="116">
        <f>IF($A468="","",DATE(YEAR($A468),MONTH($A468)+IF(AND(IFERROR(N(INDEX(Übersicht!$M$15:$M$22,MATCH($B468,Übersicht!$A$15:$A$22,0))),0)&gt;1,DAY($A468)&gt;=IFERROR(N(INDEX(Übersicht!$M$15:$M$22,MATCH($B468,Übersicht!$A$15:$A$22,0))),0)),1,0),1))</f>
        <v/>
      </c>
    </row>
    <row r="469">
      <c r="A469" s="92" t="n"/>
      <c r="B469" s="55" t="n"/>
      <c r="C469" s="55" t="n"/>
      <c r="D469" s="55" t="n"/>
      <c r="E469" s="93" t="n"/>
      <c r="F469" s="94" t="n"/>
      <c r="G469" s="94" t="n"/>
      <c r="H469" s="94" t="n"/>
      <c r="I469" s="94" t="n"/>
      <c r="J469" s="55" t="n"/>
      <c r="K469" s="95" t="n"/>
      <c r="L469" s="116">
        <f>IF($A469="","",DATE(YEAR($A469),MONTH($A469)+IF(AND(IFERROR(N(INDEX(Übersicht!$M$15:$M$22,MATCH($B469,Übersicht!$A$15:$A$22,0))),0)&gt;1,DAY($A469)&gt;=IFERROR(N(INDEX(Übersicht!$M$15:$M$22,MATCH($B469,Übersicht!$A$15:$A$22,0))),0)),1,0),1))</f>
        <v/>
      </c>
    </row>
    <row r="470">
      <c r="A470" s="92" t="n"/>
      <c r="B470" s="55" t="n"/>
      <c r="C470" s="55" t="n"/>
      <c r="D470" s="55" t="n"/>
      <c r="E470" s="93" t="n"/>
      <c r="F470" s="94" t="n"/>
      <c r="G470" s="94" t="n"/>
      <c r="H470" s="94" t="n"/>
      <c r="I470" s="94" t="n"/>
      <c r="J470" s="55" t="n"/>
      <c r="K470" s="95" t="n"/>
      <c r="L470" s="116">
        <f>IF($A470="","",DATE(YEAR($A470),MONTH($A470)+IF(AND(IFERROR(N(INDEX(Übersicht!$M$15:$M$22,MATCH($B470,Übersicht!$A$15:$A$22,0))),0)&gt;1,DAY($A470)&gt;=IFERROR(N(INDEX(Übersicht!$M$15:$M$22,MATCH($B470,Übersicht!$A$15:$A$22,0))),0)),1,0),1))</f>
        <v/>
      </c>
    </row>
    <row r="471">
      <c r="A471" s="92" t="n"/>
      <c r="B471" s="55" t="n"/>
      <c r="C471" s="55" t="n"/>
      <c r="D471" s="55" t="n"/>
      <c r="E471" s="93" t="n"/>
      <c r="F471" s="94" t="n"/>
      <c r="G471" s="94" t="n"/>
      <c r="H471" s="94" t="n"/>
      <c r="I471" s="94" t="n"/>
      <c r="J471" s="55" t="n"/>
      <c r="K471" s="95" t="n"/>
      <c r="L471" s="116">
        <f>IF($A471="","",DATE(YEAR($A471),MONTH($A471)+IF(AND(IFERROR(N(INDEX(Übersicht!$M$15:$M$22,MATCH($B471,Übersicht!$A$15:$A$22,0))),0)&gt;1,DAY($A471)&gt;=IFERROR(N(INDEX(Übersicht!$M$15:$M$22,MATCH($B471,Übersicht!$A$15:$A$22,0))),0)),1,0),1))</f>
        <v/>
      </c>
    </row>
    <row r="472">
      <c r="A472" s="92" t="n"/>
      <c r="B472" s="55" t="n"/>
      <c r="C472" s="55" t="n"/>
      <c r="D472" s="55" t="n"/>
      <c r="E472" s="93" t="n"/>
      <c r="F472" s="94" t="n"/>
      <c r="G472" s="94" t="n"/>
      <c r="H472" s="94" t="n"/>
      <c r="I472" s="94" t="n"/>
      <c r="J472" s="55" t="n"/>
      <c r="K472" s="95" t="n"/>
      <c r="L472" s="116">
        <f>IF($A472="","",DATE(YEAR($A472),MONTH($A472)+IF(AND(IFERROR(N(INDEX(Übersicht!$M$15:$M$22,MATCH($B472,Übersicht!$A$15:$A$22,0))),0)&gt;1,DAY($A472)&gt;=IFERROR(N(INDEX(Übersicht!$M$15:$M$22,MATCH($B472,Übersicht!$A$15:$A$22,0))),0)),1,0),1))</f>
        <v/>
      </c>
    </row>
    <row r="473">
      <c r="A473" s="92" t="n"/>
      <c r="B473" s="55" t="n"/>
      <c r="C473" s="55" t="n"/>
      <c r="D473" s="55" t="n"/>
      <c r="E473" s="93" t="n"/>
      <c r="F473" s="94" t="n"/>
      <c r="G473" s="94" t="n"/>
      <c r="H473" s="94" t="n"/>
      <c r="I473" s="94" t="n"/>
      <c r="J473" s="55" t="n"/>
      <c r="K473" s="95" t="n"/>
      <c r="L473" s="116">
        <f>IF($A473="","",DATE(YEAR($A473),MONTH($A473)+IF(AND(IFERROR(N(INDEX(Übersicht!$M$15:$M$22,MATCH($B473,Übersicht!$A$15:$A$22,0))),0)&gt;1,DAY($A473)&gt;=IFERROR(N(INDEX(Übersicht!$M$15:$M$22,MATCH($B473,Übersicht!$A$15:$A$22,0))),0)),1,0),1))</f>
        <v/>
      </c>
    </row>
    <row r="474">
      <c r="A474" s="92" t="n"/>
      <c r="B474" s="55" t="n"/>
      <c r="C474" s="55" t="n"/>
      <c r="D474" s="55" t="n"/>
      <c r="E474" s="93" t="n"/>
      <c r="F474" s="94" t="n"/>
      <c r="G474" s="94" t="n"/>
      <c r="H474" s="94" t="n"/>
      <c r="I474" s="94" t="n"/>
      <c r="J474" s="55" t="n"/>
      <c r="K474" s="95" t="n"/>
      <c r="L474" s="116">
        <f>IF($A474="","",DATE(YEAR($A474),MONTH($A474)+IF(AND(IFERROR(N(INDEX(Übersicht!$M$15:$M$22,MATCH($B474,Übersicht!$A$15:$A$22,0))),0)&gt;1,DAY($A474)&gt;=IFERROR(N(INDEX(Übersicht!$M$15:$M$22,MATCH($B474,Übersicht!$A$15:$A$22,0))),0)),1,0),1))</f>
        <v/>
      </c>
    </row>
    <row r="475">
      <c r="A475" s="92" t="n"/>
      <c r="B475" s="55" t="n"/>
      <c r="C475" s="55" t="n"/>
      <c r="D475" s="55" t="n"/>
      <c r="E475" s="93" t="n"/>
      <c r="F475" s="94" t="n"/>
      <c r="G475" s="94" t="n"/>
      <c r="H475" s="94" t="n"/>
      <c r="I475" s="94" t="n"/>
      <c r="J475" s="55" t="n"/>
      <c r="K475" s="95" t="n"/>
      <c r="L475" s="116">
        <f>IF($A475="","",DATE(YEAR($A475),MONTH($A475)+IF(AND(IFERROR(N(INDEX(Übersicht!$M$15:$M$22,MATCH($B475,Übersicht!$A$15:$A$22,0))),0)&gt;1,DAY($A475)&gt;=IFERROR(N(INDEX(Übersicht!$M$15:$M$22,MATCH($B475,Übersicht!$A$15:$A$22,0))),0)),1,0),1))</f>
        <v/>
      </c>
    </row>
    <row r="476">
      <c r="A476" s="92" t="n"/>
      <c r="B476" s="55" t="n"/>
      <c r="C476" s="55" t="n"/>
      <c r="D476" s="55" t="n"/>
      <c r="E476" s="93" t="n"/>
      <c r="F476" s="94" t="n"/>
      <c r="G476" s="94" t="n"/>
      <c r="H476" s="94" t="n"/>
      <c r="I476" s="94" t="n"/>
      <c r="J476" s="55" t="n"/>
      <c r="K476" s="95" t="n"/>
      <c r="L476" s="116">
        <f>IF($A476="","",DATE(YEAR($A476),MONTH($A476)+IF(AND(IFERROR(N(INDEX(Übersicht!$M$15:$M$22,MATCH($B476,Übersicht!$A$15:$A$22,0))),0)&gt;1,DAY($A476)&gt;=IFERROR(N(INDEX(Übersicht!$M$15:$M$22,MATCH($B476,Übersicht!$A$15:$A$22,0))),0)),1,0),1))</f>
        <v/>
      </c>
    </row>
    <row r="477">
      <c r="A477" s="92" t="n"/>
      <c r="B477" s="55" t="n"/>
      <c r="C477" s="55" t="n"/>
      <c r="D477" s="55" t="n"/>
      <c r="E477" s="93" t="n"/>
      <c r="F477" s="94" t="n"/>
      <c r="G477" s="94" t="n"/>
      <c r="H477" s="94" t="n"/>
      <c r="I477" s="94" t="n"/>
      <c r="J477" s="55" t="n"/>
      <c r="K477" s="95" t="n"/>
      <c r="L477" s="116">
        <f>IF($A477="","",DATE(YEAR($A477),MONTH($A477)+IF(AND(IFERROR(N(INDEX(Übersicht!$M$15:$M$22,MATCH($B477,Übersicht!$A$15:$A$22,0))),0)&gt;1,DAY($A477)&gt;=IFERROR(N(INDEX(Übersicht!$M$15:$M$22,MATCH($B477,Übersicht!$A$15:$A$22,0))),0)),1,0),1))</f>
        <v/>
      </c>
    </row>
    <row r="478">
      <c r="A478" s="92" t="n"/>
      <c r="B478" s="55" t="n"/>
      <c r="C478" s="55" t="n"/>
      <c r="D478" s="55" t="n"/>
      <c r="E478" s="93" t="n"/>
      <c r="F478" s="94" t="n"/>
      <c r="G478" s="94" t="n"/>
      <c r="H478" s="94" t="n"/>
      <c r="I478" s="94" t="n"/>
      <c r="J478" s="55" t="n"/>
      <c r="K478" s="95" t="n"/>
      <c r="L478" s="116">
        <f>IF($A478="","",DATE(YEAR($A478),MONTH($A478)+IF(AND(IFERROR(N(INDEX(Übersicht!$M$15:$M$22,MATCH($B478,Übersicht!$A$15:$A$22,0))),0)&gt;1,DAY($A478)&gt;=IFERROR(N(INDEX(Übersicht!$M$15:$M$22,MATCH($B478,Übersicht!$A$15:$A$22,0))),0)),1,0),1))</f>
        <v/>
      </c>
    </row>
    <row r="479">
      <c r="A479" s="92" t="n"/>
      <c r="B479" s="55" t="n"/>
      <c r="C479" s="55" t="n"/>
      <c r="D479" s="55" t="n"/>
      <c r="E479" s="93" t="n"/>
      <c r="F479" s="94" t="n"/>
      <c r="G479" s="94" t="n"/>
      <c r="H479" s="94" t="n"/>
      <c r="I479" s="94" t="n"/>
      <c r="J479" s="55" t="n"/>
      <c r="K479" s="95" t="n"/>
      <c r="L479" s="116">
        <f>IF($A479="","",DATE(YEAR($A479),MONTH($A479)+IF(AND(IFERROR(N(INDEX(Übersicht!$M$15:$M$22,MATCH($B479,Übersicht!$A$15:$A$22,0))),0)&gt;1,DAY($A479)&gt;=IFERROR(N(INDEX(Übersicht!$M$15:$M$22,MATCH($B479,Übersicht!$A$15:$A$22,0))),0)),1,0),1))</f>
        <v/>
      </c>
    </row>
    <row r="480">
      <c r="A480" s="92" t="n"/>
      <c r="B480" s="55" t="n"/>
      <c r="C480" s="55" t="n"/>
      <c r="D480" s="55" t="n"/>
      <c r="E480" s="93" t="n"/>
      <c r="F480" s="94" t="n"/>
      <c r="G480" s="94" t="n"/>
      <c r="H480" s="94" t="n"/>
      <c r="I480" s="94" t="n"/>
      <c r="J480" s="55" t="n"/>
      <c r="K480" s="95" t="n"/>
      <c r="L480" s="116">
        <f>IF($A480="","",DATE(YEAR($A480),MONTH($A480)+IF(AND(IFERROR(N(INDEX(Übersicht!$M$15:$M$22,MATCH($B480,Übersicht!$A$15:$A$22,0))),0)&gt;1,DAY($A480)&gt;=IFERROR(N(INDEX(Übersicht!$M$15:$M$22,MATCH($B480,Übersicht!$A$15:$A$22,0))),0)),1,0),1))</f>
        <v/>
      </c>
    </row>
    <row r="481">
      <c r="A481" s="92" t="n"/>
      <c r="B481" s="55" t="n"/>
      <c r="C481" s="55" t="n"/>
      <c r="D481" s="55" t="n"/>
      <c r="E481" s="93" t="n"/>
      <c r="F481" s="94" t="n"/>
      <c r="G481" s="94" t="n"/>
      <c r="H481" s="94" t="n"/>
      <c r="I481" s="94" t="n"/>
      <c r="J481" s="55" t="n"/>
      <c r="K481" s="95" t="n"/>
      <c r="L481" s="116">
        <f>IF($A481="","",DATE(YEAR($A481),MONTH($A481)+IF(AND(IFERROR(N(INDEX(Übersicht!$M$15:$M$22,MATCH($B481,Übersicht!$A$15:$A$22,0))),0)&gt;1,DAY($A481)&gt;=IFERROR(N(INDEX(Übersicht!$M$15:$M$22,MATCH($B481,Übersicht!$A$15:$A$22,0))),0)),1,0),1))</f>
        <v/>
      </c>
    </row>
    <row r="482">
      <c r="A482" s="92" t="n"/>
      <c r="B482" s="55" t="n"/>
      <c r="C482" s="55" t="n"/>
      <c r="D482" s="55" t="n"/>
      <c r="E482" s="93" t="n"/>
      <c r="F482" s="94" t="n"/>
      <c r="G482" s="94" t="n"/>
      <c r="H482" s="94" t="n"/>
      <c r="I482" s="94" t="n"/>
      <c r="J482" s="55" t="n"/>
      <c r="K482" s="95" t="n"/>
      <c r="L482" s="116">
        <f>IF($A482="","",DATE(YEAR($A482),MONTH($A482)+IF(AND(IFERROR(N(INDEX(Übersicht!$M$15:$M$22,MATCH($B482,Übersicht!$A$15:$A$22,0))),0)&gt;1,DAY($A482)&gt;=IFERROR(N(INDEX(Übersicht!$M$15:$M$22,MATCH($B482,Übersicht!$A$15:$A$22,0))),0)),1,0),1))</f>
        <v/>
      </c>
    </row>
    <row r="483">
      <c r="A483" s="92" t="n"/>
      <c r="B483" s="55" t="n"/>
      <c r="C483" s="55" t="n"/>
      <c r="D483" s="55" t="n"/>
      <c r="E483" s="93" t="n"/>
      <c r="F483" s="94" t="n"/>
      <c r="G483" s="94" t="n"/>
      <c r="H483" s="94" t="n"/>
      <c r="I483" s="94" t="n"/>
      <c r="J483" s="55" t="n"/>
      <c r="K483" s="95" t="n"/>
      <c r="L483" s="116">
        <f>IF($A483="","",DATE(YEAR($A483),MONTH($A483)+IF(AND(IFERROR(N(INDEX(Übersicht!$M$15:$M$22,MATCH($B483,Übersicht!$A$15:$A$22,0))),0)&gt;1,DAY($A483)&gt;=IFERROR(N(INDEX(Übersicht!$M$15:$M$22,MATCH($B483,Übersicht!$A$15:$A$22,0))),0)),1,0),1))</f>
        <v/>
      </c>
    </row>
    <row r="484">
      <c r="A484" s="92" t="n"/>
      <c r="B484" s="55" t="n"/>
      <c r="C484" s="55" t="n"/>
      <c r="D484" s="55" t="n"/>
      <c r="E484" s="93" t="n"/>
      <c r="F484" s="94" t="n"/>
      <c r="G484" s="94" t="n"/>
      <c r="H484" s="94" t="n"/>
      <c r="I484" s="94" t="n"/>
      <c r="J484" s="55" t="n"/>
      <c r="K484" s="95" t="n"/>
      <c r="L484" s="116">
        <f>IF($A484="","",DATE(YEAR($A484),MONTH($A484)+IF(AND(IFERROR(N(INDEX(Übersicht!$M$15:$M$22,MATCH($B484,Übersicht!$A$15:$A$22,0))),0)&gt;1,DAY($A484)&gt;=IFERROR(N(INDEX(Übersicht!$M$15:$M$22,MATCH($B484,Übersicht!$A$15:$A$22,0))),0)),1,0),1))</f>
        <v/>
      </c>
    </row>
    <row r="485">
      <c r="A485" s="92" t="n"/>
      <c r="B485" s="55" t="n"/>
      <c r="C485" s="55" t="n"/>
      <c r="D485" s="55" t="n"/>
      <c r="E485" s="93" t="n"/>
      <c r="F485" s="94" t="n"/>
      <c r="G485" s="94" t="n"/>
      <c r="H485" s="94" t="n"/>
      <c r="I485" s="94" t="n"/>
      <c r="J485" s="55" t="n"/>
      <c r="K485" s="95" t="n"/>
      <c r="L485" s="116">
        <f>IF($A485="","",DATE(YEAR($A485),MONTH($A485)+IF(AND(IFERROR(N(INDEX(Übersicht!$M$15:$M$22,MATCH($B485,Übersicht!$A$15:$A$22,0))),0)&gt;1,DAY($A485)&gt;=IFERROR(N(INDEX(Übersicht!$M$15:$M$22,MATCH($B485,Übersicht!$A$15:$A$22,0))),0)),1,0),1))</f>
        <v/>
      </c>
    </row>
    <row r="486">
      <c r="A486" s="92" t="n"/>
      <c r="B486" s="55" t="n"/>
      <c r="C486" s="55" t="n"/>
      <c r="D486" s="55" t="n"/>
      <c r="E486" s="93" t="n"/>
      <c r="F486" s="94" t="n"/>
      <c r="G486" s="94" t="n"/>
      <c r="H486" s="94" t="n"/>
      <c r="I486" s="94" t="n"/>
      <c r="J486" s="55" t="n"/>
      <c r="K486" s="95" t="n"/>
      <c r="L486" s="116">
        <f>IF($A486="","",DATE(YEAR($A486),MONTH($A486)+IF(AND(IFERROR(N(INDEX(Übersicht!$M$15:$M$22,MATCH($B486,Übersicht!$A$15:$A$22,0))),0)&gt;1,DAY($A486)&gt;=IFERROR(N(INDEX(Übersicht!$M$15:$M$22,MATCH($B486,Übersicht!$A$15:$A$22,0))),0)),1,0),1))</f>
        <v/>
      </c>
    </row>
    <row r="487">
      <c r="A487" s="92" t="n"/>
      <c r="B487" s="55" t="n"/>
      <c r="C487" s="55" t="n"/>
      <c r="D487" s="55" t="n"/>
      <c r="E487" s="93" t="n"/>
      <c r="F487" s="94" t="n"/>
      <c r="G487" s="94" t="n"/>
      <c r="H487" s="94" t="n"/>
      <c r="I487" s="94" t="n"/>
      <c r="J487" s="55" t="n"/>
      <c r="K487" s="95" t="n"/>
      <c r="L487" s="116">
        <f>IF($A487="","",DATE(YEAR($A487),MONTH($A487)+IF(AND(IFERROR(N(INDEX(Übersicht!$M$15:$M$22,MATCH($B487,Übersicht!$A$15:$A$22,0))),0)&gt;1,DAY($A487)&gt;=IFERROR(N(INDEX(Übersicht!$M$15:$M$22,MATCH($B487,Übersicht!$A$15:$A$22,0))),0)),1,0),1))</f>
        <v/>
      </c>
    </row>
    <row r="488">
      <c r="A488" s="92" t="n"/>
      <c r="B488" s="55" t="n"/>
      <c r="C488" s="55" t="n"/>
      <c r="D488" s="55" t="n"/>
      <c r="E488" s="93" t="n"/>
      <c r="F488" s="94" t="n"/>
      <c r="G488" s="94" t="n"/>
      <c r="H488" s="94" t="n"/>
      <c r="I488" s="94" t="n"/>
      <c r="J488" s="55" t="n"/>
      <c r="K488" s="95" t="n"/>
      <c r="L488" s="116">
        <f>IF($A488="","",DATE(YEAR($A488),MONTH($A488)+IF(AND(IFERROR(N(INDEX(Übersicht!$M$15:$M$22,MATCH($B488,Übersicht!$A$15:$A$22,0))),0)&gt;1,DAY($A488)&gt;=IFERROR(N(INDEX(Übersicht!$M$15:$M$22,MATCH($B488,Übersicht!$A$15:$A$22,0))),0)),1,0),1))</f>
        <v/>
      </c>
    </row>
    <row r="489">
      <c r="A489" s="92" t="n"/>
      <c r="B489" s="55" t="n"/>
      <c r="C489" s="55" t="n"/>
      <c r="D489" s="55" t="n"/>
      <c r="E489" s="93" t="n"/>
      <c r="F489" s="94" t="n"/>
      <c r="G489" s="94" t="n"/>
      <c r="H489" s="94" t="n"/>
      <c r="I489" s="94" t="n"/>
      <c r="J489" s="55" t="n"/>
      <c r="K489" s="95" t="n"/>
      <c r="L489" s="116">
        <f>IF($A489="","",DATE(YEAR($A489),MONTH($A489)+IF(AND(IFERROR(N(INDEX(Übersicht!$M$15:$M$22,MATCH($B489,Übersicht!$A$15:$A$22,0))),0)&gt;1,DAY($A489)&gt;=IFERROR(N(INDEX(Übersicht!$M$15:$M$22,MATCH($B489,Übersicht!$A$15:$A$22,0))),0)),1,0),1))</f>
        <v/>
      </c>
    </row>
    <row r="490">
      <c r="A490" s="92" t="n"/>
      <c r="B490" s="55" t="n"/>
      <c r="C490" s="55" t="n"/>
      <c r="D490" s="55" t="n"/>
      <c r="E490" s="93" t="n"/>
      <c r="F490" s="94" t="n"/>
      <c r="G490" s="94" t="n"/>
      <c r="H490" s="94" t="n"/>
      <c r="I490" s="94" t="n"/>
      <c r="J490" s="55" t="n"/>
      <c r="K490" s="95" t="n"/>
      <c r="L490" s="116">
        <f>IF($A490="","",DATE(YEAR($A490),MONTH($A490)+IF(AND(IFERROR(N(INDEX(Übersicht!$M$15:$M$22,MATCH($B490,Übersicht!$A$15:$A$22,0))),0)&gt;1,DAY($A490)&gt;=IFERROR(N(INDEX(Übersicht!$M$15:$M$22,MATCH($B490,Übersicht!$A$15:$A$22,0))),0)),1,0),1))</f>
        <v/>
      </c>
    </row>
    <row r="491">
      <c r="A491" s="92" t="n"/>
      <c r="B491" s="55" t="n"/>
      <c r="C491" s="55" t="n"/>
      <c r="D491" s="55" t="n"/>
      <c r="E491" s="93" t="n"/>
      <c r="F491" s="94" t="n"/>
      <c r="G491" s="94" t="n"/>
      <c r="H491" s="94" t="n"/>
      <c r="I491" s="94" t="n"/>
      <c r="J491" s="55" t="n"/>
      <c r="K491" s="95" t="n"/>
      <c r="L491" s="116">
        <f>IF($A491="","",DATE(YEAR($A491),MONTH($A491)+IF(AND(IFERROR(N(INDEX(Übersicht!$M$15:$M$22,MATCH($B491,Übersicht!$A$15:$A$22,0))),0)&gt;1,DAY($A491)&gt;=IFERROR(N(INDEX(Übersicht!$M$15:$M$22,MATCH($B491,Übersicht!$A$15:$A$22,0))),0)),1,0),1))</f>
        <v/>
      </c>
    </row>
    <row r="492">
      <c r="A492" s="92" t="n"/>
      <c r="B492" s="55" t="n"/>
      <c r="C492" s="55" t="n"/>
      <c r="D492" s="55" t="n"/>
      <c r="E492" s="93" t="n"/>
      <c r="F492" s="94" t="n"/>
      <c r="G492" s="94" t="n"/>
      <c r="H492" s="94" t="n"/>
      <c r="I492" s="94" t="n"/>
      <c r="J492" s="55" t="n"/>
      <c r="K492" s="95" t="n"/>
      <c r="L492" s="116">
        <f>IF($A492="","",DATE(YEAR($A492),MONTH($A492)+IF(AND(IFERROR(N(INDEX(Übersicht!$M$15:$M$22,MATCH($B492,Übersicht!$A$15:$A$22,0))),0)&gt;1,DAY($A492)&gt;=IFERROR(N(INDEX(Übersicht!$M$15:$M$22,MATCH($B492,Übersicht!$A$15:$A$22,0))),0)),1,0),1))</f>
        <v/>
      </c>
    </row>
    <row r="493">
      <c r="A493" s="92" t="n"/>
      <c r="B493" s="55" t="n"/>
      <c r="C493" s="55" t="n"/>
      <c r="D493" s="55" t="n"/>
      <c r="E493" s="93" t="n"/>
      <c r="F493" s="94" t="n"/>
      <c r="G493" s="94" t="n"/>
      <c r="H493" s="94" t="n"/>
      <c r="I493" s="94" t="n"/>
      <c r="J493" s="55" t="n"/>
      <c r="K493" s="95" t="n"/>
      <c r="L493" s="116">
        <f>IF($A493="","",DATE(YEAR($A493),MONTH($A493)+IF(AND(IFERROR(N(INDEX(Übersicht!$M$15:$M$22,MATCH($B493,Übersicht!$A$15:$A$22,0))),0)&gt;1,DAY($A493)&gt;=IFERROR(N(INDEX(Übersicht!$M$15:$M$22,MATCH($B493,Übersicht!$A$15:$A$22,0))),0)),1,0),1))</f>
        <v/>
      </c>
    </row>
    <row r="494">
      <c r="A494" s="92" t="n"/>
      <c r="B494" s="55" t="n"/>
      <c r="C494" s="55" t="n"/>
      <c r="D494" s="55" t="n"/>
      <c r="E494" s="93" t="n"/>
      <c r="F494" s="94" t="n"/>
      <c r="G494" s="94" t="n"/>
      <c r="H494" s="94" t="n"/>
      <c r="I494" s="94" t="n"/>
      <c r="J494" s="55" t="n"/>
      <c r="K494" s="95" t="n"/>
      <c r="L494" s="116">
        <f>IF($A494="","",DATE(YEAR($A494),MONTH($A494)+IF(AND(IFERROR(N(INDEX(Übersicht!$M$15:$M$22,MATCH($B494,Übersicht!$A$15:$A$22,0))),0)&gt;1,DAY($A494)&gt;=IFERROR(N(INDEX(Übersicht!$M$15:$M$22,MATCH($B494,Übersicht!$A$15:$A$22,0))),0)),1,0),1))</f>
        <v/>
      </c>
    </row>
    <row r="495">
      <c r="A495" s="92" t="n"/>
      <c r="B495" s="55" t="n"/>
      <c r="C495" s="55" t="n"/>
      <c r="D495" s="55" t="n"/>
      <c r="E495" s="93" t="n"/>
      <c r="F495" s="94" t="n"/>
      <c r="G495" s="94" t="n"/>
      <c r="H495" s="94" t="n"/>
      <c r="I495" s="94" t="n"/>
      <c r="J495" s="55" t="n"/>
      <c r="K495" s="95" t="n"/>
      <c r="L495" s="116">
        <f>IF($A495="","",DATE(YEAR($A495),MONTH($A495)+IF(AND(IFERROR(N(INDEX(Übersicht!$M$15:$M$22,MATCH($B495,Übersicht!$A$15:$A$22,0))),0)&gt;1,DAY($A495)&gt;=IFERROR(N(INDEX(Übersicht!$M$15:$M$22,MATCH($B495,Übersicht!$A$15:$A$22,0))),0)),1,0),1))</f>
        <v/>
      </c>
    </row>
    <row r="496">
      <c r="A496" s="92" t="n"/>
      <c r="B496" s="55" t="n"/>
      <c r="C496" s="55" t="n"/>
      <c r="D496" s="55" t="n"/>
      <c r="E496" s="93" t="n"/>
      <c r="F496" s="94" t="n"/>
      <c r="G496" s="94" t="n"/>
      <c r="H496" s="94" t="n"/>
      <c r="I496" s="94" t="n"/>
      <c r="J496" s="55" t="n"/>
      <c r="K496" s="95" t="n"/>
      <c r="L496" s="116">
        <f>IF($A496="","",DATE(YEAR($A496),MONTH($A496)+IF(AND(IFERROR(N(INDEX(Übersicht!$M$15:$M$22,MATCH($B496,Übersicht!$A$15:$A$22,0))),0)&gt;1,DAY($A496)&gt;=IFERROR(N(INDEX(Übersicht!$M$15:$M$22,MATCH($B496,Übersicht!$A$15:$A$22,0))),0)),1,0),1))</f>
        <v/>
      </c>
    </row>
    <row r="497">
      <c r="A497" s="92" t="n"/>
      <c r="B497" s="55" t="n"/>
      <c r="C497" s="55" t="n"/>
      <c r="D497" s="55" t="n"/>
      <c r="E497" s="93" t="n"/>
      <c r="F497" s="94" t="n"/>
      <c r="G497" s="94" t="n"/>
      <c r="H497" s="94" t="n"/>
      <c r="I497" s="94" t="n"/>
      <c r="J497" s="55" t="n"/>
      <c r="K497" s="95" t="n"/>
      <c r="L497" s="116">
        <f>IF($A497="","",DATE(YEAR($A497),MONTH($A497)+IF(AND(IFERROR(N(INDEX(Übersicht!$M$15:$M$22,MATCH($B497,Übersicht!$A$15:$A$22,0))),0)&gt;1,DAY($A497)&gt;=IFERROR(N(INDEX(Übersicht!$M$15:$M$22,MATCH($B497,Übersicht!$A$15:$A$22,0))),0)),1,0),1))</f>
        <v/>
      </c>
    </row>
    <row r="498">
      <c r="A498" s="92" t="n"/>
      <c r="B498" s="55" t="n"/>
      <c r="C498" s="55" t="n"/>
      <c r="D498" s="55" t="n"/>
      <c r="E498" s="93" t="n"/>
      <c r="F498" s="94" t="n"/>
      <c r="G498" s="94" t="n"/>
      <c r="H498" s="94" t="n"/>
      <c r="I498" s="94" t="n"/>
      <c r="J498" s="55" t="n"/>
      <c r="K498" s="95" t="n"/>
      <c r="L498" s="116">
        <f>IF($A498="","",DATE(YEAR($A498),MONTH($A498)+IF(AND(IFERROR(N(INDEX(Übersicht!$M$15:$M$22,MATCH($B498,Übersicht!$A$15:$A$22,0))),0)&gt;1,DAY($A498)&gt;=IFERROR(N(INDEX(Übersicht!$M$15:$M$22,MATCH($B498,Übersicht!$A$15:$A$22,0))),0)),1,0),1))</f>
        <v/>
      </c>
    </row>
    <row r="499">
      <c r="A499" s="92" t="n"/>
      <c r="B499" s="55" t="n"/>
      <c r="C499" s="55" t="n"/>
      <c r="D499" s="55" t="n"/>
      <c r="E499" s="93" t="n"/>
      <c r="F499" s="94" t="n"/>
      <c r="G499" s="94" t="n"/>
      <c r="H499" s="94" t="n"/>
      <c r="I499" s="94" t="n"/>
      <c r="J499" s="55" t="n"/>
      <c r="K499" s="95" t="n"/>
      <c r="L499" s="116">
        <f>IF($A499="","",DATE(YEAR($A499),MONTH($A499)+IF(AND(IFERROR(N(INDEX(Übersicht!$M$15:$M$22,MATCH($B499,Übersicht!$A$15:$A$22,0))),0)&gt;1,DAY($A499)&gt;=IFERROR(N(INDEX(Übersicht!$M$15:$M$22,MATCH($B499,Übersicht!$A$15:$A$22,0))),0)),1,0),1))</f>
        <v/>
      </c>
    </row>
    <row r="500">
      <c r="A500" s="92" t="n"/>
      <c r="B500" s="55" t="n"/>
      <c r="C500" s="55" t="n"/>
      <c r="D500" s="55" t="n"/>
      <c r="E500" s="93" t="n"/>
      <c r="F500" s="94" t="n"/>
      <c r="G500" s="94" t="n"/>
      <c r="H500" s="94" t="n"/>
      <c r="I500" s="94" t="n"/>
      <c r="J500" s="55" t="n"/>
      <c r="K500" s="95" t="n"/>
      <c r="L500" s="116">
        <f>IF($A500="","",DATE(YEAR($A500),MONTH($A500)+IF(AND(IFERROR(N(INDEX(Übersicht!$M$15:$M$22,MATCH($B500,Übersicht!$A$15:$A$22,0))),0)&gt;1,DAY($A500)&gt;=IFERROR(N(INDEX(Übersicht!$M$15:$M$22,MATCH($B500,Übersicht!$A$15:$A$22,0))),0)),1,0),1))</f>
        <v/>
      </c>
    </row>
    <row r="501">
      <c r="A501" s="92" t="n"/>
      <c r="B501" s="55" t="n"/>
      <c r="C501" s="55" t="n"/>
      <c r="D501" s="55" t="n"/>
      <c r="E501" s="93" t="n"/>
      <c r="F501" s="94" t="n"/>
      <c r="G501" s="94" t="n"/>
      <c r="H501" s="94" t="n"/>
      <c r="I501" s="94" t="n"/>
      <c r="J501" s="55" t="n"/>
      <c r="K501" s="95" t="n"/>
      <c r="L501" s="116">
        <f>IF($A501="","",DATE(YEAR($A501),MONTH($A501)+IF(AND(IFERROR(N(INDEX(Übersicht!$M$15:$M$22,MATCH($B501,Übersicht!$A$15:$A$22,0))),0)&gt;1,DAY($A501)&gt;=IFERROR(N(INDEX(Übersicht!$M$15:$M$22,MATCH($B501,Übersicht!$A$15:$A$22,0))),0)),1,0),1))</f>
        <v/>
      </c>
    </row>
    <row r="502">
      <c r="A502" s="92" t="n"/>
      <c r="B502" s="55" t="n"/>
      <c r="C502" s="55" t="n"/>
      <c r="D502" s="55" t="n"/>
      <c r="E502" s="93" t="n"/>
      <c r="F502" s="94" t="n"/>
      <c r="G502" s="94" t="n"/>
      <c r="H502" s="94" t="n"/>
      <c r="I502" s="94" t="n"/>
      <c r="J502" s="55" t="n"/>
      <c r="K502" s="95" t="n"/>
      <c r="L502" s="116">
        <f>IF($A502="","",DATE(YEAR($A502),MONTH($A502)+IF(AND(IFERROR(N(INDEX(Übersicht!$M$15:$M$22,MATCH($B502,Übersicht!$A$15:$A$22,0))),0)&gt;1,DAY($A502)&gt;=IFERROR(N(INDEX(Übersicht!$M$15:$M$22,MATCH($B502,Übersicht!$A$15:$A$22,0))),0)),1,0),1))</f>
        <v/>
      </c>
    </row>
    <row r="503">
      <c r="A503" s="92" t="n"/>
      <c r="B503" s="55" t="n"/>
      <c r="C503" s="55" t="n"/>
      <c r="D503" s="55" t="n"/>
      <c r="E503" s="93" t="n"/>
      <c r="F503" s="94" t="n"/>
      <c r="G503" s="94" t="n"/>
      <c r="H503" s="94" t="n"/>
      <c r="I503" s="94" t="n"/>
      <c r="J503" s="55" t="n"/>
      <c r="K503" s="95" t="n"/>
      <c r="L503" s="116">
        <f>IF($A503="","",DATE(YEAR($A503),MONTH($A503)+IF(AND(IFERROR(N(INDEX(Übersicht!$M$15:$M$22,MATCH($B503,Übersicht!$A$15:$A$22,0))),0)&gt;1,DAY($A503)&gt;=IFERROR(N(INDEX(Übersicht!$M$15:$M$22,MATCH($B503,Übersicht!$A$15:$A$22,0))),0)),1,0),1))</f>
        <v/>
      </c>
    </row>
    <row r="504">
      <c r="A504" s="92" t="n"/>
      <c r="B504" s="55" t="n"/>
      <c r="C504" s="55" t="n"/>
      <c r="D504" s="55" t="n"/>
      <c r="E504" s="93" t="n"/>
      <c r="F504" s="94" t="n"/>
      <c r="G504" s="94" t="n"/>
      <c r="H504" s="94" t="n"/>
      <c r="I504" s="94" t="n"/>
      <c r="J504" s="55" t="n"/>
      <c r="K504" s="95" t="n"/>
      <c r="L504" s="116">
        <f>IF($A504="","",DATE(YEAR($A504),MONTH($A504)+IF(AND(IFERROR(N(INDEX(Übersicht!$M$15:$M$22,MATCH($B504,Übersicht!$A$15:$A$22,0))),0)&gt;1,DAY($A504)&gt;=IFERROR(N(INDEX(Übersicht!$M$15:$M$22,MATCH($B504,Übersicht!$A$15:$A$22,0))),0)),1,0),1))</f>
        <v/>
      </c>
    </row>
    <row r="505">
      <c r="A505" s="92" t="n"/>
      <c r="B505" s="55" t="n"/>
      <c r="C505" s="55" t="n"/>
      <c r="D505" s="55" t="n"/>
      <c r="E505" s="93" t="n"/>
      <c r="F505" s="94" t="n"/>
      <c r="G505" s="94" t="n"/>
      <c r="H505" s="94" t="n"/>
      <c r="I505" s="94" t="n"/>
      <c r="J505" s="55" t="n"/>
      <c r="K505" s="95" t="n"/>
      <c r="L505" s="116">
        <f>IF($A505="","",DATE(YEAR($A505),MONTH($A505)+IF(AND(IFERROR(N(INDEX(Übersicht!$M$15:$M$22,MATCH($B505,Übersicht!$A$15:$A$22,0))),0)&gt;1,DAY($A505)&gt;=IFERROR(N(INDEX(Übersicht!$M$15:$M$22,MATCH($B505,Übersicht!$A$15:$A$22,0))),0)),1,0),1))</f>
        <v/>
      </c>
    </row>
    <row r="506">
      <c r="A506" s="92" t="n"/>
      <c r="B506" s="55" t="n"/>
      <c r="C506" s="55" t="n"/>
      <c r="D506" s="55" t="n"/>
      <c r="E506" s="93" t="n"/>
      <c r="F506" s="94" t="n"/>
      <c r="G506" s="94" t="n"/>
      <c r="H506" s="94" t="n"/>
      <c r="I506" s="94" t="n"/>
      <c r="J506" s="55" t="n"/>
      <c r="K506" s="95" t="n"/>
      <c r="L506" s="116">
        <f>IF($A506="","",DATE(YEAR($A506),MONTH($A506)+IF(AND(IFERROR(N(INDEX(Übersicht!$M$15:$M$22,MATCH($B506,Übersicht!$A$15:$A$22,0))),0)&gt;1,DAY($A506)&gt;=IFERROR(N(INDEX(Übersicht!$M$15:$M$22,MATCH($B506,Übersicht!$A$15:$A$22,0))),0)),1,0),1))</f>
        <v/>
      </c>
    </row>
    <row r="507">
      <c r="A507" s="92" t="n"/>
      <c r="B507" s="55" t="n"/>
      <c r="C507" s="55" t="n"/>
      <c r="D507" s="55" t="n"/>
      <c r="E507" s="93" t="n"/>
      <c r="F507" s="94" t="n"/>
      <c r="G507" s="94" t="n"/>
      <c r="H507" s="94" t="n"/>
      <c r="I507" s="94" t="n"/>
      <c r="J507" s="55" t="n"/>
      <c r="K507" s="95" t="n"/>
      <c r="L507" s="116">
        <f>IF($A507="","",DATE(YEAR($A507),MONTH($A507)+IF(AND(IFERROR(N(INDEX(Übersicht!$M$15:$M$22,MATCH($B507,Übersicht!$A$15:$A$22,0))),0)&gt;1,DAY($A507)&gt;=IFERROR(N(INDEX(Übersicht!$M$15:$M$22,MATCH($B507,Übersicht!$A$15:$A$22,0))),0)),1,0),1))</f>
        <v/>
      </c>
    </row>
    <row r="508">
      <c r="A508" s="92" t="n"/>
      <c r="B508" s="55" t="n"/>
      <c r="C508" s="55" t="n"/>
      <c r="D508" s="55" t="n"/>
      <c r="E508" s="93" t="n"/>
      <c r="F508" s="94" t="n"/>
      <c r="G508" s="94" t="n"/>
      <c r="H508" s="94" t="n"/>
      <c r="I508" s="94" t="n"/>
      <c r="J508" s="55" t="n"/>
      <c r="K508" s="95" t="n"/>
      <c r="L508" s="116">
        <f>IF($A508="","",DATE(YEAR($A508),MONTH($A508)+IF(AND(IFERROR(N(INDEX(Übersicht!$M$15:$M$22,MATCH($B508,Übersicht!$A$15:$A$22,0))),0)&gt;1,DAY($A508)&gt;=IFERROR(N(INDEX(Übersicht!$M$15:$M$22,MATCH($B508,Übersicht!$A$15:$A$22,0))),0)),1,0),1))</f>
        <v/>
      </c>
    </row>
    <row r="509">
      <c r="A509" s="92" t="n"/>
      <c r="B509" s="55" t="n"/>
      <c r="C509" s="55" t="n"/>
      <c r="D509" s="55" t="n"/>
      <c r="E509" s="93" t="n"/>
      <c r="F509" s="94" t="n"/>
      <c r="G509" s="94" t="n"/>
      <c r="H509" s="94" t="n"/>
      <c r="I509" s="94" t="n"/>
      <c r="J509" s="55" t="n"/>
      <c r="K509" s="95" t="n"/>
      <c r="L509" s="116">
        <f>IF($A509="","",DATE(YEAR($A509),MONTH($A509)+IF(AND(IFERROR(N(INDEX(Übersicht!$M$15:$M$22,MATCH($B509,Übersicht!$A$15:$A$22,0))),0)&gt;1,DAY($A509)&gt;=IFERROR(N(INDEX(Übersicht!$M$15:$M$22,MATCH($B509,Übersicht!$A$15:$A$22,0))),0)),1,0),1))</f>
        <v/>
      </c>
    </row>
    <row r="510">
      <c r="A510" s="92" t="n"/>
      <c r="B510" s="55" t="n"/>
      <c r="C510" s="55" t="n"/>
      <c r="D510" s="55" t="n"/>
      <c r="E510" s="93" t="n"/>
      <c r="F510" s="94" t="n"/>
      <c r="G510" s="94" t="n"/>
      <c r="H510" s="94" t="n"/>
      <c r="I510" s="94" t="n"/>
      <c r="J510" s="55" t="n"/>
      <c r="K510" s="95" t="n"/>
      <c r="L510" s="116">
        <f>IF($A510="","",DATE(YEAR($A510),MONTH($A510)+IF(AND(IFERROR(N(INDEX(Übersicht!$M$15:$M$22,MATCH($B510,Übersicht!$A$15:$A$22,0))),0)&gt;1,DAY($A510)&gt;=IFERROR(N(INDEX(Übersicht!$M$15:$M$22,MATCH($B510,Übersicht!$A$15:$A$22,0))),0)),1,0),1))</f>
        <v/>
      </c>
    </row>
    <row r="511">
      <c r="A511" s="92" t="n"/>
      <c r="B511" s="55" t="n"/>
      <c r="C511" s="55" t="n"/>
      <c r="D511" s="55" t="n"/>
      <c r="E511" s="93" t="n"/>
      <c r="F511" s="94" t="n"/>
      <c r="G511" s="94" t="n"/>
      <c r="H511" s="94" t="n"/>
      <c r="I511" s="94" t="n"/>
      <c r="J511" s="55" t="n"/>
      <c r="K511" s="95" t="n"/>
      <c r="L511" s="116">
        <f>IF($A511="","",DATE(YEAR($A511),MONTH($A511)+IF(AND(IFERROR(N(INDEX(Übersicht!$M$15:$M$22,MATCH($B511,Übersicht!$A$15:$A$22,0))),0)&gt;1,DAY($A511)&gt;=IFERROR(N(INDEX(Übersicht!$M$15:$M$22,MATCH($B511,Übersicht!$A$15:$A$22,0))),0)),1,0),1))</f>
        <v/>
      </c>
    </row>
    <row r="512">
      <c r="A512" s="92" t="n"/>
      <c r="B512" s="55" t="n"/>
      <c r="C512" s="55" t="n"/>
      <c r="D512" s="55" t="n"/>
      <c r="E512" s="93" t="n"/>
      <c r="F512" s="94" t="n"/>
      <c r="G512" s="94" t="n"/>
      <c r="H512" s="94" t="n"/>
      <c r="I512" s="94" t="n"/>
      <c r="J512" s="55" t="n"/>
      <c r="K512" s="95" t="n"/>
      <c r="L512" s="116">
        <f>IF($A512="","",DATE(YEAR($A512),MONTH($A512)+IF(AND(IFERROR(N(INDEX(Übersicht!$M$15:$M$22,MATCH($B512,Übersicht!$A$15:$A$22,0))),0)&gt;1,DAY($A512)&gt;=IFERROR(N(INDEX(Übersicht!$M$15:$M$22,MATCH($B512,Übersicht!$A$15:$A$22,0))),0)),1,0),1))</f>
        <v/>
      </c>
    </row>
    <row r="513">
      <c r="A513" s="92" t="n"/>
      <c r="B513" s="55" t="n"/>
      <c r="C513" s="55" t="n"/>
      <c r="D513" s="55" t="n"/>
      <c r="E513" s="93" t="n"/>
      <c r="F513" s="94" t="n"/>
      <c r="G513" s="94" t="n"/>
      <c r="H513" s="94" t="n"/>
      <c r="I513" s="94" t="n"/>
      <c r="J513" s="55" t="n"/>
      <c r="K513" s="95" t="n"/>
      <c r="L513" s="116">
        <f>IF($A513="","",DATE(YEAR($A513),MONTH($A513)+IF(AND(IFERROR(N(INDEX(Übersicht!$M$15:$M$22,MATCH($B513,Übersicht!$A$15:$A$22,0))),0)&gt;1,DAY($A513)&gt;=IFERROR(N(INDEX(Übersicht!$M$15:$M$22,MATCH($B513,Übersicht!$A$15:$A$22,0))),0)),1,0),1))</f>
        <v/>
      </c>
    </row>
    <row r="514">
      <c r="A514" s="92" t="n"/>
      <c r="B514" s="55" t="n"/>
      <c r="C514" s="55" t="n"/>
      <c r="D514" s="55" t="n"/>
      <c r="E514" s="93" t="n"/>
      <c r="F514" s="94" t="n"/>
      <c r="G514" s="94" t="n"/>
      <c r="H514" s="94" t="n"/>
      <c r="I514" s="94" t="n"/>
      <c r="J514" s="55" t="n"/>
      <c r="K514" s="95" t="n"/>
      <c r="L514" s="116">
        <f>IF($A514="","",DATE(YEAR($A514),MONTH($A514)+IF(AND(IFERROR(N(INDEX(Übersicht!$M$15:$M$22,MATCH($B514,Übersicht!$A$15:$A$22,0))),0)&gt;1,DAY($A514)&gt;=IFERROR(N(INDEX(Übersicht!$M$15:$M$22,MATCH($B514,Übersicht!$A$15:$A$22,0))),0)),1,0),1))</f>
        <v/>
      </c>
    </row>
    <row r="515">
      <c r="A515" s="92" t="n"/>
      <c r="B515" s="55" t="n"/>
      <c r="C515" s="55" t="n"/>
      <c r="D515" s="55" t="n"/>
      <c r="E515" s="93" t="n"/>
      <c r="F515" s="94" t="n"/>
      <c r="G515" s="94" t="n"/>
      <c r="H515" s="94" t="n"/>
      <c r="I515" s="94" t="n"/>
      <c r="J515" s="55" t="n"/>
      <c r="K515" s="95" t="n"/>
      <c r="L515" s="116">
        <f>IF($A515="","",DATE(YEAR($A515),MONTH($A515)+IF(AND(IFERROR(N(INDEX(Übersicht!$M$15:$M$22,MATCH($B515,Übersicht!$A$15:$A$22,0))),0)&gt;1,DAY($A515)&gt;=IFERROR(N(INDEX(Übersicht!$M$15:$M$22,MATCH($B515,Übersicht!$A$15:$A$22,0))),0)),1,0),1))</f>
        <v/>
      </c>
    </row>
    <row r="516">
      <c r="A516" s="92" t="n"/>
      <c r="B516" s="55" t="n"/>
      <c r="C516" s="55" t="n"/>
      <c r="D516" s="55" t="n"/>
      <c r="E516" s="93" t="n"/>
      <c r="F516" s="94" t="n"/>
      <c r="G516" s="94" t="n"/>
      <c r="H516" s="94" t="n"/>
      <c r="I516" s="94" t="n"/>
      <c r="J516" s="55" t="n"/>
      <c r="K516" s="95" t="n"/>
      <c r="L516" s="116">
        <f>IF($A516="","",DATE(YEAR($A516),MONTH($A516)+IF(AND(IFERROR(N(INDEX(Übersicht!$M$15:$M$22,MATCH($B516,Übersicht!$A$15:$A$22,0))),0)&gt;1,DAY($A516)&gt;=IFERROR(N(INDEX(Übersicht!$M$15:$M$22,MATCH($B516,Übersicht!$A$15:$A$22,0))),0)),1,0),1))</f>
        <v/>
      </c>
    </row>
    <row r="517">
      <c r="A517" s="92" t="n"/>
      <c r="B517" s="55" t="n"/>
      <c r="C517" s="55" t="n"/>
      <c r="D517" s="55" t="n"/>
      <c r="E517" s="93" t="n"/>
      <c r="F517" s="94" t="n"/>
      <c r="G517" s="94" t="n"/>
      <c r="H517" s="94" t="n"/>
      <c r="I517" s="94" t="n"/>
      <c r="J517" s="55" t="n"/>
      <c r="K517" s="95" t="n"/>
      <c r="L517" s="116">
        <f>IF($A517="","",DATE(YEAR($A517),MONTH($A517)+IF(AND(IFERROR(N(INDEX(Übersicht!$M$15:$M$22,MATCH($B517,Übersicht!$A$15:$A$22,0))),0)&gt;1,DAY($A517)&gt;=IFERROR(N(INDEX(Übersicht!$M$15:$M$22,MATCH($B517,Übersicht!$A$15:$A$22,0))),0)),1,0),1))</f>
        <v/>
      </c>
    </row>
    <row r="518">
      <c r="A518" s="92" t="n"/>
      <c r="B518" s="55" t="n"/>
      <c r="C518" s="55" t="n"/>
      <c r="D518" s="55" t="n"/>
      <c r="E518" s="93" t="n"/>
      <c r="F518" s="94" t="n"/>
      <c r="G518" s="94" t="n"/>
      <c r="H518" s="94" t="n"/>
      <c r="I518" s="94" t="n"/>
      <c r="J518" s="55" t="n"/>
      <c r="K518" s="95" t="n"/>
      <c r="L518" s="116">
        <f>IF($A518="","",DATE(YEAR($A518),MONTH($A518)+IF(AND(IFERROR(N(INDEX(Übersicht!$M$15:$M$22,MATCH($B518,Übersicht!$A$15:$A$22,0))),0)&gt;1,DAY($A518)&gt;=IFERROR(N(INDEX(Übersicht!$M$15:$M$22,MATCH($B518,Übersicht!$A$15:$A$22,0))),0)),1,0),1))</f>
        <v/>
      </c>
    </row>
    <row r="519">
      <c r="A519" s="92" t="n"/>
      <c r="B519" s="55" t="n"/>
      <c r="C519" s="55" t="n"/>
      <c r="D519" s="55" t="n"/>
      <c r="E519" s="93" t="n"/>
      <c r="F519" s="94" t="n"/>
      <c r="G519" s="94" t="n"/>
      <c r="H519" s="94" t="n"/>
      <c r="I519" s="94" t="n"/>
      <c r="J519" s="55" t="n"/>
      <c r="K519" s="95" t="n"/>
      <c r="L519" s="116">
        <f>IF($A519="","",DATE(YEAR($A519),MONTH($A519)+IF(AND(IFERROR(N(INDEX(Übersicht!$M$15:$M$22,MATCH($B519,Übersicht!$A$15:$A$22,0))),0)&gt;1,DAY($A519)&gt;=IFERROR(N(INDEX(Übersicht!$M$15:$M$22,MATCH($B519,Übersicht!$A$15:$A$22,0))),0)),1,0),1))</f>
        <v/>
      </c>
    </row>
    <row r="520">
      <c r="A520" s="92" t="n"/>
      <c r="B520" s="55" t="n"/>
      <c r="C520" s="55" t="n"/>
      <c r="D520" s="55" t="n"/>
      <c r="E520" s="93" t="n"/>
      <c r="F520" s="94" t="n"/>
      <c r="G520" s="94" t="n"/>
      <c r="H520" s="94" t="n"/>
      <c r="I520" s="94" t="n"/>
      <c r="J520" s="55" t="n"/>
      <c r="K520" s="95" t="n"/>
      <c r="L520" s="116">
        <f>IF($A520="","",DATE(YEAR($A520),MONTH($A520)+IF(AND(IFERROR(N(INDEX(Übersicht!$M$15:$M$22,MATCH($B520,Übersicht!$A$15:$A$22,0))),0)&gt;1,DAY($A520)&gt;=IFERROR(N(INDEX(Übersicht!$M$15:$M$22,MATCH($B520,Übersicht!$A$15:$A$22,0))),0)),1,0),1))</f>
        <v/>
      </c>
    </row>
    <row r="521">
      <c r="A521" s="92" t="n"/>
      <c r="B521" s="55" t="n"/>
      <c r="C521" s="55" t="n"/>
      <c r="D521" s="55" t="n"/>
      <c r="E521" s="93" t="n"/>
      <c r="F521" s="94" t="n"/>
      <c r="G521" s="94" t="n"/>
      <c r="H521" s="94" t="n"/>
      <c r="I521" s="94" t="n"/>
      <c r="J521" s="55" t="n"/>
      <c r="K521" s="95" t="n"/>
      <c r="L521" s="116">
        <f>IF($A521="","",DATE(YEAR($A521),MONTH($A521)+IF(AND(IFERROR(N(INDEX(Übersicht!$M$15:$M$22,MATCH($B521,Übersicht!$A$15:$A$22,0))),0)&gt;1,DAY($A521)&gt;=IFERROR(N(INDEX(Übersicht!$M$15:$M$22,MATCH($B521,Übersicht!$A$15:$A$22,0))),0)),1,0),1))</f>
        <v/>
      </c>
    </row>
    <row r="522">
      <c r="A522" s="92" t="n"/>
      <c r="B522" s="55" t="n"/>
      <c r="C522" s="55" t="n"/>
      <c r="D522" s="55" t="n"/>
      <c r="E522" s="93" t="n"/>
      <c r="F522" s="94" t="n"/>
      <c r="G522" s="94" t="n"/>
      <c r="H522" s="94" t="n"/>
      <c r="I522" s="94" t="n"/>
      <c r="J522" s="55" t="n"/>
      <c r="K522" s="95" t="n"/>
      <c r="L522" s="116">
        <f>IF($A522="","",DATE(YEAR($A522),MONTH($A522)+IF(AND(IFERROR(N(INDEX(Übersicht!$M$15:$M$22,MATCH($B522,Übersicht!$A$15:$A$22,0))),0)&gt;1,DAY($A522)&gt;=IFERROR(N(INDEX(Übersicht!$M$15:$M$22,MATCH($B522,Übersicht!$A$15:$A$22,0))),0)),1,0),1))</f>
        <v/>
      </c>
    </row>
    <row r="523">
      <c r="A523" s="92" t="n"/>
      <c r="B523" s="55" t="n"/>
      <c r="C523" s="55" t="n"/>
      <c r="D523" s="55" t="n"/>
      <c r="E523" s="93" t="n"/>
      <c r="F523" s="94" t="n"/>
      <c r="G523" s="94" t="n"/>
      <c r="H523" s="94" t="n"/>
      <c r="I523" s="94" t="n"/>
      <c r="J523" s="55" t="n"/>
      <c r="K523" s="95" t="n"/>
      <c r="L523" s="116">
        <f>IF($A523="","",DATE(YEAR($A523),MONTH($A523)+IF(AND(IFERROR(N(INDEX(Übersicht!$M$15:$M$22,MATCH($B523,Übersicht!$A$15:$A$22,0))),0)&gt;1,DAY($A523)&gt;=IFERROR(N(INDEX(Übersicht!$M$15:$M$22,MATCH($B523,Übersicht!$A$15:$A$22,0))),0)),1,0),1))</f>
        <v/>
      </c>
    </row>
    <row r="524">
      <c r="A524" s="92" t="n"/>
      <c r="B524" s="55" t="n"/>
      <c r="C524" s="55" t="n"/>
      <c r="D524" s="55" t="n"/>
      <c r="E524" s="93" t="n"/>
      <c r="F524" s="94" t="n"/>
      <c r="G524" s="94" t="n"/>
      <c r="H524" s="94" t="n"/>
      <c r="I524" s="94" t="n"/>
      <c r="J524" s="55" t="n"/>
      <c r="K524" s="95" t="n"/>
      <c r="L524" s="116">
        <f>IF($A524="","",DATE(YEAR($A524),MONTH($A524)+IF(AND(IFERROR(N(INDEX(Übersicht!$M$15:$M$22,MATCH($B524,Übersicht!$A$15:$A$22,0))),0)&gt;1,DAY($A524)&gt;=IFERROR(N(INDEX(Übersicht!$M$15:$M$22,MATCH($B524,Übersicht!$A$15:$A$22,0))),0)),1,0),1))</f>
        <v/>
      </c>
    </row>
    <row r="525">
      <c r="A525" s="92" t="n"/>
      <c r="B525" s="55" t="n"/>
      <c r="C525" s="55" t="n"/>
      <c r="D525" s="55" t="n"/>
      <c r="E525" s="93" t="n"/>
      <c r="F525" s="94" t="n"/>
      <c r="G525" s="94" t="n"/>
      <c r="H525" s="94" t="n"/>
      <c r="I525" s="94" t="n"/>
      <c r="J525" s="55" t="n"/>
      <c r="K525" s="95" t="n"/>
      <c r="L525" s="116">
        <f>IF($A525="","",DATE(YEAR($A525),MONTH($A525)+IF(AND(IFERROR(N(INDEX(Übersicht!$M$15:$M$22,MATCH($B525,Übersicht!$A$15:$A$22,0))),0)&gt;1,DAY($A525)&gt;=IFERROR(N(INDEX(Übersicht!$M$15:$M$22,MATCH($B525,Übersicht!$A$15:$A$22,0))),0)),1,0),1))</f>
        <v/>
      </c>
    </row>
    <row r="526">
      <c r="A526" s="92" t="n"/>
      <c r="B526" s="55" t="n"/>
      <c r="C526" s="55" t="n"/>
      <c r="D526" s="55" t="n"/>
      <c r="E526" s="93" t="n"/>
      <c r="F526" s="94" t="n"/>
      <c r="G526" s="94" t="n"/>
      <c r="H526" s="94" t="n"/>
      <c r="I526" s="94" t="n"/>
      <c r="J526" s="55" t="n"/>
      <c r="K526" s="95" t="n"/>
      <c r="L526" s="116">
        <f>IF($A526="","",DATE(YEAR($A526),MONTH($A526)+IF(AND(IFERROR(N(INDEX(Übersicht!$M$15:$M$22,MATCH($B526,Übersicht!$A$15:$A$22,0))),0)&gt;1,DAY($A526)&gt;=IFERROR(N(INDEX(Übersicht!$M$15:$M$22,MATCH($B526,Übersicht!$A$15:$A$22,0))),0)),1,0),1))</f>
        <v/>
      </c>
    </row>
    <row r="527">
      <c r="A527" s="92" t="n"/>
      <c r="B527" s="55" t="n"/>
      <c r="C527" s="55" t="n"/>
      <c r="D527" s="55" t="n"/>
      <c r="E527" s="93" t="n"/>
      <c r="F527" s="94" t="n"/>
      <c r="G527" s="94" t="n"/>
      <c r="H527" s="94" t="n"/>
      <c r="I527" s="94" t="n"/>
      <c r="J527" s="55" t="n"/>
      <c r="K527" s="95" t="n"/>
      <c r="L527" s="116">
        <f>IF($A527="","",DATE(YEAR($A527),MONTH($A527)+IF(AND(IFERROR(N(INDEX(Übersicht!$M$15:$M$22,MATCH($B527,Übersicht!$A$15:$A$22,0))),0)&gt;1,DAY($A527)&gt;=IFERROR(N(INDEX(Übersicht!$M$15:$M$22,MATCH($B527,Übersicht!$A$15:$A$22,0))),0)),1,0),1))</f>
        <v/>
      </c>
    </row>
    <row r="528">
      <c r="A528" s="92" t="n"/>
      <c r="B528" s="55" t="n"/>
      <c r="C528" s="55" t="n"/>
      <c r="D528" s="55" t="n"/>
      <c r="E528" s="93" t="n"/>
      <c r="F528" s="94" t="n"/>
      <c r="G528" s="94" t="n"/>
      <c r="H528" s="94" t="n"/>
      <c r="I528" s="94" t="n"/>
      <c r="J528" s="55" t="n"/>
      <c r="K528" s="95" t="n"/>
      <c r="L528" s="116">
        <f>IF($A528="","",DATE(YEAR($A528),MONTH($A528)+IF(AND(IFERROR(N(INDEX(Übersicht!$M$15:$M$22,MATCH($B528,Übersicht!$A$15:$A$22,0))),0)&gt;1,DAY($A528)&gt;=IFERROR(N(INDEX(Übersicht!$M$15:$M$22,MATCH($B528,Übersicht!$A$15:$A$22,0))),0)),1,0),1))</f>
        <v/>
      </c>
    </row>
    <row r="529">
      <c r="A529" s="92" t="n"/>
      <c r="B529" s="55" t="n"/>
      <c r="C529" s="55" t="n"/>
      <c r="D529" s="55" t="n"/>
      <c r="E529" s="93" t="n"/>
      <c r="F529" s="94" t="n"/>
      <c r="G529" s="94" t="n"/>
      <c r="H529" s="94" t="n"/>
      <c r="I529" s="94" t="n"/>
      <c r="J529" s="55" t="n"/>
      <c r="K529" s="95" t="n"/>
      <c r="L529" s="116">
        <f>IF($A529="","",DATE(YEAR($A529),MONTH($A529)+IF(AND(IFERROR(N(INDEX(Übersicht!$M$15:$M$22,MATCH($B529,Übersicht!$A$15:$A$22,0))),0)&gt;1,DAY($A529)&gt;=IFERROR(N(INDEX(Übersicht!$M$15:$M$22,MATCH($B529,Übersicht!$A$15:$A$22,0))),0)),1,0),1))</f>
        <v/>
      </c>
    </row>
    <row r="530">
      <c r="A530" s="92" t="n"/>
      <c r="B530" s="55" t="n"/>
      <c r="C530" s="55" t="n"/>
      <c r="D530" s="55" t="n"/>
      <c r="E530" s="93" t="n"/>
      <c r="F530" s="94" t="n"/>
      <c r="G530" s="94" t="n"/>
      <c r="H530" s="94" t="n"/>
      <c r="I530" s="94" t="n"/>
      <c r="J530" s="55" t="n"/>
      <c r="K530" s="95" t="n"/>
      <c r="L530" s="116">
        <f>IF($A530="","",DATE(YEAR($A530),MONTH($A530)+IF(AND(IFERROR(N(INDEX(Übersicht!$M$15:$M$22,MATCH($B530,Übersicht!$A$15:$A$22,0))),0)&gt;1,DAY($A530)&gt;=IFERROR(N(INDEX(Übersicht!$M$15:$M$22,MATCH($B530,Übersicht!$A$15:$A$22,0))),0)),1,0),1))</f>
        <v/>
      </c>
    </row>
    <row r="531">
      <c r="A531" s="92" t="n"/>
      <c r="B531" s="55" t="n"/>
      <c r="C531" s="55" t="n"/>
      <c r="D531" s="55" t="n"/>
      <c r="E531" s="93" t="n"/>
      <c r="F531" s="94" t="n"/>
      <c r="G531" s="94" t="n"/>
      <c r="H531" s="94" t="n"/>
      <c r="I531" s="94" t="n"/>
      <c r="J531" s="55" t="n"/>
      <c r="K531" s="95" t="n"/>
      <c r="L531" s="116">
        <f>IF($A531="","",DATE(YEAR($A531),MONTH($A531)+IF(AND(IFERROR(N(INDEX(Übersicht!$M$15:$M$22,MATCH($B531,Übersicht!$A$15:$A$22,0))),0)&gt;1,DAY($A531)&gt;=IFERROR(N(INDEX(Übersicht!$M$15:$M$22,MATCH($B531,Übersicht!$A$15:$A$22,0))),0)),1,0),1))</f>
        <v/>
      </c>
    </row>
    <row r="532">
      <c r="A532" s="92" t="n"/>
      <c r="B532" s="55" t="n"/>
      <c r="C532" s="55" t="n"/>
      <c r="D532" s="55" t="n"/>
      <c r="E532" s="93" t="n"/>
      <c r="F532" s="94" t="n"/>
      <c r="G532" s="94" t="n"/>
      <c r="H532" s="94" t="n"/>
      <c r="I532" s="94" t="n"/>
      <c r="J532" s="55" t="n"/>
      <c r="K532" s="95" t="n"/>
      <c r="L532" s="116">
        <f>IF($A532="","",DATE(YEAR($A532),MONTH($A532)+IF(AND(IFERROR(N(INDEX(Übersicht!$M$15:$M$22,MATCH($B532,Übersicht!$A$15:$A$22,0))),0)&gt;1,DAY($A532)&gt;=IFERROR(N(INDEX(Übersicht!$M$15:$M$22,MATCH($B532,Übersicht!$A$15:$A$22,0))),0)),1,0),1))</f>
        <v/>
      </c>
    </row>
    <row r="533">
      <c r="A533" s="92" t="n"/>
      <c r="B533" s="55" t="n"/>
      <c r="C533" s="55" t="n"/>
      <c r="D533" s="55" t="n"/>
      <c r="E533" s="93" t="n"/>
      <c r="F533" s="94" t="n"/>
      <c r="G533" s="94" t="n"/>
      <c r="H533" s="94" t="n"/>
      <c r="I533" s="94" t="n"/>
      <c r="J533" s="55" t="n"/>
      <c r="K533" s="95" t="n"/>
      <c r="L533" s="116">
        <f>IF($A533="","",DATE(YEAR($A533),MONTH($A533)+IF(AND(IFERROR(N(INDEX(Übersicht!$M$15:$M$22,MATCH($B533,Übersicht!$A$15:$A$22,0))),0)&gt;1,DAY($A533)&gt;=IFERROR(N(INDEX(Übersicht!$M$15:$M$22,MATCH($B533,Übersicht!$A$15:$A$22,0))),0)),1,0),1))</f>
        <v/>
      </c>
    </row>
    <row r="534">
      <c r="A534" s="92" t="n"/>
      <c r="B534" s="55" t="n"/>
      <c r="C534" s="55" t="n"/>
      <c r="D534" s="55" t="n"/>
      <c r="E534" s="93" t="n"/>
      <c r="F534" s="94" t="n"/>
      <c r="G534" s="94" t="n"/>
      <c r="H534" s="94" t="n"/>
      <c r="I534" s="94" t="n"/>
      <c r="J534" s="55" t="n"/>
      <c r="K534" s="95" t="n"/>
      <c r="L534" s="116">
        <f>IF($A534="","",DATE(YEAR($A534),MONTH($A534)+IF(AND(IFERROR(N(INDEX(Übersicht!$M$15:$M$22,MATCH($B534,Übersicht!$A$15:$A$22,0))),0)&gt;1,DAY($A534)&gt;=IFERROR(N(INDEX(Übersicht!$M$15:$M$22,MATCH($B534,Übersicht!$A$15:$A$22,0))),0)),1,0),1))</f>
        <v/>
      </c>
    </row>
    <row r="535">
      <c r="A535" s="92" t="n"/>
      <c r="B535" s="55" t="n"/>
      <c r="C535" s="55" t="n"/>
      <c r="D535" s="55" t="n"/>
      <c r="E535" s="93" t="n"/>
      <c r="F535" s="94" t="n"/>
      <c r="G535" s="94" t="n"/>
      <c r="H535" s="94" t="n"/>
      <c r="I535" s="94" t="n"/>
      <c r="J535" s="55" t="n"/>
      <c r="K535" s="95" t="n"/>
      <c r="L535" s="116">
        <f>IF($A535="","",DATE(YEAR($A535),MONTH($A535)+IF(AND(IFERROR(N(INDEX(Übersicht!$M$15:$M$22,MATCH($B535,Übersicht!$A$15:$A$22,0))),0)&gt;1,DAY($A535)&gt;=IFERROR(N(INDEX(Übersicht!$M$15:$M$22,MATCH($B535,Übersicht!$A$15:$A$22,0))),0)),1,0),1))</f>
        <v/>
      </c>
    </row>
    <row r="536">
      <c r="A536" s="92" t="n"/>
      <c r="B536" s="55" t="n"/>
      <c r="C536" s="55" t="n"/>
      <c r="D536" s="55" t="n"/>
      <c r="E536" s="93" t="n"/>
      <c r="F536" s="94" t="n"/>
      <c r="G536" s="94" t="n"/>
      <c r="H536" s="94" t="n"/>
      <c r="I536" s="94" t="n"/>
      <c r="J536" s="55" t="n"/>
      <c r="K536" s="95" t="n"/>
      <c r="L536" s="116">
        <f>IF($A536="","",DATE(YEAR($A536),MONTH($A536)+IF(AND(IFERROR(N(INDEX(Übersicht!$M$15:$M$22,MATCH($B536,Übersicht!$A$15:$A$22,0))),0)&gt;1,DAY($A536)&gt;=IFERROR(N(INDEX(Übersicht!$M$15:$M$22,MATCH($B536,Übersicht!$A$15:$A$22,0))),0)),1,0),1))</f>
        <v/>
      </c>
    </row>
    <row r="537">
      <c r="A537" s="92" t="n"/>
      <c r="B537" s="55" t="n"/>
      <c r="C537" s="55" t="n"/>
      <c r="D537" s="55" t="n"/>
      <c r="E537" s="93" t="n"/>
      <c r="F537" s="94" t="n"/>
      <c r="G537" s="94" t="n"/>
      <c r="H537" s="94" t="n"/>
      <c r="I537" s="94" t="n"/>
      <c r="J537" s="55" t="n"/>
      <c r="K537" s="95" t="n"/>
      <c r="L537" s="116">
        <f>IF($A537="","",DATE(YEAR($A537),MONTH($A537)+IF(AND(IFERROR(N(INDEX(Übersicht!$M$15:$M$22,MATCH($B537,Übersicht!$A$15:$A$22,0))),0)&gt;1,DAY($A537)&gt;=IFERROR(N(INDEX(Übersicht!$M$15:$M$22,MATCH($B537,Übersicht!$A$15:$A$22,0))),0)),1,0),1))</f>
        <v/>
      </c>
    </row>
    <row r="538">
      <c r="A538" s="92" t="n"/>
      <c r="B538" s="55" t="n"/>
      <c r="C538" s="55" t="n"/>
      <c r="D538" s="55" t="n"/>
      <c r="E538" s="93" t="n"/>
      <c r="F538" s="94" t="n"/>
      <c r="G538" s="94" t="n"/>
      <c r="H538" s="94" t="n"/>
      <c r="I538" s="94" t="n"/>
      <c r="J538" s="55" t="n"/>
      <c r="K538" s="95" t="n"/>
      <c r="L538" s="116">
        <f>IF($A538="","",DATE(YEAR($A538),MONTH($A538)+IF(AND(IFERROR(N(INDEX(Übersicht!$M$15:$M$22,MATCH($B538,Übersicht!$A$15:$A$22,0))),0)&gt;1,DAY($A538)&gt;=IFERROR(N(INDEX(Übersicht!$M$15:$M$22,MATCH($B538,Übersicht!$A$15:$A$22,0))),0)),1,0),1))</f>
        <v/>
      </c>
    </row>
    <row r="539">
      <c r="A539" s="92" t="n"/>
      <c r="B539" s="55" t="n"/>
      <c r="C539" s="55" t="n"/>
      <c r="D539" s="55" t="n"/>
      <c r="E539" s="93" t="n"/>
      <c r="F539" s="94" t="n"/>
      <c r="G539" s="94" t="n"/>
      <c r="H539" s="94" t="n"/>
      <c r="I539" s="94" t="n"/>
      <c r="J539" s="55" t="n"/>
      <c r="K539" s="95" t="n"/>
      <c r="L539" s="116">
        <f>IF($A539="","",DATE(YEAR($A539),MONTH($A539)+IF(AND(IFERROR(N(INDEX(Übersicht!$M$15:$M$22,MATCH($B539,Übersicht!$A$15:$A$22,0))),0)&gt;1,DAY($A539)&gt;=IFERROR(N(INDEX(Übersicht!$M$15:$M$22,MATCH($B539,Übersicht!$A$15:$A$22,0))),0)),1,0),1))</f>
        <v/>
      </c>
    </row>
    <row r="540">
      <c r="A540" s="92" t="n"/>
      <c r="B540" s="55" t="n"/>
      <c r="C540" s="55" t="n"/>
      <c r="D540" s="55" t="n"/>
      <c r="E540" s="93" t="n"/>
      <c r="F540" s="94" t="n"/>
      <c r="G540" s="94" t="n"/>
      <c r="H540" s="94" t="n"/>
      <c r="I540" s="94" t="n"/>
      <c r="J540" s="55" t="n"/>
      <c r="K540" s="95" t="n"/>
      <c r="L540" s="116">
        <f>IF($A540="","",DATE(YEAR($A540),MONTH($A540)+IF(AND(IFERROR(N(INDEX(Übersicht!$M$15:$M$22,MATCH($B540,Übersicht!$A$15:$A$22,0))),0)&gt;1,DAY($A540)&gt;=IFERROR(N(INDEX(Übersicht!$M$15:$M$22,MATCH($B540,Übersicht!$A$15:$A$22,0))),0)),1,0),1))</f>
        <v/>
      </c>
    </row>
    <row r="541">
      <c r="A541" s="92" t="n"/>
      <c r="B541" s="55" t="n"/>
      <c r="C541" s="55" t="n"/>
      <c r="D541" s="55" t="n"/>
      <c r="E541" s="93" t="n"/>
      <c r="F541" s="94" t="n"/>
      <c r="G541" s="94" t="n"/>
      <c r="H541" s="94" t="n"/>
      <c r="I541" s="94" t="n"/>
      <c r="J541" s="55" t="n"/>
      <c r="K541" s="95" t="n"/>
      <c r="L541" s="116">
        <f>IF($A541="","",DATE(YEAR($A541),MONTH($A541)+IF(AND(IFERROR(N(INDEX(Übersicht!$M$15:$M$22,MATCH($B541,Übersicht!$A$15:$A$22,0))),0)&gt;1,DAY($A541)&gt;=IFERROR(N(INDEX(Übersicht!$M$15:$M$22,MATCH($B541,Übersicht!$A$15:$A$22,0))),0)),1,0),1))</f>
        <v/>
      </c>
    </row>
    <row r="542">
      <c r="A542" s="92" t="n"/>
      <c r="B542" s="55" t="n"/>
      <c r="C542" s="55" t="n"/>
      <c r="D542" s="55" t="n"/>
      <c r="E542" s="93" t="n"/>
      <c r="F542" s="94" t="n"/>
      <c r="G542" s="94" t="n"/>
      <c r="H542" s="94" t="n"/>
      <c r="I542" s="94" t="n"/>
      <c r="J542" s="55" t="n"/>
      <c r="K542" s="95" t="n"/>
      <c r="L542" s="116">
        <f>IF($A542="","",DATE(YEAR($A542),MONTH($A542)+IF(AND(IFERROR(N(INDEX(Übersicht!$M$15:$M$22,MATCH($B542,Übersicht!$A$15:$A$22,0))),0)&gt;1,DAY($A542)&gt;=IFERROR(N(INDEX(Übersicht!$M$15:$M$22,MATCH($B542,Übersicht!$A$15:$A$22,0))),0)),1,0),1))</f>
        <v/>
      </c>
    </row>
    <row r="543">
      <c r="A543" s="92" t="n"/>
      <c r="B543" s="55" t="n"/>
      <c r="C543" s="55" t="n"/>
      <c r="D543" s="55" t="n"/>
      <c r="E543" s="93" t="n"/>
      <c r="F543" s="94" t="n"/>
      <c r="G543" s="94" t="n"/>
      <c r="H543" s="94" t="n"/>
      <c r="I543" s="94" t="n"/>
      <c r="J543" s="55" t="n"/>
      <c r="K543" s="95" t="n"/>
      <c r="L543" s="116">
        <f>IF($A543="","",DATE(YEAR($A543),MONTH($A543)+IF(AND(IFERROR(N(INDEX(Übersicht!$M$15:$M$22,MATCH($B543,Übersicht!$A$15:$A$22,0))),0)&gt;1,DAY($A543)&gt;=IFERROR(N(INDEX(Übersicht!$M$15:$M$22,MATCH($B543,Übersicht!$A$15:$A$22,0))),0)),1,0),1))</f>
        <v/>
      </c>
    </row>
    <row r="544">
      <c r="A544" s="92" t="n"/>
      <c r="B544" s="55" t="n"/>
      <c r="C544" s="55" t="n"/>
      <c r="D544" s="55" t="n"/>
      <c r="E544" s="93" t="n"/>
      <c r="F544" s="94" t="n"/>
      <c r="G544" s="94" t="n"/>
      <c r="H544" s="94" t="n"/>
      <c r="I544" s="94" t="n"/>
      <c r="J544" s="55" t="n"/>
      <c r="K544" s="95" t="n"/>
      <c r="L544" s="116">
        <f>IF($A544="","",DATE(YEAR($A544),MONTH($A544)+IF(AND(IFERROR(N(INDEX(Übersicht!$M$15:$M$22,MATCH($B544,Übersicht!$A$15:$A$22,0))),0)&gt;1,DAY($A544)&gt;=IFERROR(N(INDEX(Übersicht!$M$15:$M$22,MATCH($B544,Übersicht!$A$15:$A$22,0))),0)),1,0),1))</f>
        <v/>
      </c>
    </row>
    <row r="545">
      <c r="A545" s="92" t="n"/>
      <c r="B545" s="55" t="n"/>
      <c r="C545" s="55" t="n"/>
      <c r="D545" s="55" t="n"/>
      <c r="E545" s="93" t="n"/>
      <c r="F545" s="94" t="n"/>
      <c r="G545" s="94" t="n"/>
      <c r="H545" s="94" t="n"/>
      <c r="I545" s="94" t="n"/>
      <c r="J545" s="55" t="n"/>
      <c r="K545" s="95" t="n"/>
      <c r="L545" s="116">
        <f>IF($A545="","",DATE(YEAR($A545),MONTH($A545)+IF(AND(IFERROR(N(INDEX(Übersicht!$M$15:$M$22,MATCH($B545,Übersicht!$A$15:$A$22,0))),0)&gt;1,DAY($A545)&gt;=IFERROR(N(INDEX(Übersicht!$M$15:$M$22,MATCH($B545,Übersicht!$A$15:$A$22,0))),0)),1,0),1))</f>
        <v/>
      </c>
    </row>
    <row r="546">
      <c r="A546" s="92" t="n"/>
      <c r="B546" s="55" t="n"/>
      <c r="C546" s="55" t="n"/>
      <c r="D546" s="55" t="n"/>
      <c r="E546" s="93" t="n"/>
      <c r="F546" s="94" t="n"/>
      <c r="G546" s="94" t="n"/>
      <c r="H546" s="94" t="n"/>
      <c r="I546" s="94" t="n"/>
      <c r="J546" s="55" t="n"/>
      <c r="K546" s="95" t="n"/>
      <c r="L546" s="116">
        <f>IF($A546="","",DATE(YEAR($A546),MONTH($A546)+IF(AND(IFERROR(N(INDEX(Übersicht!$M$15:$M$22,MATCH($B546,Übersicht!$A$15:$A$22,0))),0)&gt;1,DAY($A546)&gt;=IFERROR(N(INDEX(Übersicht!$M$15:$M$22,MATCH($B546,Übersicht!$A$15:$A$22,0))),0)),1,0),1))</f>
        <v/>
      </c>
    </row>
    <row r="547">
      <c r="A547" s="92" t="n"/>
      <c r="B547" s="55" t="n"/>
      <c r="C547" s="55" t="n"/>
      <c r="D547" s="55" t="n"/>
      <c r="E547" s="93" t="n"/>
      <c r="F547" s="94" t="n"/>
      <c r="G547" s="94" t="n"/>
      <c r="H547" s="94" t="n"/>
      <c r="I547" s="94" t="n"/>
      <c r="J547" s="55" t="n"/>
      <c r="K547" s="95" t="n"/>
      <c r="L547" s="116">
        <f>IF($A547="","",DATE(YEAR($A547),MONTH($A547)+IF(AND(IFERROR(N(INDEX(Übersicht!$M$15:$M$22,MATCH($B547,Übersicht!$A$15:$A$22,0))),0)&gt;1,DAY($A547)&gt;=IFERROR(N(INDEX(Übersicht!$M$15:$M$22,MATCH($B547,Übersicht!$A$15:$A$22,0))),0)),1,0),1))</f>
        <v/>
      </c>
    </row>
    <row r="548">
      <c r="A548" s="92" t="n"/>
      <c r="B548" s="55" t="n"/>
      <c r="C548" s="55" t="n"/>
      <c r="D548" s="55" t="n"/>
      <c r="E548" s="93" t="n"/>
      <c r="F548" s="94" t="n"/>
      <c r="G548" s="94" t="n"/>
      <c r="H548" s="94" t="n"/>
      <c r="I548" s="94" t="n"/>
      <c r="J548" s="55" t="n"/>
      <c r="K548" s="95" t="n"/>
      <c r="L548" s="116">
        <f>IF($A548="","",DATE(YEAR($A548),MONTH($A548)+IF(AND(IFERROR(N(INDEX(Übersicht!$M$15:$M$22,MATCH($B548,Übersicht!$A$15:$A$22,0))),0)&gt;1,DAY($A548)&gt;=IFERROR(N(INDEX(Übersicht!$M$15:$M$22,MATCH($B548,Übersicht!$A$15:$A$22,0))),0)),1,0),1))</f>
        <v/>
      </c>
    </row>
    <row r="549">
      <c r="A549" s="92" t="n"/>
      <c r="B549" s="55" t="n"/>
      <c r="C549" s="55" t="n"/>
      <c r="D549" s="55" t="n"/>
      <c r="E549" s="93" t="n"/>
      <c r="F549" s="94" t="n"/>
      <c r="G549" s="94" t="n"/>
      <c r="H549" s="94" t="n"/>
      <c r="I549" s="94" t="n"/>
      <c r="J549" s="55" t="n"/>
      <c r="K549" s="95" t="n"/>
      <c r="L549" s="116">
        <f>IF($A549="","",DATE(YEAR($A549),MONTH($A549)+IF(AND(IFERROR(N(INDEX(Übersicht!$M$15:$M$22,MATCH($B549,Übersicht!$A$15:$A$22,0))),0)&gt;1,DAY($A549)&gt;=IFERROR(N(INDEX(Übersicht!$M$15:$M$22,MATCH($B549,Übersicht!$A$15:$A$22,0))),0)),1,0),1))</f>
        <v/>
      </c>
    </row>
    <row r="550">
      <c r="A550" s="92" t="n"/>
      <c r="B550" s="55" t="n"/>
      <c r="C550" s="55" t="n"/>
      <c r="D550" s="55" t="n"/>
      <c r="E550" s="93" t="n"/>
      <c r="F550" s="94" t="n"/>
      <c r="G550" s="94" t="n"/>
      <c r="H550" s="94" t="n"/>
      <c r="I550" s="94" t="n"/>
      <c r="J550" s="55" t="n"/>
      <c r="K550" s="95" t="n"/>
      <c r="L550" s="116">
        <f>IF($A550="","",DATE(YEAR($A550),MONTH($A550)+IF(AND(IFERROR(N(INDEX(Übersicht!$M$15:$M$22,MATCH($B550,Übersicht!$A$15:$A$22,0))),0)&gt;1,DAY($A550)&gt;=IFERROR(N(INDEX(Übersicht!$M$15:$M$22,MATCH($B550,Übersicht!$A$15:$A$22,0))),0)),1,0),1))</f>
        <v/>
      </c>
    </row>
    <row r="551">
      <c r="A551" s="92" t="n"/>
      <c r="B551" s="55" t="n"/>
      <c r="C551" s="55" t="n"/>
      <c r="D551" s="55" t="n"/>
      <c r="E551" s="93" t="n"/>
      <c r="F551" s="94" t="n"/>
      <c r="G551" s="94" t="n"/>
      <c r="H551" s="94" t="n"/>
      <c r="I551" s="94" t="n"/>
      <c r="J551" s="55" t="n"/>
      <c r="K551" s="95" t="n"/>
      <c r="L551" s="116">
        <f>IF($A551="","",DATE(YEAR($A551),MONTH($A551)+IF(AND(IFERROR(N(INDEX(Übersicht!$M$15:$M$22,MATCH($B551,Übersicht!$A$15:$A$22,0))),0)&gt;1,DAY($A551)&gt;=IFERROR(N(INDEX(Übersicht!$M$15:$M$22,MATCH($B551,Übersicht!$A$15:$A$22,0))),0)),1,0),1))</f>
        <v/>
      </c>
    </row>
    <row r="552">
      <c r="A552" s="92" t="n"/>
      <c r="B552" s="55" t="n"/>
      <c r="C552" s="55" t="n"/>
      <c r="D552" s="55" t="n"/>
      <c r="E552" s="93" t="n"/>
      <c r="F552" s="94" t="n"/>
      <c r="G552" s="94" t="n"/>
      <c r="H552" s="94" t="n"/>
      <c r="I552" s="94" t="n"/>
      <c r="J552" s="55" t="n"/>
      <c r="K552" s="95" t="n"/>
      <c r="L552" s="116">
        <f>IF($A552="","",DATE(YEAR($A552),MONTH($A552)+IF(AND(IFERROR(N(INDEX(Übersicht!$M$15:$M$22,MATCH($B552,Übersicht!$A$15:$A$22,0))),0)&gt;1,DAY($A552)&gt;=IFERROR(N(INDEX(Übersicht!$M$15:$M$22,MATCH($B552,Übersicht!$A$15:$A$22,0))),0)),1,0),1))</f>
        <v/>
      </c>
    </row>
    <row r="553">
      <c r="A553" s="92" t="n"/>
      <c r="B553" s="55" t="n"/>
      <c r="C553" s="55" t="n"/>
      <c r="D553" s="55" t="n"/>
      <c r="E553" s="93" t="n"/>
      <c r="F553" s="94" t="n"/>
      <c r="G553" s="94" t="n"/>
      <c r="H553" s="94" t="n"/>
      <c r="I553" s="94" t="n"/>
      <c r="J553" s="55" t="n"/>
      <c r="K553" s="95" t="n"/>
      <c r="L553" s="116">
        <f>IF($A553="","",DATE(YEAR($A553),MONTH($A553)+IF(AND(IFERROR(N(INDEX(Übersicht!$M$15:$M$22,MATCH($B553,Übersicht!$A$15:$A$22,0))),0)&gt;1,DAY($A553)&gt;=IFERROR(N(INDEX(Übersicht!$M$15:$M$22,MATCH($B553,Übersicht!$A$15:$A$22,0))),0)),1,0),1))</f>
        <v/>
      </c>
    </row>
    <row r="554">
      <c r="A554" s="92" t="n"/>
      <c r="B554" s="55" t="n"/>
      <c r="C554" s="55" t="n"/>
      <c r="D554" s="55" t="n"/>
      <c r="E554" s="93" t="n"/>
      <c r="F554" s="94" t="n"/>
      <c r="G554" s="94" t="n"/>
      <c r="H554" s="94" t="n"/>
      <c r="I554" s="94" t="n"/>
      <c r="J554" s="55" t="n"/>
      <c r="K554" s="95" t="n"/>
      <c r="L554" s="116">
        <f>IF($A554="","",DATE(YEAR($A554),MONTH($A554)+IF(AND(IFERROR(N(INDEX(Übersicht!$M$15:$M$22,MATCH($B554,Übersicht!$A$15:$A$22,0))),0)&gt;1,DAY($A554)&gt;=IFERROR(N(INDEX(Übersicht!$M$15:$M$22,MATCH($B554,Übersicht!$A$15:$A$22,0))),0)),1,0),1))</f>
        <v/>
      </c>
    </row>
    <row r="555">
      <c r="A555" s="92" t="n"/>
      <c r="B555" s="55" t="n"/>
      <c r="C555" s="55" t="n"/>
      <c r="D555" s="55" t="n"/>
      <c r="E555" s="93" t="n"/>
      <c r="F555" s="94" t="n"/>
      <c r="G555" s="94" t="n"/>
      <c r="H555" s="94" t="n"/>
      <c r="I555" s="94" t="n"/>
      <c r="J555" s="55" t="n"/>
      <c r="K555" s="95" t="n"/>
      <c r="L555" s="116">
        <f>IF($A555="","",DATE(YEAR($A555),MONTH($A555)+IF(AND(IFERROR(N(INDEX(Übersicht!$M$15:$M$22,MATCH($B555,Übersicht!$A$15:$A$22,0))),0)&gt;1,DAY($A555)&gt;=IFERROR(N(INDEX(Übersicht!$M$15:$M$22,MATCH($B555,Übersicht!$A$15:$A$22,0))),0)),1,0),1))</f>
        <v/>
      </c>
    </row>
    <row r="556">
      <c r="A556" s="92" t="n"/>
      <c r="B556" s="55" t="n"/>
      <c r="C556" s="55" t="n"/>
      <c r="D556" s="55" t="n"/>
      <c r="E556" s="93" t="n"/>
      <c r="F556" s="94" t="n"/>
      <c r="G556" s="94" t="n"/>
      <c r="H556" s="94" t="n"/>
      <c r="I556" s="94" t="n"/>
      <c r="J556" s="55" t="n"/>
      <c r="K556" s="95" t="n"/>
      <c r="L556" s="116">
        <f>IF($A556="","",DATE(YEAR($A556),MONTH($A556)+IF(AND(IFERROR(N(INDEX(Übersicht!$M$15:$M$22,MATCH($B556,Übersicht!$A$15:$A$22,0))),0)&gt;1,DAY($A556)&gt;=IFERROR(N(INDEX(Übersicht!$M$15:$M$22,MATCH($B556,Übersicht!$A$15:$A$22,0))),0)),1,0),1))</f>
        <v/>
      </c>
    </row>
    <row r="557">
      <c r="A557" s="92" t="n"/>
      <c r="B557" s="55" t="n"/>
      <c r="C557" s="55" t="n"/>
      <c r="D557" s="55" t="n"/>
      <c r="E557" s="93" t="n"/>
      <c r="F557" s="94" t="n"/>
      <c r="G557" s="94" t="n"/>
      <c r="H557" s="94" t="n"/>
      <c r="I557" s="94" t="n"/>
      <c r="J557" s="55" t="n"/>
      <c r="K557" s="95" t="n"/>
      <c r="L557" s="116">
        <f>IF($A557="","",DATE(YEAR($A557),MONTH($A557)+IF(AND(IFERROR(N(INDEX(Übersicht!$M$15:$M$22,MATCH($B557,Übersicht!$A$15:$A$22,0))),0)&gt;1,DAY($A557)&gt;=IFERROR(N(INDEX(Übersicht!$M$15:$M$22,MATCH($B557,Übersicht!$A$15:$A$22,0))),0)),1,0),1))</f>
        <v/>
      </c>
    </row>
    <row r="558">
      <c r="A558" s="92" t="n"/>
      <c r="B558" s="55" t="n"/>
      <c r="C558" s="55" t="n"/>
      <c r="D558" s="55" t="n"/>
      <c r="E558" s="93" t="n"/>
      <c r="F558" s="94" t="n"/>
      <c r="G558" s="94" t="n"/>
      <c r="H558" s="94" t="n"/>
      <c r="I558" s="94" t="n"/>
      <c r="J558" s="55" t="n"/>
      <c r="K558" s="95" t="n"/>
      <c r="L558" s="116">
        <f>IF($A558="","",DATE(YEAR($A558),MONTH($A558)+IF(AND(IFERROR(N(INDEX(Übersicht!$M$15:$M$22,MATCH($B558,Übersicht!$A$15:$A$22,0))),0)&gt;1,DAY($A558)&gt;=IFERROR(N(INDEX(Übersicht!$M$15:$M$22,MATCH($B558,Übersicht!$A$15:$A$22,0))),0)),1,0),1))</f>
        <v/>
      </c>
    </row>
    <row r="559">
      <c r="A559" s="92" t="n"/>
      <c r="B559" s="55" t="n"/>
      <c r="C559" s="55" t="n"/>
      <c r="D559" s="55" t="n"/>
      <c r="E559" s="93" t="n"/>
      <c r="F559" s="94" t="n"/>
      <c r="G559" s="94" t="n"/>
      <c r="H559" s="94" t="n"/>
      <c r="I559" s="94" t="n"/>
      <c r="J559" s="55" t="n"/>
      <c r="K559" s="95" t="n"/>
      <c r="L559" s="116">
        <f>IF($A559="","",DATE(YEAR($A559),MONTH($A559)+IF(AND(IFERROR(N(INDEX(Übersicht!$M$15:$M$22,MATCH($B559,Übersicht!$A$15:$A$22,0))),0)&gt;1,DAY($A559)&gt;=IFERROR(N(INDEX(Übersicht!$M$15:$M$22,MATCH($B559,Übersicht!$A$15:$A$22,0))),0)),1,0),1))</f>
        <v/>
      </c>
    </row>
    <row r="560">
      <c r="A560" s="92" t="n"/>
      <c r="B560" s="55" t="n"/>
      <c r="C560" s="55" t="n"/>
      <c r="D560" s="55" t="n"/>
      <c r="E560" s="93" t="n"/>
      <c r="F560" s="94" t="n"/>
      <c r="G560" s="94" t="n"/>
      <c r="H560" s="94" t="n"/>
      <c r="I560" s="94" t="n"/>
      <c r="J560" s="55" t="n"/>
      <c r="K560" s="95" t="n"/>
      <c r="L560" s="116">
        <f>IF($A560="","",DATE(YEAR($A560),MONTH($A560)+IF(AND(IFERROR(N(INDEX(Übersicht!$M$15:$M$22,MATCH($B560,Übersicht!$A$15:$A$22,0))),0)&gt;1,DAY($A560)&gt;=IFERROR(N(INDEX(Übersicht!$M$15:$M$22,MATCH($B560,Übersicht!$A$15:$A$22,0))),0)),1,0),1))</f>
        <v/>
      </c>
    </row>
    <row r="561">
      <c r="A561" s="92" t="n"/>
      <c r="B561" s="55" t="n"/>
      <c r="C561" s="55" t="n"/>
      <c r="D561" s="55" t="n"/>
      <c r="E561" s="93" t="n"/>
      <c r="F561" s="94" t="n"/>
      <c r="G561" s="94" t="n"/>
      <c r="H561" s="94" t="n"/>
      <c r="I561" s="94" t="n"/>
      <c r="J561" s="55" t="n"/>
      <c r="K561" s="95" t="n"/>
      <c r="L561" s="116">
        <f>IF($A561="","",DATE(YEAR($A561),MONTH($A561)+IF(AND(IFERROR(N(INDEX(Übersicht!$M$15:$M$22,MATCH($B561,Übersicht!$A$15:$A$22,0))),0)&gt;1,DAY($A561)&gt;=IFERROR(N(INDEX(Übersicht!$M$15:$M$22,MATCH($B561,Übersicht!$A$15:$A$22,0))),0)),1,0),1))</f>
        <v/>
      </c>
    </row>
    <row r="562">
      <c r="A562" s="92" t="n"/>
      <c r="B562" s="55" t="n"/>
      <c r="C562" s="55" t="n"/>
      <c r="D562" s="55" t="n"/>
      <c r="E562" s="93" t="n"/>
      <c r="F562" s="94" t="n"/>
      <c r="G562" s="94" t="n"/>
      <c r="H562" s="94" t="n"/>
      <c r="I562" s="94" t="n"/>
      <c r="J562" s="55" t="n"/>
      <c r="K562" s="95" t="n"/>
      <c r="L562" s="116">
        <f>IF($A562="","",DATE(YEAR($A562),MONTH($A562)+IF(AND(IFERROR(N(INDEX(Übersicht!$M$15:$M$22,MATCH($B562,Übersicht!$A$15:$A$22,0))),0)&gt;1,DAY($A562)&gt;=IFERROR(N(INDEX(Übersicht!$M$15:$M$22,MATCH($B562,Übersicht!$A$15:$A$22,0))),0)),1,0),1))</f>
        <v/>
      </c>
    </row>
    <row r="563">
      <c r="A563" s="92" t="n"/>
      <c r="B563" s="55" t="n"/>
      <c r="C563" s="55" t="n"/>
      <c r="D563" s="55" t="n"/>
      <c r="E563" s="93" t="n"/>
      <c r="F563" s="94" t="n"/>
      <c r="G563" s="94" t="n"/>
      <c r="H563" s="94" t="n"/>
      <c r="I563" s="94" t="n"/>
      <c r="J563" s="55" t="n"/>
      <c r="K563" s="95" t="n"/>
      <c r="L563" s="116">
        <f>IF($A563="","",DATE(YEAR($A563),MONTH($A563)+IF(AND(IFERROR(N(INDEX(Übersicht!$M$15:$M$22,MATCH($B563,Übersicht!$A$15:$A$22,0))),0)&gt;1,DAY($A563)&gt;=IFERROR(N(INDEX(Übersicht!$M$15:$M$22,MATCH($B563,Übersicht!$A$15:$A$22,0))),0)),1,0),1))</f>
        <v/>
      </c>
    </row>
    <row r="564">
      <c r="A564" s="92" t="n"/>
      <c r="B564" s="55" t="n"/>
      <c r="C564" s="55" t="n"/>
      <c r="D564" s="55" t="n"/>
      <c r="E564" s="93" t="n"/>
      <c r="F564" s="94" t="n"/>
      <c r="G564" s="94" t="n"/>
      <c r="H564" s="94" t="n"/>
      <c r="I564" s="94" t="n"/>
      <c r="J564" s="55" t="n"/>
      <c r="K564" s="95" t="n"/>
      <c r="L564" s="116">
        <f>IF($A564="","",DATE(YEAR($A564),MONTH($A564)+IF(AND(IFERROR(N(INDEX(Übersicht!$M$15:$M$22,MATCH($B564,Übersicht!$A$15:$A$22,0))),0)&gt;1,DAY($A564)&gt;=IFERROR(N(INDEX(Übersicht!$M$15:$M$22,MATCH($B564,Übersicht!$A$15:$A$22,0))),0)),1,0),1))</f>
        <v/>
      </c>
    </row>
    <row r="565">
      <c r="A565" s="92" t="n"/>
      <c r="B565" s="55" t="n"/>
      <c r="C565" s="55" t="n"/>
      <c r="D565" s="55" t="n"/>
      <c r="E565" s="93" t="n"/>
      <c r="F565" s="94" t="n"/>
      <c r="G565" s="94" t="n"/>
      <c r="H565" s="94" t="n"/>
      <c r="I565" s="94" t="n"/>
      <c r="J565" s="55" t="n"/>
      <c r="K565" s="95" t="n"/>
      <c r="L565" s="116">
        <f>IF($A565="","",DATE(YEAR($A565),MONTH($A565)+IF(AND(IFERROR(N(INDEX(Übersicht!$M$15:$M$22,MATCH($B565,Übersicht!$A$15:$A$22,0))),0)&gt;1,DAY($A565)&gt;=IFERROR(N(INDEX(Übersicht!$M$15:$M$22,MATCH($B565,Übersicht!$A$15:$A$22,0))),0)),1,0),1))</f>
        <v/>
      </c>
    </row>
    <row r="566">
      <c r="A566" s="92" t="n"/>
      <c r="B566" s="55" t="n"/>
      <c r="C566" s="55" t="n"/>
      <c r="D566" s="55" t="n"/>
      <c r="E566" s="93" t="n"/>
      <c r="F566" s="94" t="n"/>
      <c r="G566" s="94" t="n"/>
      <c r="H566" s="94" t="n"/>
      <c r="I566" s="94" t="n"/>
      <c r="J566" s="55" t="n"/>
      <c r="K566" s="95" t="n"/>
      <c r="L566" s="116">
        <f>IF($A566="","",DATE(YEAR($A566),MONTH($A566)+IF(AND(IFERROR(N(INDEX(Übersicht!$M$15:$M$22,MATCH($B566,Übersicht!$A$15:$A$22,0))),0)&gt;1,DAY($A566)&gt;=IFERROR(N(INDEX(Übersicht!$M$15:$M$22,MATCH($B566,Übersicht!$A$15:$A$22,0))),0)),1,0),1))</f>
        <v/>
      </c>
    </row>
    <row r="567">
      <c r="A567" s="92" t="n"/>
      <c r="B567" s="55" t="n"/>
      <c r="C567" s="55" t="n"/>
      <c r="D567" s="55" t="n"/>
      <c r="E567" s="93" t="n"/>
      <c r="F567" s="94" t="n"/>
      <c r="G567" s="94" t="n"/>
      <c r="H567" s="94" t="n"/>
      <c r="I567" s="94" t="n"/>
      <c r="J567" s="55" t="n"/>
      <c r="K567" s="95" t="n"/>
      <c r="L567" s="116">
        <f>IF($A567="","",DATE(YEAR($A567),MONTH($A567)+IF(AND(IFERROR(N(INDEX(Übersicht!$M$15:$M$22,MATCH($B567,Übersicht!$A$15:$A$22,0))),0)&gt;1,DAY($A567)&gt;=IFERROR(N(INDEX(Übersicht!$M$15:$M$22,MATCH($B567,Übersicht!$A$15:$A$22,0))),0)),1,0),1))</f>
        <v/>
      </c>
    </row>
    <row r="568">
      <c r="A568" s="92" t="n"/>
      <c r="B568" s="55" t="n"/>
      <c r="C568" s="55" t="n"/>
      <c r="D568" s="55" t="n"/>
      <c r="E568" s="93" t="n"/>
      <c r="F568" s="94" t="n"/>
      <c r="G568" s="94" t="n"/>
      <c r="H568" s="94" t="n"/>
      <c r="I568" s="94" t="n"/>
      <c r="J568" s="55" t="n"/>
      <c r="K568" s="95" t="n"/>
      <c r="L568" s="116">
        <f>IF($A568="","",DATE(YEAR($A568),MONTH($A568)+IF(AND(IFERROR(N(INDEX(Übersicht!$M$15:$M$22,MATCH($B568,Übersicht!$A$15:$A$22,0))),0)&gt;1,DAY($A568)&gt;=IFERROR(N(INDEX(Übersicht!$M$15:$M$22,MATCH($B568,Übersicht!$A$15:$A$22,0))),0)),1,0),1))</f>
        <v/>
      </c>
    </row>
    <row r="569">
      <c r="A569" s="92" t="n"/>
      <c r="B569" s="55" t="n"/>
      <c r="C569" s="55" t="n"/>
      <c r="D569" s="55" t="n"/>
      <c r="E569" s="93" t="n"/>
      <c r="F569" s="94" t="n"/>
      <c r="G569" s="94" t="n"/>
      <c r="H569" s="94" t="n"/>
      <c r="I569" s="94" t="n"/>
      <c r="J569" s="55" t="n"/>
      <c r="K569" s="95" t="n"/>
      <c r="L569" s="116">
        <f>IF($A569="","",DATE(YEAR($A569),MONTH($A569)+IF(AND(IFERROR(N(INDEX(Übersicht!$M$15:$M$22,MATCH($B569,Übersicht!$A$15:$A$22,0))),0)&gt;1,DAY($A569)&gt;=IFERROR(N(INDEX(Übersicht!$M$15:$M$22,MATCH($B569,Übersicht!$A$15:$A$22,0))),0)),1,0),1))</f>
        <v/>
      </c>
    </row>
    <row r="570">
      <c r="A570" s="92" t="n"/>
      <c r="B570" s="55" t="n"/>
      <c r="C570" s="55" t="n"/>
      <c r="D570" s="55" t="n"/>
      <c r="E570" s="93" t="n"/>
      <c r="F570" s="94" t="n"/>
      <c r="G570" s="94" t="n"/>
      <c r="H570" s="94" t="n"/>
      <c r="I570" s="94" t="n"/>
      <c r="J570" s="55" t="n"/>
      <c r="K570" s="95" t="n"/>
      <c r="L570" s="116">
        <f>IF($A570="","",DATE(YEAR($A570),MONTH($A570)+IF(AND(IFERROR(N(INDEX(Übersicht!$M$15:$M$22,MATCH($B570,Übersicht!$A$15:$A$22,0))),0)&gt;1,DAY($A570)&gt;=IFERROR(N(INDEX(Übersicht!$M$15:$M$22,MATCH($B570,Übersicht!$A$15:$A$22,0))),0)),1,0),1))</f>
        <v/>
      </c>
    </row>
    <row r="571">
      <c r="A571" s="92" t="n"/>
      <c r="B571" s="55" t="n"/>
      <c r="C571" s="55" t="n"/>
      <c r="D571" s="55" t="n"/>
      <c r="E571" s="93" t="n"/>
      <c r="F571" s="94" t="n"/>
      <c r="G571" s="94" t="n"/>
      <c r="H571" s="94" t="n"/>
      <c r="I571" s="94" t="n"/>
      <c r="J571" s="55" t="n"/>
      <c r="K571" s="95" t="n"/>
      <c r="L571" s="116">
        <f>IF($A571="","",DATE(YEAR($A571),MONTH($A571)+IF(AND(IFERROR(N(INDEX(Übersicht!$M$15:$M$22,MATCH($B571,Übersicht!$A$15:$A$22,0))),0)&gt;1,DAY($A571)&gt;=IFERROR(N(INDEX(Übersicht!$M$15:$M$22,MATCH($B571,Übersicht!$A$15:$A$22,0))),0)),1,0),1))</f>
        <v/>
      </c>
    </row>
    <row r="572">
      <c r="A572" s="92" t="n"/>
      <c r="B572" s="55" t="n"/>
      <c r="C572" s="55" t="n"/>
      <c r="D572" s="55" t="n"/>
      <c r="E572" s="93" t="n"/>
      <c r="F572" s="94" t="n"/>
      <c r="G572" s="94" t="n"/>
      <c r="H572" s="94" t="n"/>
      <c r="I572" s="94" t="n"/>
      <c r="J572" s="55" t="n"/>
      <c r="K572" s="95" t="n"/>
      <c r="L572" s="116">
        <f>IF($A572="","",DATE(YEAR($A572),MONTH($A572)+IF(AND(IFERROR(N(INDEX(Übersicht!$M$15:$M$22,MATCH($B572,Übersicht!$A$15:$A$22,0))),0)&gt;1,DAY($A572)&gt;=IFERROR(N(INDEX(Übersicht!$M$15:$M$22,MATCH($B572,Übersicht!$A$15:$A$22,0))),0)),1,0),1))</f>
        <v/>
      </c>
    </row>
    <row r="573">
      <c r="A573" s="92" t="n"/>
      <c r="B573" s="55" t="n"/>
      <c r="C573" s="55" t="n"/>
      <c r="D573" s="55" t="n"/>
      <c r="E573" s="93" t="n"/>
      <c r="F573" s="94" t="n"/>
      <c r="G573" s="94" t="n"/>
      <c r="H573" s="94" t="n"/>
      <c r="I573" s="94" t="n"/>
      <c r="J573" s="55" t="n"/>
      <c r="K573" s="95" t="n"/>
      <c r="L573" s="116">
        <f>IF($A573="","",DATE(YEAR($A573),MONTH($A573)+IF(AND(IFERROR(N(INDEX(Übersicht!$M$15:$M$22,MATCH($B573,Übersicht!$A$15:$A$22,0))),0)&gt;1,DAY($A573)&gt;=IFERROR(N(INDEX(Übersicht!$M$15:$M$22,MATCH($B573,Übersicht!$A$15:$A$22,0))),0)),1,0),1))</f>
        <v/>
      </c>
    </row>
    <row r="574">
      <c r="A574" s="92" t="n"/>
      <c r="B574" s="55" t="n"/>
      <c r="C574" s="55" t="n"/>
      <c r="D574" s="55" t="n"/>
      <c r="E574" s="93" t="n"/>
      <c r="F574" s="94" t="n"/>
      <c r="G574" s="94" t="n"/>
      <c r="H574" s="94" t="n"/>
      <c r="I574" s="94" t="n"/>
      <c r="J574" s="55" t="n"/>
      <c r="K574" s="95" t="n"/>
      <c r="L574" s="116">
        <f>IF($A574="","",DATE(YEAR($A574),MONTH($A574)+IF(AND(IFERROR(N(INDEX(Übersicht!$M$15:$M$22,MATCH($B574,Übersicht!$A$15:$A$22,0))),0)&gt;1,DAY($A574)&gt;=IFERROR(N(INDEX(Übersicht!$M$15:$M$22,MATCH($B574,Übersicht!$A$15:$A$22,0))),0)),1,0),1))</f>
        <v/>
      </c>
    </row>
    <row r="575">
      <c r="A575" s="92" t="n"/>
      <c r="B575" s="55" t="n"/>
      <c r="C575" s="55" t="n"/>
      <c r="D575" s="55" t="n"/>
      <c r="E575" s="93" t="n"/>
      <c r="F575" s="94" t="n"/>
      <c r="G575" s="94" t="n"/>
      <c r="H575" s="94" t="n"/>
      <c r="I575" s="94" t="n"/>
      <c r="J575" s="55" t="n"/>
      <c r="K575" s="95" t="n"/>
      <c r="L575" s="116">
        <f>IF($A575="","",DATE(YEAR($A575),MONTH($A575)+IF(AND(IFERROR(N(INDEX(Übersicht!$M$15:$M$22,MATCH($B575,Übersicht!$A$15:$A$22,0))),0)&gt;1,DAY($A575)&gt;=IFERROR(N(INDEX(Übersicht!$M$15:$M$22,MATCH($B575,Übersicht!$A$15:$A$22,0))),0)),1,0),1))</f>
        <v/>
      </c>
    </row>
    <row r="576">
      <c r="A576" s="92" t="n"/>
      <c r="B576" s="55" t="n"/>
      <c r="C576" s="55" t="n"/>
      <c r="D576" s="55" t="n"/>
      <c r="E576" s="93" t="n"/>
      <c r="F576" s="94" t="n"/>
      <c r="G576" s="94" t="n"/>
      <c r="H576" s="94" t="n"/>
      <c r="I576" s="94" t="n"/>
      <c r="J576" s="55" t="n"/>
      <c r="K576" s="95" t="n"/>
      <c r="L576" s="116">
        <f>IF($A576="","",DATE(YEAR($A576),MONTH($A576)+IF(AND(IFERROR(N(INDEX(Übersicht!$M$15:$M$22,MATCH($B576,Übersicht!$A$15:$A$22,0))),0)&gt;1,DAY($A576)&gt;=IFERROR(N(INDEX(Übersicht!$M$15:$M$22,MATCH($B576,Übersicht!$A$15:$A$22,0))),0)),1,0),1))</f>
        <v/>
      </c>
    </row>
    <row r="577">
      <c r="A577" s="92" t="n"/>
      <c r="B577" s="55" t="n"/>
      <c r="C577" s="55" t="n"/>
      <c r="D577" s="55" t="n"/>
      <c r="E577" s="93" t="n"/>
      <c r="F577" s="94" t="n"/>
      <c r="G577" s="94" t="n"/>
      <c r="H577" s="94" t="n"/>
      <c r="I577" s="94" t="n"/>
      <c r="J577" s="55" t="n"/>
      <c r="K577" s="95" t="n"/>
      <c r="L577" s="116">
        <f>IF($A577="","",DATE(YEAR($A577),MONTH($A577)+IF(AND(IFERROR(N(INDEX(Übersicht!$M$15:$M$22,MATCH($B577,Übersicht!$A$15:$A$22,0))),0)&gt;1,DAY($A577)&gt;=IFERROR(N(INDEX(Übersicht!$M$15:$M$22,MATCH($B577,Übersicht!$A$15:$A$22,0))),0)),1,0),1))</f>
        <v/>
      </c>
    </row>
    <row r="578">
      <c r="A578" s="92" t="n"/>
      <c r="B578" s="55" t="n"/>
      <c r="C578" s="55" t="n"/>
      <c r="D578" s="55" t="n"/>
      <c r="E578" s="93" t="n"/>
      <c r="F578" s="94" t="n"/>
      <c r="G578" s="94" t="n"/>
      <c r="H578" s="94" t="n"/>
      <c r="I578" s="94" t="n"/>
      <c r="J578" s="55" t="n"/>
      <c r="K578" s="95" t="n"/>
      <c r="L578" s="116">
        <f>IF($A578="","",DATE(YEAR($A578),MONTH($A578)+IF(AND(IFERROR(N(INDEX(Übersicht!$M$15:$M$22,MATCH($B578,Übersicht!$A$15:$A$22,0))),0)&gt;1,DAY($A578)&gt;=IFERROR(N(INDEX(Übersicht!$M$15:$M$22,MATCH($B578,Übersicht!$A$15:$A$22,0))),0)),1,0),1))</f>
        <v/>
      </c>
    </row>
    <row r="579">
      <c r="A579" s="92" t="n"/>
      <c r="B579" s="55" t="n"/>
      <c r="C579" s="55" t="n"/>
      <c r="D579" s="55" t="n"/>
      <c r="E579" s="93" t="n"/>
      <c r="F579" s="94" t="n"/>
      <c r="G579" s="94" t="n"/>
      <c r="H579" s="94" t="n"/>
      <c r="I579" s="94" t="n"/>
      <c r="J579" s="55" t="n"/>
      <c r="K579" s="95" t="n"/>
      <c r="L579" s="116">
        <f>IF($A579="","",DATE(YEAR($A579),MONTH($A579)+IF(AND(IFERROR(N(INDEX(Übersicht!$M$15:$M$22,MATCH($B579,Übersicht!$A$15:$A$22,0))),0)&gt;1,DAY($A579)&gt;=IFERROR(N(INDEX(Übersicht!$M$15:$M$22,MATCH($B579,Übersicht!$A$15:$A$22,0))),0)),1,0),1))</f>
        <v/>
      </c>
    </row>
    <row r="580">
      <c r="A580" s="92" t="n"/>
      <c r="B580" s="55" t="n"/>
      <c r="C580" s="55" t="n"/>
      <c r="D580" s="55" t="n"/>
      <c r="E580" s="93" t="n"/>
      <c r="F580" s="94" t="n"/>
      <c r="G580" s="94" t="n"/>
      <c r="H580" s="94" t="n"/>
      <c r="I580" s="94" t="n"/>
      <c r="J580" s="55" t="n"/>
      <c r="K580" s="95" t="n"/>
      <c r="L580" s="116">
        <f>IF($A580="","",DATE(YEAR($A580),MONTH($A580)+IF(AND(IFERROR(N(INDEX(Übersicht!$M$15:$M$22,MATCH($B580,Übersicht!$A$15:$A$22,0))),0)&gt;1,DAY($A580)&gt;=IFERROR(N(INDEX(Übersicht!$M$15:$M$22,MATCH($B580,Übersicht!$A$15:$A$22,0))),0)),1,0),1))</f>
        <v/>
      </c>
    </row>
    <row r="581">
      <c r="A581" s="92" t="n"/>
      <c r="B581" s="55" t="n"/>
      <c r="C581" s="55" t="n"/>
      <c r="D581" s="55" t="n"/>
      <c r="E581" s="93" t="n"/>
      <c r="F581" s="94" t="n"/>
      <c r="G581" s="94" t="n"/>
      <c r="H581" s="94" t="n"/>
      <c r="I581" s="94" t="n"/>
      <c r="J581" s="55" t="n"/>
      <c r="K581" s="95" t="n"/>
      <c r="L581" s="116">
        <f>IF($A581="","",DATE(YEAR($A581),MONTH($A581)+IF(AND(IFERROR(N(INDEX(Übersicht!$M$15:$M$22,MATCH($B581,Übersicht!$A$15:$A$22,0))),0)&gt;1,DAY($A581)&gt;=IFERROR(N(INDEX(Übersicht!$M$15:$M$22,MATCH($B581,Übersicht!$A$15:$A$22,0))),0)),1,0),1))</f>
        <v/>
      </c>
    </row>
    <row r="582">
      <c r="A582" s="92" t="n"/>
      <c r="B582" s="55" t="n"/>
      <c r="C582" s="55" t="n"/>
      <c r="D582" s="55" t="n"/>
      <c r="E582" s="93" t="n"/>
      <c r="F582" s="94" t="n"/>
      <c r="G582" s="94" t="n"/>
      <c r="H582" s="94" t="n"/>
      <c r="I582" s="94" t="n"/>
      <c r="J582" s="55" t="n"/>
      <c r="K582" s="95" t="n"/>
      <c r="L582" s="116">
        <f>IF($A582="","",DATE(YEAR($A582),MONTH($A582)+IF(AND(IFERROR(N(INDEX(Übersicht!$M$15:$M$22,MATCH($B582,Übersicht!$A$15:$A$22,0))),0)&gt;1,DAY($A582)&gt;=IFERROR(N(INDEX(Übersicht!$M$15:$M$22,MATCH($B582,Übersicht!$A$15:$A$22,0))),0)),1,0),1))</f>
        <v/>
      </c>
    </row>
    <row r="583">
      <c r="A583" s="92" t="n"/>
      <c r="B583" s="55" t="n"/>
      <c r="C583" s="55" t="n"/>
      <c r="D583" s="55" t="n"/>
      <c r="E583" s="93" t="n"/>
      <c r="F583" s="94" t="n"/>
      <c r="G583" s="94" t="n"/>
      <c r="H583" s="94" t="n"/>
      <c r="I583" s="94" t="n"/>
      <c r="J583" s="55" t="n"/>
      <c r="K583" s="95" t="n"/>
      <c r="L583" s="116">
        <f>IF($A583="","",DATE(YEAR($A583),MONTH($A583)+IF(AND(IFERROR(N(INDEX(Übersicht!$M$15:$M$22,MATCH($B583,Übersicht!$A$15:$A$22,0))),0)&gt;1,DAY($A583)&gt;=IFERROR(N(INDEX(Übersicht!$M$15:$M$22,MATCH($B583,Übersicht!$A$15:$A$22,0))),0)),1,0),1))</f>
        <v/>
      </c>
    </row>
    <row r="584">
      <c r="A584" s="92" t="n"/>
      <c r="B584" s="55" t="n"/>
      <c r="C584" s="55" t="n"/>
      <c r="D584" s="55" t="n"/>
      <c r="E584" s="93" t="n"/>
      <c r="F584" s="94" t="n"/>
      <c r="G584" s="94" t="n"/>
      <c r="H584" s="94" t="n"/>
      <c r="I584" s="94" t="n"/>
      <c r="J584" s="55" t="n"/>
      <c r="K584" s="95" t="n"/>
      <c r="L584" s="116">
        <f>IF($A584="","",DATE(YEAR($A584),MONTH($A584)+IF(AND(IFERROR(N(INDEX(Übersicht!$M$15:$M$22,MATCH($B584,Übersicht!$A$15:$A$22,0))),0)&gt;1,DAY($A584)&gt;=IFERROR(N(INDEX(Übersicht!$M$15:$M$22,MATCH($B584,Übersicht!$A$15:$A$22,0))),0)),1,0),1))</f>
        <v/>
      </c>
    </row>
    <row r="585">
      <c r="A585" s="92" t="n"/>
      <c r="B585" s="55" t="n"/>
      <c r="C585" s="55" t="n"/>
      <c r="D585" s="55" t="n"/>
      <c r="E585" s="93" t="n"/>
      <c r="F585" s="94" t="n"/>
      <c r="G585" s="94" t="n"/>
      <c r="H585" s="94" t="n"/>
      <c r="I585" s="94" t="n"/>
      <c r="J585" s="55" t="n"/>
      <c r="K585" s="95" t="n"/>
      <c r="L585" s="116">
        <f>IF($A585="","",DATE(YEAR($A585),MONTH($A585)+IF(AND(IFERROR(N(INDEX(Übersicht!$M$15:$M$22,MATCH($B585,Übersicht!$A$15:$A$22,0))),0)&gt;1,DAY($A585)&gt;=IFERROR(N(INDEX(Übersicht!$M$15:$M$22,MATCH($B585,Übersicht!$A$15:$A$22,0))),0)),1,0),1))</f>
        <v/>
      </c>
    </row>
    <row r="586">
      <c r="A586" s="92" t="n"/>
      <c r="B586" s="55" t="n"/>
      <c r="C586" s="55" t="n"/>
      <c r="D586" s="55" t="n"/>
      <c r="E586" s="93" t="n"/>
      <c r="F586" s="94" t="n"/>
      <c r="G586" s="94" t="n"/>
      <c r="H586" s="94" t="n"/>
      <c r="I586" s="94" t="n"/>
      <c r="J586" s="55" t="n"/>
      <c r="K586" s="95" t="n"/>
      <c r="L586" s="116">
        <f>IF($A586="","",DATE(YEAR($A586),MONTH($A586)+IF(AND(IFERROR(N(INDEX(Übersicht!$M$15:$M$22,MATCH($B586,Übersicht!$A$15:$A$22,0))),0)&gt;1,DAY($A586)&gt;=IFERROR(N(INDEX(Übersicht!$M$15:$M$22,MATCH($B586,Übersicht!$A$15:$A$22,0))),0)),1,0),1))</f>
        <v/>
      </c>
    </row>
    <row r="587">
      <c r="A587" s="92" t="n"/>
      <c r="B587" s="55" t="n"/>
      <c r="C587" s="55" t="n"/>
      <c r="D587" s="55" t="n"/>
      <c r="E587" s="93" t="n"/>
      <c r="F587" s="94" t="n"/>
      <c r="G587" s="94" t="n"/>
      <c r="H587" s="94" t="n"/>
      <c r="I587" s="94" t="n"/>
      <c r="J587" s="55" t="n"/>
      <c r="K587" s="95" t="n"/>
      <c r="L587" s="116">
        <f>IF($A587="","",DATE(YEAR($A587),MONTH($A587)+IF(AND(IFERROR(N(INDEX(Übersicht!$M$15:$M$22,MATCH($B587,Übersicht!$A$15:$A$22,0))),0)&gt;1,DAY($A587)&gt;=IFERROR(N(INDEX(Übersicht!$M$15:$M$22,MATCH($B587,Übersicht!$A$15:$A$22,0))),0)),1,0),1))</f>
        <v/>
      </c>
    </row>
    <row r="588">
      <c r="A588" s="92" t="n"/>
      <c r="B588" s="55" t="n"/>
      <c r="C588" s="55" t="n"/>
      <c r="D588" s="55" t="n"/>
      <c r="E588" s="93" t="n"/>
      <c r="F588" s="94" t="n"/>
      <c r="G588" s="94" t="n"/>
      <c r="H588" s="94" t="n"/>
      <c r="I588" s="94" t="n"/>
      <c r="J588" s="55" t="n"/>
      <c r="K588" s="95" t="n"/>
      <c r="L588" s="116">
        <f>IF($A588="","",DATE(YEAR($A588),MONTH($A588)+IF(AND(IFERROR(N(INDEX(Übersicht!$M$15:$M$22,MATCH($B588,Übersicht!$A$15:$A$22,0))),0)&gt;1,DAY($A588)&gt;=IFERROR(N(INDEX(Übersicht!$M$15:$M$22,MATCH($B588,Übersicht!$A$15:$A$22,0))),0)),1,0),1))</f>
        <v/>
      </c>
    </row>
    <row r="589">
      <c r="A589" s="92" t="n"/>
      <c r="B589" s="55" t="n"/>
      <c r="C589" s="55" t="n"/>
      <c r="D589" s="55" t="n"/>
      <c r="E589" s="93" t="n"/>
      <c r="F589" s="94" t="n"/>
      <c r="G589" s="94" t="n"/>
      <c r="H589" s="94" t="n"/>
      <c r="I589" s="94" t="n"/>
      <c r="J589" s="55" t="n"/>
      <c r="K589" s="95" t="n"/>
      <c r="L589" s="116">
        <f>IF($A589="","",DATE(YEAR($A589),MONTH($A589)+IF(AND(IFERROR(N(INDEX(Übersicht!$M$15:$M$22,MATCH($B589,Übersicht!$A$15:$A$22,0))),0)&gt;1,DAY($A589)&gt;=IFERROR(N(INDEX(Übersicht!$M$15:$M$22,MATCH($B589,Übersicht!$A$15:$A$22,0))),0)),1,0),1))</f>
        <v/>
      </c>
    </row>
    <row r="590">
      <c r="A590" s="92" t="n"/>
      <c r="B590" s="55" t="n"/>
      <c r="C590" s="55" t="n"/>
      <c r="D590" s="55" t="n"/>
      <c r="E590" s="93" t="n"/>
      <c r="F590" s="94" t="n"/>
      <c r="G590" s="94" t="n"/>
      <c r="H590" s="94" t="n"/>
      <c r="I590" s="94" t="n"/>
      <c r="J590" s="55" t="n"/>
      <c r="K590" s="95" t="n"/>
      <c r="L590" s="116">
        <f>IF($A590="","",DATE(YEAR($A590),MONTH($A590)+IF(AND(IFERROR(N(INDEX(Übersicht!$M$15:$M$22,MATCH($B590,Übersicht!$A$15:$A$22,0))),0)&gt;1,DAY($A590)&gt;=IFERROR(N(INDEX(Übersicht!$M$15:$M$22,MATCH($B590,Übersicht!$A$15:$A$22,0))),0)),1,0),1))</f>
        <v/>
      </c>
    </row>
    <row r="591">
      <c r="A591" s="92" t="n"/>
      <c r="B591" s="55" t="n"/>
      <c r="C591" s="55" t="n"/>
      <c r="D591" s="55" t="n"/>
      <c r="E591" s="93" t="n"/>
      <c r="F591" s="94" t="n"/>
      <c r="G591" s="94" t="n"/>
      <c r="H591" s="94" t="n"/>
      <c r="I591" s="94" t="n"/>
      <c r="J591" s="55" t="n"/>
      <c r="K591" s="95" t="n"/>
      <c r="L591" s="116">
        <f>IF($A591="","",DATE(YEAR($A591),MONTH($A591)+IF(AND(IFERROR(N(INDEX(Übersicht!$M$15:$M$22,MATCH($B591,Übersicht!$A$15:$A$22,0))),0)&gt;1,DAY($A591)&gt;=IFERROR(N(INDEX(Übersicht!$M$15:$M$22,MATCH($B591,Übersicht!$A$15:$A$22,0))),0)),1,0),1))</f>
        <v/>
      </c>
    </row>
    <row r="592">
      <c r="A592" s="92" t="n"/>
      <c r="B592" s="55" t="n"/>
      <c r="C592" s="55" t="n"/>
      <c r="D592" s="55" t="n"/>
      <c r="E592" s="93" t="n"/>
      <c r="F592" s="94" t="n"/>
      <c r="G592" s="94" t="n"/>
      <c r="H592" s="94" t="n"/>
      <c r="I592" s="94" t="n"/>
      <c r="J592" s="55" t="n"/>
      <c r="K592" s="95" t="n"/>
      <c r="L592" s="116">
        <f>IF($A592="","",DATE(YEAR($A592),MONTH($A592)+IF(AND(IFERROR(N(INDEX(Übersicht!$M$15:$M$22,MATCH($B592,Übersicht!$A$15:$A$22,0))),0)&gt;1,DAY($A592)&gt;=IFERROR(N(INDEX(Übersicht!$M$15:$M$22,MATCH($B592,Übersicht!$A$15:$A$22,0))),0)),1,0),1))</f>
        <v/>
      </c>
    </row>
    <row r="593">
      <c r="A593" s="92" t="n"/>
      <c r="B593" s="55" t="n"/>
      <c r="C593" s="55" t="n"/>
      <c r="D593" s="55" t="n"/>
      <c r="E593" s="93" t="n"/>
      <c r="F593" s="94" t="n"/>
      <c r="G593" s="94" t="n"/>
      <c r="H593" s="94" t="n"/>
      <c r="I593" s="94" t="n"/>
      <c r="J593" s="55" t="n"/>
      <c r="K593" s="95" t="n"/>
      <c r="L593" s="116">
        <f>IF($A593="","",DATE(YEAR($A593),MONTH($A593)+IF(AND(IFERROR(N(INDEX(Übersicht!$M$15:$M$22,MATCH($B593,Übersicht!$A$15:$A$22,0))),0)&gt;1,DAY($A593)&gt;=IFERROR(N(INDEX(Übersicht!$M$15:$M$22,MATCH($B593,Übersicht!$A$15:$A$22,0))),0)),1,0),1))</f>
        <v/>
      </c>
    </row>
    <row r="594">
      <c r="A594" s="92" t="n"/>
      <c r="B594" s="55" t="n"/>
      <c r="C594" s="55" t="n"/>
      <c r="D594" s="55" t="n"/>
      <c r="E594" s="93" t="n"/>
      <c r="F594" s="94" t="n"/>
      <c r="G594" s="94" t="n"/>
      <c r="H594" s="94" t="n"/>
      <c r="I594" s="94" t="n"/>
      <c r="J594" s="55" t="n"/>
      <c r="K594" s="95" t="n"/>
      <c r="L594" s="116">
        <f>IF($A594="","",DATE(YEAR($A594),MONTH($A594)+IF(AND(IFERROR(N(INDEX(Übersicht!$M$15:$M$22,MATCH($B594,Übersicht!$A$15:$A$22,0))),0)&gt;1,DAY($A594)&gt;=IFERROR(N(INDEX(Übersicht!$M$15:$M$22,MATCH($B594,Übersicht!$A$15:$A$22,0))),0)),1,0),1))</f>
        <v/>
      </c>
    </row>
    <row r="595">
      <c r="A595" s="92" t="n"/>
      <c r="B595" s="55" t="n"/>
      <c r="C595" s="55" t="n"/>
      <c r="D595" s="55" t="n"/>
      <c r="E595" s="93" t="n"/>
      <c r="F595" s="94" t="n"/>
      <c r="G595" s="94" t="n"/>
      <c r="H595" s="94" t="n"/>
      <c r="I595" s="94" t="n"/>
      <c r="J595" s="55" t="n"/>
      <c r="K595" s="95" t="n"/>
      <c r="L595" s="116">
        <f>IF($A595="","",DATE(YEAR($A595),MONTH($A595)+IF(AND(IFERROR(N(INDEX(Übersicht!$M$15:$M$22,MATCH($B595,Übersicht!$A$15:$A$22,0))),0)&gt;1,DAY($A595)&gt;=IFERROR(N(INDEX(Übersicht!$M$15:$M$22,MATCH($B595,Übersicht!$A$15:$A$22,0))),0)),1,0),1))</f>
        <v/>
      </c>
    </row>
    <row r="596">
      <c r="A596" s="92" t="n"/>
      <c r="B596" s="55" t="n"/>
      <c r="C596" s="55" t="n"/>
      <c r="D596" s="55" t="n"/>
      <c r="E596" s="93" t="n"/>
      <c r="F596" s="94" t="n"/>
      <c r="G596" s="94" t="n"/>
      <c r="H596" s="94" t="n"/>
      <c r="I596" s="94" t="n"/>
      <c r="J596" s="55" t="n"/>
      <c r="K596" s="95" t="n"/>
      <c r="L596" s="116">
        <f>IF($A596="","",DATE(YEAR($A596),MONTH($A596)+IF(AND(IFERROR(N(INDEX(Übersicht!$M$15:$M$22,MATCH($B596,Übersicht!$A$15:$A$22,0))),0)&gt;1,DAY($A596)&gt;=IFERROR(N(INDEX(Übersicht!$M$15:$M$22,MATCH($B596,Übersicht!$A$15:$A$22,0))),0)),1,0),1))</f>
        <v/>
      </c>
    </row>
    <row r="597">
      <c r="A597" s="92" t="n"/>
      <c r="B597" s="55" t="n"/>
      <c r="C597" s="55" t="n"/>
      <c r="D597" s="55" t="n"/>
      <c r="E597" s="93" t="n"/>
      <c r="F597" s="94" t="n"/>
      <c r="G597" s="94" t="n"/>
      <c r="H597" s="94" t="n"/>
      <c r="I597" s="94" t="n"/>
      <c r="J597" s="55" t="n"/>
      <c r="K597" s="95" t="n"/>
      <c r="L597" s="116">
        <f>IF($A597="","",DATE(YEAR($A597),MONTH($A597)+IF(AND(IFERROR(N(INDEX(Übersicht!$M$15:$M$22,MATCH($B597,Übersicht!$A$15:$A$22,0))),0)&gt;1,DAY($A597)&gt;=IFERROR(N(INDEX(Übersicht!$M$15:$M$22,MATCH($B597,Übersicht!$A$15:$A$22,0))),0)),1,0),1))</f>
        <v/>
      </c>
    </row>
    <row r="598">
      <c r="A598" s="92" t="n"/>
      <c r="B598" s="55" t="n"/>
      <c r="C598" s="55" t="n"/>
      <c r="D598" s="55" t="n"/>
      <c r="E598" s="93" t="n"/>
      <c r="F598" s="94" t="n"/>
      <c r="G598" s="94" t="n"/>
      <c r="H598" s="94" t="n"/>
      <c r="I598" s="94" t="n"/>
      <c r="J598" s="55" t="n"/>
      <c r="K598" s="95" t="n"/>
      <c r="L598" s="116">
        <f>IF($A598="","",DATE(YEAR($A598),MONTH($A598)+IF(AND(IFERROR(N(INDEX(Übersicht!$M$15:$M$22,MATCH($B598,Übersicht!$A$15:$A$22,0))),0)&gt;1,DAY($A598)&gt;=IFERROR(N(INDEX(Übersicht!$M$15:$M$22,MATCH($B598,Übersicht!$A$15:$A$22,0))),0)),1,0),1))</f>
        <v/>
      </c>
    </row>
    <row r="599">
      <c r="A599" s="92" t="n"/>
      <c r="B599" s="55" t="n"/>
      <c r="C599" s="55" t="n"/>
      <c r="D599" s="55" t="n"/>
      <c r="E599" s="93" t="n"/>
      <c r="F599" s="94" t="n"/>
      <c r="G599" s="94" t="n"/>
      <c r="H599" s="94" t="n"/>
      <c r="I599" s="94" t="n"/>
      <c r="J599" s="55" t="n"/>
      <c r="K599" s="95" t="n"/>
      <c r="L599" s="116">
        <f>IF($A599="","",DATE(YEAR($A599),MONTH($A599)+IF(AND(IFERROR(N(INDEX(Übersicht!$M$15:$M$22,MATCH($B599,Übersicht!$A$15:$A$22,0))),0)&gt;1,DAY($A599)&gt;=IFERROR(N(INDEX(Übersicht!$M$15:$M$22,MATCH($B599,Übersicht!$A$15:$A$22,0))),0)),1,0),1))</f>
        <v/>
      </c>
    </row>
    <row r="600">
      <c r="A600" s="92" t="n"/>
      <c r="B600" s="55" t="n"/>
      <c r="C600" s="55" t="n"/>
      <c r="D600" s="55" t="n"/>
      <c r="E600" s="93" t="n"/>
      <c r="F600" s="94" t="n"/>
      <c r="G600" s="94" t="n"/>
      <c r="H600" s="94" t="n"/>
      <c r="I600" s="94" t="n"/>
      <c r="J600" s="55" t="n"/>
      <c r="K600" s="95" t="n"/>
      <c r="L600" s="116">
        <f>IF($A600="","",DATE(YEAR($A600),MONTH($A600)+IF(AND(IFERROR(N(INDEX(Übersicht!$M$15:$M$22,MATCH($B600,Übersicht!$A$15:$A$22,0))),0)&gt;1,DAY($A600)&gt;=IFERROR(N(INDEX(Übersicht!$M$15:$M$22,MATCH($B600,Übersicht!$A$15:$A$22,0))),0)),1,0),1))</f>
        <v/>
      </c>
    </row>
    <row r="601">
      <c r="A601" s="92" t="n"/>
      <c r="B601" s="55" t="n"/>
      <c r="C601" s="55" t="n"/>
      <c r="D601" s="55" t="n"/>
      <c r="E601" s="93" t="n"/>
      <c r="F601" s="94" t="n"/>
      <c r="G601" s="94" t="n"/>
      <c r="H601" s="94" t="n"/>
      <c r="I601" s="94" t="n"/>
      <c r="J601" s="55" t="n"/>
      <c r="K601" s="95" t="n"/>
      <c r="L601" s="116">
        <f>IF($A601="","",DATE(YEAR($A601),MONTH($A601)+IF(AND(IFERROR(N(INDEX(Übersicht!$M$15:$M$22,MATCH($B601,Übersicht!$A$15:$A$22,0))),0)&gt;1,DAY($A601)&gt;=IFERROR(N(INDEX(Übersicht!$M$15:$M$22,MATCH($B601,Übersicht!$A$15:$A$22,0))),0)),1,0),1))</f>
        <v/>
      </c>
    </row>
    <row r="602">
      <c r="A602" s="92" t="n"/>
      <c r="B602" s="55" t="n"/>
      <c r="C602" s="55" t="n"/>
      <c r="D602" s="55" t="n"/>
      <c r="E602" s="93" t="n"/>
      <c r="F602" s="94" t="n"/>
      <c r="G602" s="94" t="n"/>
      <c r="H602" s="94" t="n"/>
      <c r="I602" s="94" t="n"/>
      <c r="J602" s="55" t="n"/>
      <c r="K602" s="95" t="n"/>
      <c r="L602" s="116">
        <f>IF($A602="","",DATE(YEAR($A602),MONTH($A602)+IF(AND(IFERROR(N(INDEX(Übersicht!$M$15:$M$22,MATCH($B602,Übersicht!$A$15:$A$22,0))),0)&gt;1,DAY($A602)&gt;=IFERROR(N(INDEX(Übersicht!$M$15:$M$22,MATCH($B602,Übersicht!$A$15:$A$22,0))),0)),1,0),1))</f>
        <v/>
      </c>
    </row>
    <row r="603">
      <c r="A603" s="92" t="n"/>
      <c r="B603" s="55" t="n"/>
      <c r="C603" s="55" t="n"/>
      <c r="D603" s="55" t="n"/>
      <c r="E603" s="93" t="n"/>
      <c r="F603" s="94" t="n"/>
      <c r="G603" s="94" t="n"/>
      <c r="H603" s="94" t="n"/>
      <c r="I603" s="94" t="n"/>
      <c r="J603" s="55" t="n"/>
      <c r="K603" s="95" t="n"/>
      <c r="L603" s="116">
        <f>IF($A603="","",DATE(YEAR($A603),MONTH($A603)+IF(AND(IFERROR(N(INDEX(Übersicht!$M$15:$M$22,MATCH($B603,Übersicht!$A$15:$A$22,0))),0)&gt;1,DAY($A603)&gt;=IFERROR(N(INDEX(Übersicht!$M$15:$M$22,MATCH($B603,Übersicht!$A$15:$A$22,0))),0)),1,0),1))</f>
        <v/>
      </c>
    </row>
    <row r="604">
      <c r="A604" s="92" t="n"/>
      <c r="B604" s="55" t="n"/>
      <c r="C604" s="55" t="n"/>
      <c r="D604" s="55" t="n"/>
      <c r="E604" s="93" t="n"/>
      <c r="F604" s="94" t="n"/>
      <c r="G604" s="94" t="n"/>
      <c r="H604" s="94" t="n"/>
      <c r="I604" s="94" t="n"/>
      <c r="J604" s="55" t="n"/>
      <c r="K604" s="95" t="n"/>
      <c r="L604" s="116">
        <f>IF($A604="","",DATE(YEAR($A604),MONTH($A604)+IF(AND(IFERROR(N(INDEX(Übersicht!$M$15:$M$22,MATCH($B604,Übersicht!$A$15:$A$22,0))),0)&gt;1,DAY($A604)&gt;=IFERROR(N(INDEX(Übersicht!$M$15:$M$22,MATCH($B604,Übersicht!$A$15:$A$22,0))),0)),1,0),1))</f>
        <v/>
      </c>
    </row>
    <row r="605">
      <c r="A605" s="92" t="n"/>
      <c r="B605" s="55" t="n"/>
      <c r="C605" s="55" t="n"/>
      <c r="D605" s="55" t="n"/>
      <c r="E605" s="93" t="n"/>
      <c r="F605" s="94" t="n"/>
      <c r="G605" s="94" t="n"/>
      <c r="H605" s="94" t="n"/>
      <c r="I605" s="94" t="n"/>
      <c r="J605" s="55" t="n"/>
      <c r="K605" s="95" t="n"/>
      <c r="L605" s="116">
        <f>IF($A605="","",DATE(YEAR($A605),MONTH($A605)+IF(AND(IFERROR(N(INDEX(Übersicht!$M$15:$M$22,MATCH($B605,Übersicht!$A$15:$A$22,0))),0)&gt;1,DAY($A605)&gt;=IFERROR(N(INDEX(Übersicht!$M$15:$M$22,MATCH($B605,Übersicht!$A$15:$A$22,0))),0)),1,0),1))</f>
        <v/>
      </c>
    </row>
    <row r="606">
      <c r="A606" s="92" t="n"/>
      <c r="B606" s="55" t="n"/>
      <c r="C606" s="55" t="n"/>
      <c r="D606" s="55" t="n"/>
      <c r="E606" s="93" t="n"/>
      <c r="F606" s="94" t="n"/>
      <c r="G606" s="94" t="n"/>
      <c r="H606" s="94" t="n"/>
      <c r="I606" s="94" t="n"/>
      <c r="J606" s="55" t="n"/>
      <c r="K606" s="95" t="n"/>
      <c r="L606" s="116">
        <f>IF($A606="","",DATE(YEAR($A606),MONTH($A606)+IF(AND(IFERROR(N(INDEX(Übersicht!$M$15:$M$22,MATCH($B606,Übersicht!$A$15:$A$22,0))),0)&gt;1,DAY($A606)&gt;=IFERROR(N(INDEX(Übersicht!$M$15:$M$22,MATCH($B606,Übersicht!$A$15:$A$22,0))),0)),1,0),1))</f>
        <v/>
      </c>
    </row>
    <row r="607">
      <c r="A607" s="92" t="n"/>
      <c r="B607" s="55" t="n"/>
      <c r="C607" s="55" t="n"/>
      <c r="D607" s="55" t="n"/>
      <c r="E607" s="93" t="n"/>
      <c r="F607" s="94" t="n"/>
      <c r="G607" s="94" t="n"/>
      <c r="H607" s="94" t="n"/>
      <c r="I607" s="94" t="n"/>
      <c r="J607" s="55" t="n"/>
      <c r="K607" s="95" t="n"/>
      <c r="L607" s="116">
        <f>IF($A607="","",DATE(YEAR($A607),MONTH($A607)+IF(AND(IFERROR(N(INDEX(Übersicht!$M$15:$M$22,MATCH($B607,Übersicht!$A$15:$A$22,0))),0)&gt;1,DAY($A607)&gt;=IFERROR(N(INDEX(Übersicht!$M$15:$M$22,MATCH($B607,Übersicht!$A$15:$A$22,0))),0)),1,0),1))</f>
        <v/>
      </c>
    </row>
    <row r="608">
      <c r="A608" s="92" t="n"/>
      <c r="B608" s="55" t="n"/>
      <c r="C608" s="55" t="n"/>
      <c r="D608" s="55" t="n"/>
      <c r="E608" s="93" t="n"/>
      <c r="F608" s="94" t="n"/>
      <c r="G608" s="94" t="n"/>
      <c r="H608" s="94" t="n"/>
      <c r="I608" s="94" t="n"/>
      <c r="J608" s="55" t="n"/>
      <c r="K608" s="95" t="n"/>
      <c r="L608" s="116">
        <f>IF($A608="","",DATE(YEAR($A608),MONTH($A608)+IF(AND(IFERROR(N(INDEX(Übersicht!$M$15:$M$22,MATCH($B608,Übersicht!$A$15:$A$22,0))),0)&gt;1,DAY($A608)&gt;=IFERROR(N(INDEX(Übersicht!$M$15:$M$22,MATCH($B608,Übersicht!$A$15:$A$22,0))),0)),1,0),1))</f>
        <v/>
      </c>
    </row>
    <row r="609">
      <c r="A609" s="92" t="n"/>
      <c r="B609" s="55" t="n"/>
      <c r="C609" s="55" t="n"/>
      <c r="D609" s="55" t="n"/>
      <c r="E609" s="93" t="n"/>
      <c r="F609" s="94" t="n"/>
      <c r="G609" s="94" t="n"/>
      <c r="H609" s="94" t="n"/>
      <c r="I609" s="94" t="n"/>
      <c r="J609" s="55" t="n"/>
      <c r="K609" s="95" t="n"/>
      <c r="L609" s="116">
        <f>IF($A609="","",DATE(YEAR($A609),MONTH($A609)+IF(AND(IFERROR(N(INDEX(Übersicht!$M$15:$M$22,MATCH($B609,Übersicht!$A$15:$A$22,0))),0)&gt;1,DAY($A609)&gt;=IFERROR(N(INDEX(Übersicht!$M$15:$M$22,MATCH($B609,Übersicht!$A$15:$A$22,0))),0)),1,0),1))</f>
        <v/>
      </c>
    </row>
    <row r="610">
      <c r="A610" s="92" t="n"/>
      <c r="B610" s="55" t="n"/>
      <c r="C610" s="55" t="n"/>
      <c r="D610" s="55" t="n"/>
      <c r="E610" s="93" t="n"/>
      <c r="F610" s="94" t="n"/>
      <c r="G610" s="94" t="n"/>
      <c r="H610" s="94" t="n"/>
      <c r="I610" s="94" t="n"/>
      <c r="J610" s="55" t="n"/>
      <c r="K610" s="95" t="n"/>
      <c r="L610" s="116">
        <f>IF($A610="","",DATE(YEAR($A610),MONTH($A610)+IF(AND(IFERROR(N(INDEX(Übersicht!$M$15:$M$22,MATCH($B610,Übersicht!$A$15:$A$22,0))),0)&gt;1,DAY($A610)&gt;=IFERROR(N(INDEX(Übersicht!$M$15:$M$22,MATCH($B610,Übersicht!$A$15:$A$22,0))),0)),1,0),1))</f>
        <v/>
      </c>
    </row>
    <row r="611">
      <c r="A611" s="92" t="n"/>
      <c r="B611" s="55" t="n"/>
      <c r="C611" s="55" t="n"/>
      <c r="D611" s="55" t="n"/>
      <c r="E611" s="93" t="n"/>
      <c r="F611" s="94" t="n"/>
      <c r="G611" s="94" t="n"/>
      <c r="H611" s="94" t="n"/>
      <c r="I611" s="94" t="n"/>
      <c r="J611" s="55" t="n"/>
      <c r="K611" s="95" t="n"/>
      <c r="L611" s="116">
        <f>IF($A611="","",DATE(YEAR($A611),MONTH($A611)+IF(AND(IFERROR(N(INDEX(Übersicht!$M$15:$M$22,MATCH($B611,Übersicht!$A$15:$A$22,0))),0)&gt;1,DAY($A611)&gt;=IFERROR(N(INDEX(Übersicht!$M$15:$M$22,MATCH($B611,Übersicht!$A$15:$A$22,0))),0)),1,0),1))</f>
        <v/>
      </c>
    </row>
    <row r="612">
      <c r="A612" s="92" t="n"/>
      <c r="B612" s="55" t="n"/>
      <c r="C612" s="55" t="n"/>
      <c r="D612" s="55" t="n"/>
      <c r="E612" s="93" t="n"/>
      <c r="F612" s="94" t="n"/>
      <c r="G612" s="94" t="n"/>
      <c r="H612" s="94" t="n"/>
      <c r="I612" s="94" t="n"/>
      <c r="J612" s="55" t="n"/>
      <c r="K612" s="95" t="n"/>
      <c r="L612" s="116">
        <f>IF($A612="","",DATE(YEAR($A612),MONTH($A612)+IF(AND(IFERROR(N(INDEX(Übersicht!$M$15:$M$22,MATCH($B612,Übersicht!$A$15:$A$22,0))),0)&gt;1,DAY($A612)&gt;=IFERROR(N(INDEX(Übersicht!$M$15:$M$22,MATCH($B612,Übersicht!$A$15:$A$22,0))),0)),1,0),1))</f>
        <v/>
      </c>
    </row>
    <row r="613">
      <c r="A613" s="92" t="n"/>
      <c r="B613" s="55" t="n"/>
      <c r="C613" s="55" t="n"/>
      <c r="D613" s="55" t="n"/>
      <c r="E613" s="93" t="n"/>
      <c r="F613" s="94" t="n"/>
      <c r="G613" s="94" t="n"/>
      <c r="H613" s="94" t="n"/>
      <c r="I613" s="94" t="n"/>
      <c r="J613" s="55" t="n"/>
      <c r="K613" s="95" t="n"/>
      <c r="L613" s="116">
        <f>IF($A613="","",DATE(YEAR($A613),MONTH($A613)+IF(AND(IFERROR(N(INDEX(Übersicht!$M$15:$M$22,MATCH($B613,Übersicht!$A$15:$A$22,0))),0)&gt;1,DAY($A613)&gt;=IFERROR(N(INDEX(Übersicht!$M$15:$M$22,MATCH($B613,Übersicht!$A$15:$A$22,0))),0)),1,0),1))</f>
        <v/>
      </c>
    </row>
    <row r="614">
      <c r="A614" s="92" t="n"/>
      <c r="B614" s="55" t="n"/>
      <c r="C614" s="55" t="n"/>
      <c r="D614" s="55" t="n"/>
      <c r="E614" s="93" t="n"/>
      <c r="F614" s="94" t="n"/>
      <c r="G614" s="94" t="n"/>
      <c r="H614" s="94" t="n"/>
      <c r="I614" s="94" t="n"/>
      <c r="J614" s="55" t="n"/>
      <c r="K614" s="95" t="n"/>
      <c r="L614" s="116">
        <f>IF($A614="","",DATE(YEAR($A614),MONTH($A614)+IF(AND(IFERROR(N(INDEX(Übersicht!$M$15:$M$22,MATCH($B614,Übersicht!$A$15:$A$22,0))),0)&gt;1,DAY($A614)&gt;=IFERROR(N(INDEX(Übersicht!$M$15:$M$22,MATCH($B614,Übersicht!$A$15:$A$22,0))),0)),1,0),1))</f>
        <v/>
      </c>
    </row>
    <row r="615">
      <c r="A615" s="92" t="n"/>
      <c r="B615" s="55" t="n"/>
      <c r="C615" s="55" t="n"/>
      <c r="D615" s="55" t="n"/>
      <c r="E615" s="93" t="n"/>
      <c r="F615" s="94" t="n"/>
      <c r="G615" s="94" t="n"/>
      <c r="H615" s="94" t="n"/>
      <c r="I615" s="94" t="n"/>
      <c r="J615" s="55" t="n"/>
      <c r="K615" s="95" t="n"/>
      <c r="L615" s="116">
        <f>IF($A615="","",DATE(YEAR($A615),MONTH($A615)+IF(AND(IFERROR(N(INDEX(Übersicht!$M$15:$M$22,MATCH($B615,Übersicht!$A$15:$A$22,0))),0)&gt;1,DAY($A615)&gt;=IFERROR(N(INDEX(Übersicht!$M$15:$M$22,MATCH($B615,Übersicht!$A$15:$A$22,0))),0)),1,0),1))</f>
        <v/>
      </c>
    </row>
    <row r="616">
      <c r="A616" s="92" t="n"/>
      <c r="B616" s="55" t="n"/>
      <c r="C616" s="55" t="n"/>
      <c r="D616" s="55" t="n"/>
      <c r="E616" s="93" t="n"/>
      <c r="F616" s="94" t="n"/>
      <c r="G616" s="94" t="n"/>
      <c r="H616" s="94" t="n"/>
      <c r="I616" s="94" t="n"/>
      <c r="J616" s="55" t="n"/>
      <c r="K616" s="95" t="n"/>
      <c r="L616" s="116">
        <f>IF($A616="","",DATE(YEAR($A616),MONTH($A616)+IF(AND(IFERROR(N(INDEX(Übersicht!$M$15:$M$22,MATCH($B616,Übersicht!$A$15:$A$22,0))),0)&gt;1,DAY($A616)&gt;=IFERROR(N(INDEX(Übersicht!$M$15:$M$22,MATCH($B616,Übersicht!$A$15:$A$22,0))),0)),1,0),1))</f>
        <v/>
      </c>
    </row>
    <row r="617">
      <c r="A617" s="92" t="n"/>
      <c r="B617" s="55" t="n"/>
      <c r="C617" s="55" t="n"/>
      <c r="D617" s="55" t="n"/>
      <c r="E617" s="93" t="n"/>
      <c r="F617" s="94" t="n"/>
      <c r="G617" s="94" t="n"/>
      <c r="H617" s="94" t="n"/>
      <c r="I617" s="94" t="n"/>
      <c r="J617" s="55" t="n"/>
      <c r="K617" s="95" t="n"/>
      <c r="L617" s="116">
        <f>IF($A617="","",DATE(YEAR($A617),MONTH($A617)+IF(AND(IFERROR(N(INDEX(Übersicht!$M$15:$M$22,MATCH($B617,Übersicht!$A$15:$A$22,0))),0)&gt;1,DAY($A617)&gt;=IFERROR(N(INDEX(Übersicht!$M$15:$M$22,MATCH($B617,Übersicht!$A$15:$A$22,0))),0)),1,0),1))</f>
        <v/>
      </c>
    </row>
    <row r="618">
      <c r="A618" s="92" t="n"/>
      <c r="B618" s="55" t="n"/>
      <c r="C618" s="55" t="n"/>
      <c r="D618" s="55" t="n"/>
      <c r="E618" s="93" t="n"/>
      <c r="F618" s="94" t="n"/>
      <c r="G618" s="94" t="n"/>
      <c r="H618" s="94" t="n"/>
      <c r="I618" s="94" t="n"/>
      <c r="J618" s="55" t="n"/>
      <c r="K618" s="95" t="n"/>
      <c r="L618" s="116">
        <f>IF($A618="","",DATE(YEAR($A618),MONTH($A618)+IF(AND(IFERROR(N(INDEX(Übersicht!$M$15:$M$22,MATCH($B618,Übersicht!$A$15:$A$22,0))),0)&gt;1,DAY($A618)&gt;=IFERROR(N(INDEX(Übersicht!$M$15:$M$22,MATCH($B618,Übersicht!$A$15:$A$22,0))),0)),1,0),1))</f>
        <v/>
      </c>
    </row>
    <row r="619">
      <c r="A619" s="92" t="n"/>
      <c r="B619" s="55" t="n"/>
      <c r="C619" s="55" t="n"/>
      <c r="D619" s="55" t="n"/>
      <c r="E619" s="93" t="n"/>
      <c r="F619" s="94" t="n"/>
      <c r="G619" s="94" t="n"/>
      <c r="H619" s="94" t="n"/>
      <c r="I619" s="94" t="n"/>
      <c r="J619" s="55" t="n"/>
      <c r="K619" s="95" t="n"/>
      <c r="L619" s="116">
        <f>IF($A619="","",DATE(YEAR($A619),MONTH($A619)+IF(AND(IFERROR(N(INDEX(Übersicht!$M$15:$M$22,MATCH($B619,Übersicht!$A$15:$A$22,0))),0)&gt;1,DAY($A619)&gt;=IFERROR(N(INDEX(Übersicht!$M$15:$M$22,MATCH($B619,Übersicht!$A$15:$A$22,0))),0)),1,0),1))</f>
        <v/>
      </c>
    </row>
    <row r="620">
      <c r="A620" s="92" t="n"/>
      <c r="B620" s="55" t="n"/>
      <c r="C620" s="55" t="n"/>
      <c r="D620" s="55" t="n"/>
      <c r="E620" s="93" t="n"/>
      <c r="F620" s="94" t="n"/>
      <c r="G620" s="94" t="n"/>
      <c r="H620" s="94" t="n"/>
      <c r="I620" s="94" t="n"/>
      <c r="J620" s="55" t="n"/>
      <c r="K620" s="95" t="n"/>
      <c r="L620" s="116">
        <f>IF($A620="","",DATE(YEAR($A620),MONTH($A620)+IF(AND(IFERROR(N(INDEX(Übersicht!$M$15:$M$22,MATCH($B620,Übersicht!$A$15:$A$22,0))),0)&gt;1,DAY($A620)&gt;=IFERROR(N(INDEX(Übersicht!$M$15:$M$22,MATCH($B620,Übersicht!$A$15:$A$22,0))),0)),1,0),1))</f>
        <v/>
      </c>
    </row>
    <row r="621">
      <c r="A621" s="92" t="n"/>
      <c r="B621" s="55" t="n"/>
      <c r="C621" s="55" t="n"/>
      <c r="D621" s="55" t="n"/>
      <c r="E621" s="93" t="n"/>
      <c r="F621" s="94" t="n"/>
      <c r="G621" s="94" t="n"/>
      <c r="H621" s="94" t="n"/>
      <c r="I621" s="94" t="n"/>
      <c r="J621" s="55" t="n"/>
      <c r="K621" s="95" t="n"/>
      <c r="L621" s="116">
        <f>IF($A621="","",DATE(YEAR($A621),MONTH($A621)+IF(AND(IFERROR(N(INDEX(Übersicht!$M$15:$M$22,MATCH($B621,Übersicht!$A$15:$A$22,0))),0)&gt;1,DAY($A621)&gt;=IFERROR(N(INDEX(Übersicht!$M$15:$M$22,MATCH($B621,Übersicht!$A$15:$A$22,0))),0)),1,0),1))</f>
        <v/>
      </c>
    </row>
    <row r="622">
      <c r="A622" s="92" t="n"/>
      <c r="B622" s="55" t="n"/>
      <c r="C622" s="55" t="n"/>
      <c r="D622" s="55" t="n"/>
      <c r="E622" s="93" t="n"/>
      <c r="F622" s="94" t="n"/>
      <c r="G622" s="94" t="n"/>
      <c r="H622" s="94" t="n"/>
      <c r="I622" s="94" t="n"/>
      <c r="J622" s="55" t="n"/>
      <c r="K622" s="95" t="n"/>
      <c r="L622" s="116">
        <f>IF($A622="","",DATE(YEAR($A622),MONTH($A622)+IF(AND(IFERROR(N(INDEX(Übersicht!$M$15:$M$22,MATCH($B622,Übersicht!$A$15:$A$22,0))),0)&gt;1,DAY($A622)&gt;=IFERROR(N(INDEX(Übersicht!$M$15:$M$22,MATCH($B622,Übersicht!$A$15:$A$22,0))),0)),1,0),1))</f>
        <v/>
      </c>
    </row>
    <row r="623">
      <c r="A623" s="92" t="n"/>
      <c r="B623" s="55" t="n"/>
      <c r="C623" s="55" t="n"/>
      <c r="D623" s="55" t="n"/>
      <c r="E623" s="93" t="n"/>
      <c r="F623" s="94" t="n"/>
      <c r="G623" s="94" t="n"/>
      <c r="H623" s="94" t="n"/>
      <c r="I623" s="94" t="n"/>
      <c r="J623" s="55" t="n"/>
      <c r="K623" s="95" t="n"/>
      <c r="L623" s="116">
        <f>IF($A623="","",DATE(YEAR($A623),MONTH($A623)+IF(AND(IFERROR(N(INDEX(Übersicht!$M$15:$M$22,MATCH($B623,Übersicht!$A$15:$A$22,0))),0)&gt;1,DAY($A623)&gt;=IFERROR(N(INDEX(Übersicht!$M$15:$M$22,MATCH($B623,Übersicht!$A$15:$A$22,0))),0)),1,0),1))</f>
        <v/>
      </c>
    </row>
    <row r="624">
      <c r="A624" s="92" t="n"/>
      <c r="B624" s="55" t="n"/>
      <c r="C624" s="55" t="n"/>
      <c r="D624" s="55" t="n"/>
      <c r="E624" s="93" t="n"/>
      <c r="F624" s="94" t="n"/>
      <c r="G624" s="94" t="n"/>
      <c r="H624" s="94" t="n"/>
      <c r="I624" s="94" t="n"/>
      <c r="J624" s="55" t="n"/>
      <c r="K624" s="95" t="n"/>
      <c r="L624" s="116">
        <f>IF($A624="","",DATE(YEAR($A624),MONTH($A624)+IF(AND(IFERROR(N(INDEX(Übersicht!$M$15:$M$22,MATCH($B624,Übersicht!$A$15:$A$22,0))),0)&gt;1,DAY($A624)&gt;=IFERROR(N(INDEX(Übersicht!$M$15:$M$22,MATCH($B624,Übersicht!$A$15:$A$22,0))),0)),1,0),1))</f>
        <v/>
      </c>
    </row>
    <row r="625">
      <c r="A625" s="92" t="n"/>
      <c r="B625" s="55" t="n"/>
      <c r="C625" s="55" t="n"/>
      <c r="D625" s="55" t="n"/>
      <c r="E625" s="93" t="n"/>
      <c r="F625" s="94" t="n"/>
      <c r="G625" s="94" t="n"/>
      <c r="H625" s="94" t="n"/>
      <c r="I625" s="94" t="n"/>
      <c r="J625" s="55" t="n"/>
      <c r="K625" s="95" t="n"/>
      <c r="L625" s="116">
        <f>IF($A625="","",DATE(YEAR($A625),MONTH($A625)+IF(AND(IFERROR(N(INDEX(Übersicht!$M$15:$M$22,MATCH($B625,Übersicht!$A$15:$A$22,0))),0)&gt;1,DAY($A625)&gt;=IFERROR(N(INDEX(Übersicht!$M$15:$M$22,MATCH($B625,Übersicht!$A$15:$A$22,0))),0)),1,0),1))</f>
        <v/>
      </c>
    </row>
    <row r="626">
      <c r="A626" s="92" t="n"/>
      <c r="B626" s="55" t="n"/>
      <c r="C626" s="55" t="n"/>
      <c r="D626" s="55" t="n"/>
      <c r="E626" s="93" t="n"/>
      <c r="F626" s="94" t="n"/>
      <c r="G626" s="94" t="n"/>
      <c r="H626" s="94" t="n"/>
      <c r="I626" s="94" t="n"/>
      <c r="J626" s="55" t="n"/>
      <c r="K626" s="95" t="n"/>
      <c r="L626" s="116">
        <f>IF($A626="","",DATE(YEAR($A626),MONTH($A626)+IF(AND(IFERROR(N(INDEX(Übersicht!$M$15:$M$22,MATCH($B626,Übersicht!$A$15:$A$22,0))),0)&gt;1,DAY($A626)&gt;=IFERROR(N(INDEX(Übersicht!$M$15:$M$22,MATCH($B626,Übersicht!$A$15:$A$22,0))),0)),1,0),1))</f>
        <v/>
      </c>
    </row>
    <row r="627">
      <c r="A627" s="92" t="n"/>
      <c r="B627" s="55" t="n"/>
      <c r="C627" s="55" t="n"/>
      <c r="D627" s="55" t="n"/>
      <c r="E627" s="93" t="n"/>
      <c r="F627" s="94" t="n"/>
      <c r="G627" s="94" t="n"/>
      <c r="H627" s="94" t="n"/>
      <c r="I627" s="94" t="n"/>
      <c r="J627" s="55" t="n"/>
      <c r="K627" s="95" t="n"/>
      <c r="L627" s="116">
        <f>IF($A627="","",DATE(YEAR($A627),MONTH($A627)+IF(AND(IFERROR(N(INDEX(Übersicht!$M$15:$M$22,MATCH($B627,Übersicht!$A$15:$A$22,0))),0)&gt;1,DAY($A627)&gt;=IFERROR(N(INDEX(Übersicht!$M$15:$M$22,MATCH($B627,Übersicht!$A$15:$A$22,0))),0)),1,0),1))</f>
        <v/>
      </c>
    </row>
    <row r="628">
      <c r="A628" s="92" t="n"/>
      <c r="B628" s="55" t="n"/>
      <c r="C628" s="55" t="n"/>
      <c r="D628" s="55" t="n"/>
      <c r="E628" s="93" t="n"/>
      <c r="F628" s="94" t="n"/>
      <c r="G628" s="94" t="n"/>
      <c r="H628" s="94" t="n"/>
      <c r="I628" s="94" t="n"/>
      <c r="J628" s="55" t="n"/>
      <c r="K628" s="95" t="n"/>
      <c r="L628" s="116">
        <f>IF($A628="","",DATE(YEAR($A628),MONTH($A628)+IF(AND(IFERROR(N(INDEX(Übersicht!$M$15:$M$22,MATCH($B628,Übersicht!$A$15:$A$22,0))),0)&gt;1,DAY($A628)&gt;=IFERROR(N(INDEX(Übersicht!$M$15:$M$22,MATCH($B628,Übersicht!$A$15:$A$22,0))),0)),1,0),1))</f>
        <v/>
      </c>
    </row>
    <row r="629">
      <c r="A629" s="92" t="n"/>
      <c r="B629" s="55" t="n"/>
      <c r="C629" s="55" t="n"/>
      <c r="D629" s="55" t="n"/>
      <c r="E629" s="93" t="n"/>
      <c r="F629" s="94" t="n"/>
      <c r="G629" s="94" t="n"/>
      <c r="H629" s="94" t="n"/>
      <c r="I629" s="94" t="n"/>
      <c r="J629" s="55" t="n"/>
      <c r="K629" s="95" t="n"/>
      <c r="L629" s="116">
        <f>IF($A629="","",DATE(YEAR($A629),MONTH($A629)+IF(AND(IFERROR(N(INDEX(Übersicht!$M$15:$M$22,MATCH($B629,Übersicht!$A$15:$A$22,0))),0)&gt;1,DAY($A629)&gt;=IFERROR(N(INDEX(Übersicht!$M$15:$M$22,MATCH($B629,Übersicht!$A$15:$A$22,0))),0)),1,0),1))</f>
        <v/>
      </c>
    </row>
    <row r="630">
      <c r="A630" s="92" t="n"/>
      <c r="B630" s="55" t="n"/>
      <c r="C630" s="55" t="n"/>
      <c r="D630" s="55" t="n"/>
      <c r="E630" s="93" t="n"/>
      <c r="F630" s="94" t="n"/>
      <c r="G630" s="94" t="n"/>
      <c r="H630" s="94" t="n"/>
      <c r="I630" s="94" t="n"/>
      <c r="J630" s="55" t="n"/>
      <c r="K630" s="95" t="n"/>
      <c r="L630" s="116">
        <f>IF($A630="","",DATE(YEAR($A630),MONTH($A630)+IF(AND(IFERROR(N(INDEX(Übersicht!$M$15:$M$22,MATCH($B630,Übersicht!$A$15:$A$22,0))),0)&gt;1,DAY($A630)&gt;=IFERROR(N(INDEX(Übersicht!$M$15:$M$22,MATCH($B630,Übersicht!$A$15:$A$22,0))),0)),1,0),1))</f>
        <v/>
      </c>
    </row>
    <row r="631">
      <c r="A631" s="92" t="n"/>
      <c r="B631" s="55" t="n"/>
      <c r="C631" s="55" t="n"/>
      <c r="D631" s="55" t="n"/>
      <c r="E631" s="93" t="n"/>
      <c r="F631" s="94" t="n"/>
      <c r="G631" s="94" t="n"/>
      <c r="H631" s="94" t="n"/>
      <c r="I631" s="94" t="n"/>
      <c r="J631" s="55" t="n"/>
      <c r="K631" s="95" t="n"/>
      <c r="L631" s="116">
        <f>IF($A631="","",DATE(YEAR($A631),MONTH($A631)+IF(AND(IFERROR(N(INDEX(Übersicht!$M$15:$M$22,MATCH($B631,Übersicht!$A$15:$A$22,0))),0)&gt;1,DAY($A631)&gt;=IFERROR(N(INDEX(Übersicht!$M$15:$M$22,MATCH($B631,Übersicht!$A$15:$A$22,0))),0)),1,0),1))</f>
        <v/>
      </c>
    </row>
    <row r="632">
      <c r="A632" s="92" t="n"/>
      <c r="B632" s="55" t="n"/>
      <c r="C632" s="55" t="n"/>
      <c r="D632" s="55" t="n"/>
      <c r="E632" s="93" t="n"/>
      <c r="F632" s="94" t="n"/>
      <c r="G632" s="94" t="n"/>
      <c r="H632" s="94" t="n"/>
      <c r="I632" s="94" t="n"/>
      <c r="J632" s="55" t="n"/>
      <c r="K632" s="95" t="n"/>
      <c r="L632" s="116">
        <f>IF($A632="","",DATE(YEAR($A632),MONTH($A632)+IF(AND(IFERROR(N(INDEX(Übersicht!$M$15:$M$22,MATCH($B632,Übersicht!$A$15:$A$22,0))),0)&gt;1,DAY($A632)&gt;=IFERROR(N(INDEX(Übersicht!$M$15:$M$22,MATCH($B632,Übersicht!$A$15:$A$22,0))),0)),1,0),1))</f>
        <v/>
      </c>
    </row>
    <row r="633">
      <c r="A633" s="92" t="n"/>
      <c r="B633" s="55" t="n"/>
      <c r="C633" s="55" t="n"/>
      <c r="D633" s="55" t="n"/>
      <c r="E633" s="93" t="n"/>
      <c r="F633" s="94" t="n"/>
      <c r="G633" s="94" t="n"/>
      <c r="H633" s="94" t="n"/>
      <c r="I633" s="94" t="n"/>
      <c r="J633" s="55" t="n"/>
      <c r="K633" s="95" t="n"/>
      <c r="L633" s="116">
        <f>IF($A633="","",DATE(YEAR($A633),MONTH($A633)+IF(AND(IFERROR(N(INDEX(Übersicht!$M$15:$M$22,MATCH($B633,Übersicht!$A$15:$A$22,0))),0)&gt;1,DAY($A633)&gt;=IFERROR(N(INDEX(Übersicht!$M$15:$M$22,MATCH($B633,Übersicht!$A$15:$A$22,0))),0)),1,0),1))</f>
        <v/>
      </c>
    </row>
    <row r="634">
      <c r="A634" s="92" t="n"/>
      <c r="B634" s="55" t="n"/>
      <c r="C634" s="55" t="n"/>
      <c r="D634" s="55" t="n"/>
      <c r="E634" s="93" t="n"/>
      <c r="F634" s="94" t="n"/>
      <c r="G634" s="94" t="n"/>
      <c r="H634" s="94" t="n"/>
      <c r="I634" s="94" t="n"/>
      <c r="J634" s="55" t="n"/>
      <c r="K634" s="95" t="n"/>
      <c r="L634" s="116">
        <f>IF($A634="","",DATE(YEAR($A634),MONTH($A634)+IF(AND(IFERROR(N(INDEX(Übersicht!$M$15:$M$22,MATCH($B634,Übersicht!$A$15:$A$22,0))),0)&gt;1,DAY($A634)&gt;=IFERROR(N(INDEX(Übersicht!$M$15:$M$22,MATCH($B634,Übersicht!$A$15:$A$22,0))),0)),1,0),1))</f>
        <v/>
      </c>
    </row>
    <row r="635">
      <c r="A635" s="92" t="n"/>
      <c r="B635" s="55" t="n"/>
      <c r="C635" s="55" t="n"/>
      <c r="D635" s="55" t="n"/>
      <c r="E635" s="93" t="n"/>
      <c r="F635" s="94" t="n"/>
      <c r="G635" s="94" t="n"/>
      <c r="H635" s="94" t="n"/>
      <c r="I635" s="94" t="n"/>
      <c r="J635" s="55" t="n"/>
      <c r="K635" s="95" t="n"/>
      <c r="L635" s="116">
        <f>IF($A635="","",DATE(YEAR($A635),MONTH($A635)+IF(AND(IFERROR(N(INDEX(Übersicht!$M$15:$M$22,MATCH($B635,Übersicht!$A$15:$A$22,0))),0)&gt;1,DAY($A635)&gt;=IFERROR(N(INDEX(Übersicht!$M$15:$M$22,MATCH($B635,Übersicht!$A$15:$A$22,0))),0)),1,0),1))</f>
        <v/>
      </c>
    </row>
    <row r="636">
      <c r="A636" s="92" t="n"/>
      <c r="B636" s="55" t="n"/>
      <c r="C636" s="55" t="n"/>
      <c r="D636" s="55" t="n"/>
      <c r="E636" s="93" t="n"/>
      <c r="F636" s="94" t="n"/>
      <c r="G636" s="94" t="n"/>
      <c r="H636" s="94" t="n"/>
      <c r="I636" s="94" t="n"/>
      <c r="J636" s="55" t="n"/>
      <c r="K636" s="95" t="n"/>
      <c r="L636" s="116">
        <f>IF($A636="","",DATE(YEAR($A636),MONTH($A636)+IF(AND(IFERROR(N(INDEX(Übersicht!$M$15:$M$22,MATCH($B636,Übersicht!$A$15:$A$22,0))),0)&gt;1,DAY($A636)&gt;=IFERROR(N(INDEX(Übersicht!$M$15:$M$22,MATCH($B636,Übersicht!$A$15:$A$22,0))),0)),1,0),1))</f>
        <v/>
      </c>
    </row>
    <row r="637">
      <c r="A637" s="92" t="n"/>
      <c r="B637" s="55" t="n"/>
      <c r="C637" s="55" t="n"/>
      <c r="D637" s="55" t="n"/>
      <c r="E637" s="93" t="n"/>
      <c r="F637" s="94" t="n"/>
      <c r="G637" s="94" t="n"/>
      <c r="H637" s="94" t="n"/>
      <c r="I637" s="94" t="n"/>
      <c r="J637" s="55" t="n"/>
      <c r="K637" s="95" t="n"/>
      <c r="L637" s="116">
        <f>IF($A637="","",DATE(YEAR($A637),MONTH($A637)+IF(AND(IFERROR(N(INDEX(Übersicht!$M$15:$M$22,MATCH($B637,Übersicht!$A$15:$A$22,0))),0)&gt;1,DAY($A637)&gt;=IFERROR(N(INDEX(Übersicht!$M$15:$M$22,MATCH($B637,Übersicht!$A$15:$A$22,0))),0)),1,0),1))</f>
        <v/>
      </c>
    </row>
    <row r="638">
      <c r="A638" s="92" t="n"/>
      <c r="B638" s="55" t="n"/>
      <c r="C638" s="55" t="n"/>
      <c r="D638" s="55" t="n"/>
      <c r="E638" s="93" t="n"/>
      <c r="F638" s="94" t="n"/>
      <c r="G638" s="94" t="n"/>
      <c r="H638" s="94" t="n"/>
      <c r="I638" s="94" t="n"/>
      <c r="J638" s="55" t="n"/>
      <c r="K638" s="95" t="n"/>
      <c r="L638" s="116">
        <f>IF($A638="","",DATE(YEAR($A638),MONTH($A638)+IF(AND(IFERROR(N(INDEX(Übersicht!$M$15:$M$22,MATCH($B638,Übersicht!$A$15:$A$22,0))),0)&gt;1,DAY($A638)&gt;=IFERROR(N(INDEX(Übersicht!$M$15:$M$22,MATCH($B638,Übersicht!$A$15:$A$22,0))),0)),1,0),1))</f>
        <v/>
      </c>
    </row>
    <row r="639">
      <c r="A639" s="92" t="n"/>
      <c r="B639" s="55" t="n"/>
      <c r="C639" s="55" t="n"/>
      <c r="D639" s="55" t="n"/>
      <c r="E639" s="93" t="n"/>
      <c r="F639" s="94" t="n"/>
      <c r="G639" s="94" t="n"/>
      <c r="H639" s="94" t="n"/>
      <c r="I639" s="94" t="n"/>
      <c r="J639" s="55" t="n"/>
      <c r="K639" s="95" t="n"/>
      <c r="L639" s="116">
        <f>IF($A639="","",DATE(YEAR($A639),MONTH($A639)+IF(AND(IFERROR(N(INDEX(Übersicht!$M$15:$M$22,MATCH($B639,Übersicht!$A$15:$A$22,0))),0)&gt;1,DAY($A639)&gt;=IFERROR(N(INDEX(Übersicht!$M$15:$M$22,MATCH($B639,Übersicht!$A$15:$A$22,0))),0)),1,0),1))</f>
        <v/>
      </c>
    </row>
    <row r="640">
      <c r="A640" s="92" t="n"/>
      <c r="B640" s="55" t="n"/>
      <c r="C640" s="55" t="n"/>
      <c r="D640" s="55" t="n"/>
      <c r="E640" s="93" t="n"/>
      <c r="F640" s="94" t="n"/>
      <c r="G640" s="94" t="n"/>
      <c r="H640" s="94" t="n"/>
      <c r="I640" s="94" t="n"/>
      <c r="J640" s="55" t="n"/>
      <c r="K640" s="95" t="n"/>
      <c r="L640" s="116">
        <f>IF($A640="","",DATE(YEAR($A640),MONTH($A640)+IF(AND(IFERROR(N(INDEX(Übersicht!$M$15:$M$22,MATCH($B640,Übersicht!$A$15:$A$22,0))),0)&gt;1,DAY($A640)&gt;=IFERROR(N(INDEX(Übersicht!$M$15:$M$22,MATCH($B640,Übersicht!$A$15:$A$22,0))),0)),1,0),1))</f>
        <v/>
      </c>
    </row>
    <row r="641">
      <c r="A641" s="92" t="n"/>
      <c r="B641" s="55" t="n"/>
      <c r="C641" s="55" t="n"/>
      <c r="D641" s="55" t="n"/>
      <c r="E641" s="93" t="n"/>
      <c r="F641" s="94" t="n"/>
      <c r="G641" s="94" t="n"/>
      <c r="H641" s="94" t="n"/>
      <c r="I641" s="94" t="n"/>
      <c r="J641" s="55" t="n"/>
      <c r="K641" s="95" t="n"/>
      <c r="L641" s="116">
        <f>IF($A641="","",DATE(YEAR($A641),MONTH($A641)+IF(AND(IFERROR(N(INDEX(Übersicht!$M$15:$M$22,MATCH($B641,Übersicht!$A$15:$A$22,0))),0)&gt;1,DAY($A641)&gt;=IFERROR(N(INDEX(Übersicht!$M$15:$M$22,MATCH($B641,Übersicht!$A$15:$A$22,0))),0)),1,0),1))</f>
        <v/>
      </c>
    </row>
    <row r="642">
      <c r="A642" s="92" t="n"/>
      <c r="B642" s="55" t="n"/>
      <c r="C642" s="55" t="n"/>
      <c r="D642" s="55" t="n"/>
      <c r="E642" s="93" t="n"/>
      <c r="F642" s="94" t="n"/>
      <c r="G642" s="94" t="n"/>
      <c r="H642" s="94" t="n"/>
      <c r="I642" s="94" t="n"/>
      <c r="J642" s="55" t="n"/>
      <c r="K642" s="95" t="n"/>
      <c r="L642" s="116">
        <f>IF($A642="","",DATE(YEAR($A642),MONTH($A642)+IF(AND(IFERROR(N(INDEX(Übersicht!$M$15:$M$22,MATCH($B642,Übersicht!$A$15:$A$22,0))),0)&gt;1,DAY($A642)&gt;=IFERROR(N(INDEX(Übersicht!$M$15:$M$22,MATCH($B642,Übersicht!$A$15:$A$22,0))),0)),1,0),1))</f>
        <v/>
      </c>
    </row>
    <row r="643">
      <c r="A643" s="92" t="n"/>
      <c r="B643" s="55" t="n"/>
      <c r="C643" s="55" t="n"/>
      <c r="D643" s="55" t="n"/>
      <c r="E643" s="93" t="n"/>
      <c r="F643" s="94" t="n"/>
      <c r="G643" s="94" t="n"/>
      <c r="H643" s="94" t="n"/>
      <c r="I643" s="94" t="n"/>
      <c r="J643" s="55" t="n"/>
      <c r="K643" s="95" t="n"/>
      <c r="L643" s="116">
        <f>IF($A643="","",DATE(YEAR($A643),MONTH($A643)+IF(AND(IFERROR(N(INDEX(Übersicht!$M$15:$M$22,MATCH($B643,Übersicht!$A$15:$A$22,0))),0)&gt;1,DAY($A643)&gt;=IFERROR(N(INDEX(Übersicht!$M$15:$M$22,MATCH($B643,Übersicht!$A$15:$A$22,0))),0)),1,0),1))</f>
        <v/>
      </c>
    </row>
    <row r="644">
      <c r="A644" s="92" t="n"/>
      <c r="B644" s="55" t="n"/>
      <c r="C644" s="55" t="n"/>
      <c r="D644" s="55" t="n"/>
      <c r="E644" s="93" t="n"/>
      <c r="F644" s="94" t="n"/>
      <c r="G644" s="94" t="n"/>
      <c r="H644" s="94" t="n"/>
      <c r="I644" s="94" t="n"/>
      <c r="J644" s="55" t="n"/>
      <c r="K644" s="95" t="n"/>
      <c r="L644" s="116">
        <f>IF($A644="","",DATE(YEAR($A644),MONTH($A644)+IF(AND(IFERROR(N(INDEX(Übersicht!$M$15:$M$22,MATCH($B644,Übersicht!$A$15:$A$22,0))),0)&gt;1,DAY($A644)&gt;=IFERROR(N(INDEX(Übersicht!$M$15:$M$22,MATCH($B644,Übersicht!$A$15:$A$22,0))),0)),1,0),1))</f>
        <v/>
      </c>
    </row>
    <row r="645">
      <c r="A645" s="92" t="n"/>
      <c r="B645" s="55" t="n"/>
      <c r="C645" s="55" t="n"/>
      <c r="D645" s="55" t="n"/>
      <c r="E645" s="93" t="n"/>
      <c r="F645" s="94" t="n"/>
      <c r="G645" s="94" t="n"/>
      <c r="H645" s="94" t="n"/>
      <c r="I645" s="94" t="n"/>
      <c r="J645" s="55" t="n"/>
      <c r="K645" s="95" t="n"/>
      <c r="L645" s="116">
        <f>IF($A645="","",DATE(YEAR($A645),MONTH($A645)+IF(AND(IFERROR(N(INDEX(Übersicht!$M$15:$M$22,MATCH($B645,Übersicht!$A$15:$A$22,0))),0)&gt;1,DAY($A645)&gt;=IFERROR(N(INDEX(Übersicht!$M$15:$M$22,MATCH($B645,Übersicht!$A$15:$A$22,0))),0)),1,0),1))</f>
        <v/>
      </c>
    </row>
    <row r="646">
      <c r="A646" s="92" t="n"/>
      <c r="B646" s="55" t="n"/>
      <c r="C646" s="55" t="n"/>
      <c r="D646" s="55" t="n"/>
      <c r="E646" s="93" t="n"/>
      <c r="F646" s="94" t="n"/>
      <c r="G646" s="94" t="n"/>
      <c r="H646" s="94" t="n"/>
      <c r="I646" s="94" t="n"/>
      <c r="J646" s="55" t="n"/>
      <c r="K646" s="95" t="n"/>
      <c r="L646" s="116">
        <f>IF($A646="","",DATE(YEAR($A646),MONTH($A646)+IF(AND(IFERROR(N(INDEX(Übersicht!$M$15:$M$22,MATCH($B646,Übersicht!$A$15:$A$22,0))),0)&gt;1,DAY($A646)&gt;=IFERROR(N(INDEX(Übersicht!$M$15:$M$22,MATCH($B646,Übersicht!$A$15:$A$22,0))),0)),1,0),1))</f>
        <v/>
      </c>
    </row>
    <row r="647">
      <c r="A647" s="92" t="n"/>
      <c r="B647" s="55" t="n"/>
      <c r="C647" s="55" t="n"/>
      <c r="D647" s="55" t="n"/>
      <c r="E647" s="93" t="n"/>
      <c r="F647" s="94" t="n"/>
      <c r="G647" s="94" t="n"/>
      <c r="H647" s="94" t="n"/>
      <c r="I647" s="94" t="n"/>
      <c r="J647" s="55" t="n"/>
      <c r="K647" s="95" t="n"/>
      <c r="L647" s="116">
        <f>IF($A647="","",DATE(YEAR($A647),MONTH($A647)+IF(AND(IFERROR(N(INDEX(Übersicht!$M$15:$M$22,MATCH($B647,Übersicht!$A$15:$A$22,0))),0)&gt;1,DAY($A647)&gt;=IFERROR(N(INDEX(Übersicht!$M$15:$M$22,MATCH($B647,Übersicht!$A$15:$A$22,0))),0)),1,0),1))</f>
        <v/>
      </c>
    </row>
    <row r="648">
      <c r="A648" s="92" t="n"/>
      <c r="B648" s="55" t="n"/>
      <c r="C648" s="55" t="n"/>
      <c r="D648" s="55" t="n"/>
      <c r="E648" s="93" t="n"/>
      <c r="F648" s="94" t="n"/>
      <c r="G648" s="94" t="n"/>
      <c r="H648" s="94" t="n"/>
      <c r="I648" s="94" t="n"/>
      <c r="J648" s="55" t="n"/>
      <c r="K648" s="95" t="n"/>
      <c r="L648" s="116">
        <f>IF($A648="","",DATE(YEAR($A648),MONTH($A648)+IF(AND(IFERROR(N(INDEX(Übersicht!$M$15:$M$22,MATCH($B648,Übersicht!$A$15:$A$22,0))),0)&gt;1,DAY($A648)&gt;=IFERROR(N(INDEX(Übersicht!$M$15:$M$22,MATCH($B648,Übersicht!$A$15:$A$22,0))),0)),1,0),1))</f>
        <v/>
      </c>
    </row>
    <row r="649">
      <c r="A649" s="92" t="n"/>
      <c r="B649" s="55" t="n"/>
      <c r="C649" s="55" t="n"/>
      <c r="D649" s="55" t="n"/>
      <c r="E649" s="93" t="n"/>
      <c r="F649" s="94" t="n"/>
      <c r="G649" s="94" t="n"/>
      <c r="H649" s="94" t="n"/>
      <c r="I649" s="94" t="n"/>
      <c r="J649" s="55" t="n"/>
      <c r="K649" s="95" t="n"/>
      <c r="L649" s="116">
        <f>IF($A649="","",DATE(YEAR($A649),MONTH($A649)+IF(AND(IFERROR(N(INDEX(Übersicht!$M$15:$M$22,MATCH($B649,Übersicht!$A$15:$A$22,0))),0)&gt;1,DAY($A649)&gt;=IFERROR(N(INDEX(Übersicht!$M$15:$M$22,MATCH($B649,Übersicht!$A$15:$A$22,0))),0)),1,0),1))</f>
        <v/>
      </c>
    </row>
    <row r="650">
      <c r="A650" s="92" t="n"/>
      <c r="B650" s="55" t="n"/>
      <c r="C650" s="55" t="n"/>
      <c r="D650" s="55" t="n"/>
      <c r="E650" s="93" t="n"/>
      <c r="F650" s="94" t="n"/>
      <c r="G650" s="94" t="n"/>
      <c r="H650" s="94" t="n"/>
      <c r="I650" s="94" t="n"/>
      <c r="J650" s="55" t="n"/>
      <c r="K650" s="95" t="n"/>
      <c r="L650" s="116">
        <f>IF($A650="","",DATE(YEAR($A650),MONTH($A650)+IF(AND(IFERROR(N(INDEX(Übersicht!$M$15:$M$22,MATCH($B650,Übersicht!$A$15:$A$22,0))),0)&gt;1,DAY($A650)&gt;=IFERROR(N(INDEX(Übersicht!$M$15:$M$22,MATCH($B650,Übersicht!$A$15:$A$22,0))),0)),1,0),1))</f>
        <v/>
      </c>
    </row>
    <row r="651">
      <c r="A651" s="92" t="n"/>
      <c r="B651" s="55" t="n"/>
      <c r="C651" s="55" t="n"/>
      <c r="D651" s="55" t="n"/>
      <c r="E651" s="93" t="n"/>
      <c r="F651" s="94" t="n"/>
      <c r="G651" s="94" t="n"/>
      <c r="H651" s="94" t="n"/>
      <c r="I651" s="94" t="n"/>
      <c r="J651" s="55" t="n"/>
      <c r="K651" s="95" t="n"/>
      <c r="L651" s="116">
        <f>IF($A651="","",DATE(YEAR($A651),MONTH($A651)+IF(AND(IFERROR(N(INDEX(Übersicht!$M$15:$M$22,MATCH($B651,Übersicht!$A$15:$A$22,0))),0)&gt;1,DAY($A651)&gt;=IFERROR(N(INDEX(Übersicht!$M$15:$M$22,MATCH($B651,Übersicht!$A$15:$A$22,0))),0)),1,0),1))</f>
        <v/>
      </c>
    </row>
    <row r="652">
      <c r="A652" s="92" t="n"/>
      <c r="B652" s="55" t="n"/>
      <c r="C652" s="55" t="n"/>
      <c r="D652" s="55" t="n"/>
      <c r="E652" s="93" t="n"/>
      <c r="F652" s="94" t="n"/>
      <c r="G652" s="94" t="n"/>
      <c r="H652" s="94" t="n"/>
      <c r="I652" s="94" t="n"/>
      <c r="J652" s="55" t="n"/>
      <c r="K652" s="95" t="n"/>
      <c r="L652" s="116">
        <f>IF($A652="","",DATE(YEAR($A652),MONTH($A652)+IF(AND(IFERROR(N(INDEX(Übersicht!$M$15:$M$22,MATCH($B652,Übersicht!$A$15:$A$22,0))),0)&gt;1,DAY($A652)&gt;=IFERROR(N(INDEX(Übersicht!$M$15:$M$22,MATCH($B652,Übersicht!$A$15:$A$22,0))),0)),1,0),1))</f>
        <v/>
      </c>
    </row>
    <row r="653">
      <c r="A653" s="92" t="n"/>
      <c r="B653" s="55" t="n"/>
      <c r="C653" s="55" t="n"/>
      <c r="D653" s="55" t="n"/>
      <c r="E653" s="93" t="n"/>
      <c r="F653" s="94" t="n"/>
      <c r="G653" s="94" t="n"/>
      <c r="H653" s="94" t="n"/>
      <c r="I653" s="94" t="n"/>
      <c r="J653" s="55" t="n"/>
      <c r="K653" s="95" t="n"/>
      <c r="L653" s="116">
        <f>IF($A653="","",DATE(YEAR($A653),MONTH($A653)+IF(AND(IFERROR(N(INDEX(Übersicht!$M$15:$M$22,MATCH($B653,Übersicht!$A$15:$A$22,0))),0)&gt;1,DAY($A653)&gt;=IFERROR(N(INDEX(Übersicht!$M$15:$M$22,MATCH($B653,Übersicht!$A$15:$A$22,0))),0)),1,0),1))</f>
        <v/>
      </c>
    </row>
    <row r="654">
      <c r="A654" s="92" t="n"/>
      <c r="B654" s="55" t="n"/>
      <c r="C654" s="55" t="n"/>
      <c r="D654" s="55" t="n"/>
      <c r="E654" s="93" t="n"/>
      <c r="F654" s="94" t="n"/>
      <c r="G654" s="94" t="n"/>
      <c r="H654" s="94" t="n"/>
      <c r="I654" s="94" t="n"/>
      <c r="J654" s="55" t="n"/>
      <c r="K654" s="95" t="n"/>
      <c r="L654" s="116">
        <f>IF($A654="","",DATE(YEAR($A654),MONTH($A654)+IF(AND(IFERROR(N(INDEX(Übersicht!$M$15:$M$22,MATCH($B654,Übersicht!$A$15:$A$22,0))),0)&gt;1,DAY($A654)&gt;=IFERROR(N(INDEX(Übersicht!$M$15:$M$22,MATCH($B654,Übersicht!$A$15:$A$22,0))),0)),1,0),1))</f>
        <v/>
      </c>
    </row>
    <row r="655">
      <c r="A655" s="92" t="n"/>
      <c r="B655" s="55" t="n"/>
      <c r="C655" s="55" t="n"/>
      <c r="D655" s="55" t="n"/>
      <c r="E655" s="93" t="n"/>
      <c r="F655" s="94" t="n"/>
      <c r="G655" s="94" t="n"/>
      <c r="H655" s="94" t="n"/>
      <c r="I655" s="94" t="n"/>
      <c r="J655" s="55" t="n"/>
      <c r="K655" s="95" t="n"/>
      <c r="L655" s="116">
        <f>IF($A655="","",DATE(YEAR($A655),MONTH($A655)+IF(AND(IFERROR(N(INDEX(Übersicht!$M$15:$M$22,MATCH($B655,Übersicht!$A$15:$A$22,0))),0)&gt;1,DAY($A655)&gt;=IFERROR(N(INDEX(Übersicht!$M$15:$M$22,MATCH($B655,Übersicht!$A$15:$A$22,0))),0)),1,0),1))</f>
        <v/>
      </c>
    </row>
    <row r="656">
      <c r="A656" s="92" t="n"/>
      <c r="B656" s="55" t="n"/>
      <c r="C656" s="55" t="n"/>
      <c r="D656" s="55" t="n"/>
      <c r="E656" s="93" t="n"/>
      <c r="F656" s="94" t="n"/>
      <c r="G656" s="94" t="n"/>
      <c r="H656" s="94" t="n"/>
      <c r="I656" s="94" t="n"/>
      <c r="J656" s="55" t="n"/>
      <c r="K656" s="95" t="n"/>
      <c r="L656" s="116">
        <f>IF($A656="","",DATE(YEAR($A656),MONTH($A656)+IF(AND(IFERROR(N(INDEX(Übersicht!$M$15:$M$22,MATCH($B656,Übersicht!$A$15:$A$22,0))),0)&gt;1,DAY($A656)&gt;=IFERROR(N(INDEX(Übersicht!$M$15:$M$22,MATCH($B656,Übersicht!$A$15:$A$22,0))),0)),1,0),1))</f>
        <v/>
      </c>
    </row>
    <row r="657">
      <c r="A657" s="92" t="n"/>
      <c r="B657" s="55" t="n"/>
      <c r="C657" s="55" t="n"/>
      <c r="D657" s="55" t="n"/>
      <c r="E657" s="93" t="n"/>
      <c r="F657" s="94" t="n"/>
      <c r="G657" s="94" t="n"/>
      <c r="H657" s="94" t="n"/>
      <c r="I657" s="94" t="n"/>
      <c r="J657" s="55" t="n"/>
      <c r="K657" s="95" t="n"/>
      <c r="L657" s="116">
        <f>IF($A657="","",DATE(YEAR($A657),MONTH($A657)+IF(AND(IFERROR(N(INDEX(Übersicht!$M$15:$M$22,MATCH($B657,Übersicht!$A$15:$A$22,0))),0)&gt;1,DAY($A657)&gt;=IFERROR(N(INDEX(Übersicht!$M$15:$M$22,MATCH($B657,Übersicht!$A$15:$A$22,0))),0)),1,0),1))</f>
        <v/>
      </c>
    </row>
    <row r="658">
      <c r="A658" s="92" t="n"/>
      <c r="B658" s="55" t="n"/>
      <c r="C658" s="55" t="n"/>
      <c r="D658" s="55" t="n"/>
      <c r="E658" s="93" t="n"/>
      <c r="F658" s="94" t="n"/>
      <c r="G658" s="94" t="n"/>
      <c r="H658" s="94" t="n"/>
      <c r="I658" s="94" t="n"/>
      <c r="J658" s="55" t="n"/>
      <c r="K658" s="95" t="n"/>
      <c r="L658" s="116">
        <f>IF($A658="","",DATE(YEAR($A658),MONTH($A658)+IF(AND(IFERROR(N(INDEX(Übersicht!$M$15:$M$22,MATCH($B658,Übersicht!$A$15:$A$22,0))),0)&gt;1,DAY($A658)&gt;=IFERROR(N(INDEX(Übersicht!$M$15:$M$22,MATCH($B658,Übersicht!$A$15:$A$22,0))),0)),1,0),1))</f>
        <v/>
      </c>
    </row>
    <row r="659">
      <c r="A659" s="92" t="n"/>
      <c r="B659" s="55" t="n"/>
      <c r="C659" s="55" t="n"/>
      <c r="D659" s="55" t="n"/>
      <c r="E659" s="93" t="n"/>
      <c r="F659" s="94" t="n"/>
      <c r="G659" s="94" t="n"/>
      <c r="H659" s="94" t="n"/>
      <c r="I659" s="94" t="n"/>
      <c r="J659" s="55" t="n"/>
      <c r="K659" s="95" t="n"/>
      <c r="L659" s="116">
        <f>IF($A659="","",DATE(YEAR($A659),MONTH($A659)+IF(AND(IFERROR(N(INDEX(Übersicht!$M$15:$M$22,MATCH($B659,Übersicht!$A$15:$A$22,0))),0)&gt;1,DAY($A659)&gt;=IFERROR(N(INDEX(Übersicht!$M$15:$M$22,MATCH($B659,Übersicht!$A$15:$A$22,0))),0)),1,0),1))</f>
        <v/>
      </c>
    </row>
    <row r="660">
      <c r="A660" s="92" t="n"/>
      <c r="B660" s="55" t="n"/>
      <c r="C660" s="55" t="n"/>
      <c r="D660" s="55" t="n"/>
      <c r="E660" s="93" t="n"/>
      <c r="F660" s="94" t="n"/>
      <c r="G660" s="94" t="n"/>
      <c r="H660" s="94" t="n"/>
      <c r="I660" s="94" t="n"/>
      <c r="J660" s="55" t="n"/>
      <c r="K660" s="95" t="n"/>
      <c r="L660" s="116">
        <f>IF($A660="","",DATE(YEAR($A660),MONTH($A660)+IF(AND(IFERROR(N(INDEX(Übersicht!$M$15:$M$22,MATCH($B660,Übersicht!$A$15:$A$22,0))),0)&gt;1,DAY($A660)&gt;=IFERROR(N(INDEX(Übersicht!$M$15:$M$22,MATCH($B660,Übersicht!$A$15:$A$22,0))),0)),1,0),1))</f>
        <v/>
      </c>
    </row>
    <row r="661">
      <c r="A661" s="92" t="n"/>
      <c r="B661" s="55" t="n"/>
      <c r="C661" s="55" t="n"/>
      <c r="D661" s="55" t="n"/>
      <c r="E661" s="93" t="n"/>
      <c r="F661" s="94" t="n"/>
      <c r="G661" s="94" t="n"/>
      <c r="H661" s="94" t="n"/>
      <c r="I661" s="94" t="n"/>
      <c r="J661" s="55" t="n"/>
      <c r="K661" s="95" t="n"/>
      <c r="L661" s="116">
        <f>IF($A661="","",DATE(YEAR($A661),MONTH($A661)+IF(AND(IFERROR(N(INDEX(Übersicht!$M$15:$M$22,MATCH($B661,Übersicht!$A$15:$A$22,0))),0)&gt;1,DAY($A661)&gt;=IFERROR(N(INDEX(Übersicht!$M$15:$M$22,MATCH($B661,Übersicht!$A$15:$A$22,0))),0)),1,0),1))</f>
        <v/>
      </c>
    </row>
    <row r="662">
      <c r="A662" s="92" t="n"/>
      <c r="B662" s="55" t="n"/>
      <c r="C662" s="55" t="n"/>
      <c r="D662" s="55" t="n"/>
      <c r="E662" s="93" t="n"/>
      <c r="F662" s="94" t="n"/>
      <c r="G662" s="94" t="n"/>
      <c r="H662" s="94" t="n"/>
      <c r="I662" s="94" t="n"/>
      <c r="J662" s="55" t="n"/>
      <c r="K662" s="95" t="n"/>
      <c r="L662" s="116">
        <f>IF($A662="","",DATE(YEAR($A662),MONTH($A662)+IF(AND(IFERROR(N(INDEX(Übersicht!$M$15:$M$22,MATCH($B662,Übersicht!$A$15:$A$22,0))),0)&gt;1,DAY($A662)&gt;=IFERROR(N(INDEX(Übersicht!$M$15:$M$22,MATCH($B662,Übersicht!$A$15:$A$22,0))),0)),1,0),1))</f>
        <v/>
      </c>
    </row>
    <row r="663">
      <c r="A663" s="92" t="n"/>
      <c r="B663" s="55" t="n"/>
      <c r="C663" s="55" t="n"/>
      <c r="D663" s="55" t="n"/>
      <c r="E663" s="93" t="n"/>
      <c r="F663" s="94" t="n"/>
      <c r="G663" s="94" t="n"/>
      <c r="H663" s="94" t="n"/>
      <c r="I663" s="94" t="n"/>
      <c r="J663" s="55" t="n"/>
      <c r="K663" s="95" t="n"/>
      <c r="L663" s="116">
        <f>IF($A663="","",DATE(YEAR($A663),MONTH($A663)+IF(AND(IFERROR(N(INDEX(Übersicht!$M$15:$M$22,MATCH($B663,Übersicht!$A$15:$A$22,0))),0)&gt;1,DAY($A663)&gt;=IFERROR(N(INDEX(Übersicht!$M$15:$M$22,MATCH($B663,Übersicht!$A$15:$A$22,0))),0)),1,0),1))</f>
        <v/>
      </c>
    </row>
    <row r="664">
      <c r="A664" s="92" t="n"/>
      <c r="B664" s="55" t="n"/>
      <c r="C664" s="55" t="n"/>
      <c r="D664" s="55" t="n"/>
      <c r="E664" s="93" t="n"/>
      <c r="F664" s="94" t="n"/>
      <c r="G664" s="94" t="n"/>
      <c r="H664" s="94" t="n"/>
      <c r="I664" s="94" t="n"/>
      <c r="J664" s="55" t="n"/>
      <c r="K664" s="95" t="n"/>
      <c r="L664" s="116">
        <f>IF($A664="","",DATE(YEAR($A664),MONTH($A664)+IF(AND(IFERROR(N(INDEX(Übersicht!$M$15:$M$22,MATCH($B664,Übersicht!$A$15:$A$22,0))),0)&gt;1,DAY($A664)&gt;=IFERROR(N(INDEX(Übersicht!$M$15:$M$22,MATCH($B664,Übersicht!$A$15:$A$22,0))),0)),1,0),1))</f>
        <v/>
      </c>
    </row>
    <row r="665">
      <c r="A665" s="92" t="n"/>
      <c r="B665" s="55" t="n"/>
      <c r="C665" s="55" t="n"/>
      <c r="D665" s="55" t="n"/>
      <c r="E665" s="93" t="n"/>
      <c r="F665" s="94" t="n"/>
      <c r="G665" s="94" t="n"/>
      <c r="H665" s="94" t="n"/>
      <c r="I665" s="94" t="n"/>
      <c r="J665" s="55" t="n"/>
      <c r="K665" s="95" t="n"/>
      <c r="L665" s="116">
        <f>IF($A665="","",DATE(YEAR($A665),MONTH($A665)+IF(AND(IFERROR(N(INDEX(Übersicht!$M$15:$M$22,MATCH($B665,Übersicht!$A$15:$A$22,0))),0)&gt;1,DAY($A665)&gt;=IFERROR(N(INDEX(Übersicht!$M$15:$M$22,MATCH($B665,Übersicht!$A$15:$A$22,0))),0)),1,0),1))</f>
        <v/>
      </c>
    </row>
    <row r="666">
      <c r="A666" s="92" t="n"/>
      <c r="B666" s="55" t="n"/>
      <c r="C666" s="55" t="n"/>
      <c r="D666" s="55" t="n"/>
      <c r="E666" s="93" t="n"/>
      <c r="F666" s="94" t="n"/>
      <c r="G666" s="94" t="n"/>
      <c r="H666" s="94" t="n"/>
      <c r="I666" s="94" t="n"/>
      <c r="J666" s="55" t="n"/>
      <c r="K666" s="95" t="n"/>
      <c r="L666" s="116">
        <f>IF($A666="","",DATE(YEAR($A666),MONTH($A666)+IF(AND(IFERROR(N(INDEX(Übersicht!$M$15:$M$22,MATCH($B666,Übersicht!$A$15:$A$22,0))),0)&gt;1,DAY($A666)&gt;=IFERROR(N(INDEX(Übersicht!$M$15:$M$22,MATCH($B666,Übersicht!$A$15:$A$22,0))),0)),1,0),1))</f>
        <v/>
      </c>
    </row>
    <row r="667">
      <c r="A667" s="92" t="n"/>
      <c r="B667" s="55" t="n"/>
      <c r="C667" s="55" t="n"/>
      <c r="D667" s="55" t="n"/>
      <c r="E667" s="93" t="n"/>
      <c r="F667" s="94" t="n"/>
      <c r="G667" s="94" t="n"/>
      <c r="H667" s="94" t="n"/>
      <c r="I667" s="94" t="n"/>
      <c r="J667" s="55" t="n"/>
      <c r="K667" s="95" t="n"/>
      <c r="L667" s="116">
        <f>IF($A667="","",DATE(YEAR($A667),MONTH($A667)+IF(AND(IFERROR(N(INDEX(Übersicht!$M$15:$M$22,MATCH($B667,Übersicht!$A$15:$A$22,0))),0)&gt;1,DAY($A667)&gt;=IFERROR(N(INDEX(Übersicht!$M$15:$M$22,MATCH($B667,Übersicht!$A$15:$A$22,0))),0)),1,0),1))</f>
        <v/>
      </c>
    </row>
    <row r="668">
      <c r="A668" s="92" t="n"/>
      <c r="B668" s="55" t="n"/>
      <c r="C668" s="55" t="n"/>
      <c r="D668" s="55" t="n"/>
      <c r="E668" s="93" t="n"/>
      <c r="F668" s="94" t="n"/>
      <c r="G668" s="94" t="n"/>
      <c r="H668" s="94" t="n"/>
      <c r="I668" s="94" t="n"/>
      <c r="J668" s="55" t="n"/>
      <c r="K668" s="95" t="n"/>
      <c r="L668" s="116">
        <f>IF($A668="","",DATE(YEAR($A668),MONTH($A668)+IF(AND(IFERROR(N(INDEX(Übersicht!$M$15:$M$22,MATCH($B668,Übersicht!$A$15:$A$22,0))),0)&gt;1,DAY($A668)&gt;=IFERROR(N(INDEX(Übersicht!$M$15:$M$22,MATCH($B668,Übersicht!$A$15:$A$22,0))),0)),1,0),1))</f>
        <v/>
      </c>
    </row>
    <row r="669">
      <c r="A669" s="92" t="n"/>
      <c r="B669" s="55" t="n"/>
      <c r="C669" s="55" t="n"/>
      <c r="D669" s="55" t="n"/>
      <c r="E669" s="93" t="n"/>
      <c r="F669" s="94" t="n"/>
      <c r="G669" s="94" t="n"/>
      <c r="H669" s="94" t="n"/>
      <c r="I669" s="94" t="n"/>
      <c r="J669" s="55" t="n"/>
      <c r="K669" s="95" t="n"/>
      <c r="L669" s="116">
        <f>IF($A669="","",DATE(YEAR($A669),MONTH($A669)+IF(AND(IFERROR(N(INDEX(Übersicht!$M$15:$M$22,MATCH($B669,Übersicht!$A$15:$A$22,0))),0)&gt;1,DAY($A669)&gt;=IFERROR(N(INDEX(Übersicht!$M$15:$M$22,MATCH($B669,Übersicht!$A$15:$A$22,0))),0)),1,0),1))</f>
        <v/>
      </c>
    </row>
    <row r="670">
      <c r="A670" s="92" t="n"/>
      <c r="B670" s="55" t="n"/>
      <c r="C670" s="55" t="n"/>
      <c r="D670" s="55" t="n"/>
      <c r="E670" s="93" t="n"/>
      <c r="F670" s="94" t="n"/>
      <c r="G670" s="94" t="n"/>
      <c r="H670" s="94" t="n"/>
      <c r="I670" s="94" t="n"/>
      <c r="J670" s="55" t="n"/>
      <c r="K670" s="95" t="n"/>
      <c r="L670" s="116">
        <f>IF($A670="","",DATE(YEAR($A670),MONTH($A670)+IF(AND(IFERROR(N(INDEX(Übersicht!$M$15:$M$22,MATCH($B670,Übersicht!$A$15:$A$22,0))),0)&gt;1,DAY($A670)&gt;=IFERROR(N(INDEX(Übersicht!$M$15:$M$22,MATCH($B670,Übersicht!$A$15:$A$22,0))),0)),1,0),1))</f>
        <v/>
      </c>
    </row>
    <row r="671">
      <c r="A671" s="92" t="n"/>
      <c r="B671" s="55" t="n"/>
      <c r="C671" s="55" t="n"/>
      <c r="D671" s="55" t="n"/>
      <c r="E671" s="93" t="n"/>
      <c r="F671" s="94" t="n"/>
      <c r="G671" s="94" t="n"/>
      <c r="H671" s="94" t="n"/>
      <c r="I671" s="94" t="n"/>
      <c r="J671" s="55" t="n"/>
      <c r="K671" s="95" t="n"/>
      <c r="L671" s="116">
        <f>IF($A671="","",DATE(YEAR($A671),MONTH($A671)+IF(AND(IFERROR(N(INDEX(Übersicht!$M$15:$M$22,MATCH($B671,Übersicht!$A$15:$A$22,0))),0)&gt;1,DAY($A671)&gt;=IFERROR(N(INDEX(Übersicht!$M$15:$M$22,MATCH($B671,Übersicht!$A$15:$A$22,0))),0)),1,0),1))</f>
        <v/>
      </c>
    </row>
    <row r="672">
      <c r="A672" s="92" t="n"/>
      <c r="B672" s="55" t="n"/>
      <c r="C672" s="55" t="n"/>
      <c r="D672" s="55" t="n"/>
      <c r="E672" s="93" t="n"/>
      <c r="F672" s="94" t="n"/>
      <c r="G672" s="94" t="n"/>
      <c r="H672" s="94" t="n"/>
      <c r="I672" s="94" t="n"/>
      <c r="J672" s="55" t="n"/>
      <c r="K672" s="95" t="n"/>
      <c r="L672" s="116">
        <f>IF($A672="","",DATE(YEAR($A672),MONTH($A672)+IF(AND(IFERROR(N(INDEX(Übersicht!$M$15:$M$22,MATCH($B672,Übersicht!$A$15:$A$22,0))),0)&gt;1,DAY($A672)&gt;=IFERROR(N(INDEX(Übersicht!$M$15:$M$22,MATCH($B672,Übersicht!$A$15:$A$22,0))),0)),1,0),1))</f>
        <v/>
      </c>
    </row>
    <row r="673">
      <c r="A673" s="92" t="n"/>
      <c r="B673" s="55" t="n"/>
      <c r="C673" s="55" t="n"/>
      <c r="D673" s="55" t="n"/>
      <c r="E673" s="93" t="n"/>
      <c r="F673" s="94" t="n"/>
      <c r="G673" s="94" t="n"/>
      <c r="H673" s="94" t="n"/>
      <c r="I673" s="94" t="n"/>
      <c r="J673" s="55" t="n"/>
      <c r="K673" s="95" t="n"/>
      <c r="L673" s="116">
        <f>IF($A673="","",DATE(YEAR($A673),MONTH($A673)+IF(AND(IFERROR(N(INDEX(Übersicht!$M$15:$M$22,MATCH($B673,Übersicht!$A$15:$A$22,0))),0)&gt;1,DAY($A673)&gt;=IFERROR(N(INDEX(Übersicht!$M$15:$M$22,MATCH($B673,Übersicht!$A$15:$A$22,0))),0)),1,0),1))</f>
        <v/>
      </c>
    </row>
    <row r="674">
      <c r="A674" s="92" t="n"/>
      <c r="B674" s="55" t="n"/>
      <c r="C674" s="55" t="n"/>
      <c r="D674" s="55" t="n"/>
      <c r="E674" s="93" t="n"/>
      <c r="F674" s="94" t="n"/>
      <c r="G674" s="94" t="n"/>
      <c r="H674" s="94" t="n"/>
      <c r="I674" s="94" t="n"/>
      <c r="J674" s="55" t="n"/>
      <c r="K674" s="95" t="n"/>
      <c r="L674" s="116">
        <f>IF($A674="","",DATE(YEAR($A674),MONTH($A674)+IF(AND(IFERROR(N(INDEX(Übersicht!$M$15:$M$22,MATCH($B674,Übersicht!$A$15:$A$22,0))),0)&gt;1,DAY($A674)&gt;=IFERROR(N(INDEX(Übersicht!$M$15:$M$22,MATCH($B674,Übersicht!$A$15:$A$22,0))),0)),1,0),1))</f>
        <v/>
      </c>
    </row>
    <row r="675">
      <c r="A675" s="92" t="n"/>
      <c r="B675" s="55" t="n"/>
      <c r="C675" s="55" t="n"/>
      <c r="D675" s="55" t="n"/>
      <c r="E675" s="93" t="n"/>
      <c r="F675" s="94" t="n"/>
      <c r="G675" s="94" t="n"/>
      <c r="H675" s="94" t="n"/>
      <c r="I675" s="94" t="n"/>
      <c r="J675" s="55" t="n"/>
      <c r="K675" s="95" t="n"/>
      <c r="L675" s="116">
        <f>IF($A675="","",DATE(YEAR($A675),MONTH($A675)+IF(AND(IFERROR(N(INDEX(Übersicht!$M$15:$M$22,MATCH($B675,Übersicht!$A$15:$A$22,0))),0)&gt;1,DAY($A675)&gt;=IFERROR(N(INDEX(Übersicht!$M$15:$M$22,MATCH($B675,Übersicht!$A$15:$A$22,0))),0)),1,0),1))</f>
        <v/>
      </c>
    </row>
    <row r="676">
      <c r="A676" s="92" t="n"/>
      <c r="B676" s="55" t="n"/>
      <c r="C676" s="55" t="n"/>
      <c r="D676" s="55" t="n"/>
      <c r="E676" s="93" t="n"/>
      <c r="F676" s="94" t="n"/>
      <c r="G676" s="94" t="n"/>
      <c r="H676" s="94" t="n"/>
      <c r="I676" s="94" t="n"/>
      <c r="J676" s="55" t="n"/>
      <c r="K676" s="95" t="n"/>
      <c r="L676" s="116">
        <f>IF($A676="","",DATE(YEAR($A676),MONTH($A676)+IF(AND(IFERROR(N(INDEX(Übersicht!$M$15:$M$22,MATCH($B676,Übersicht!$A$15:$A$22,0))),0)&gt;1,DAY($A676)&gt;=IFERROR(N(INDEX(Übersicht!$M$15:$M$22,MATCH($B676,Übersicht!$A$15:$A$22,0))),0)),1,0),1))</f>
        <v/>
      </c>
    </row>
    <row r="677">
      <c r="A677" s="92" t="n"/>
      <c r="B677" s="55" t="n"/>
      <c r="C677" s="55" t="n"/>
      <c r="D677" s="55" t="n"/>
      <c r="E677" s="93" t="n"/>
      <c r="F677" s="94" t="n"/>
      <c r="G677" s="94" t="n"/>
      <c r="H677" s="94" t="n"/>
      <c r="I677" s="94" t="n"/>
      <c r="J677" s="55" t="n"/>
      <c r="K677" s="95" t="n"/>
      <c r="L677" s="116">
        <f>IF($A677="","",DATE(YEAR($A677),MONTH($A677)+IF(AND(IFERROR(N(INDEX(Übersicht!$M$15:$M$22,MATCH($B677,Übersicht!$A$15:$A$22,0))),0)&gt;1,DAY($A677)&gt;=IFERROR(N(INDEX(Übersicht!$M$15:$M$22,MATCH($B677,Übersicht!$A$15:$A$22,0))),0)),1,0),1))</f>
        <v/>
      </c>
    </row>
    <row r="678">
      <c r="A678" s="92" t="n"/>
      <c r="B678" s="55" t="n"/>
      <c r="C678" s="55" t="n"/>
      <c r="D678" s="55" t="n"/>
      <c r="E678" s="93" t="n"/>
      <c r="F678" s="94" t="n"/>
      <c r="G678" s="94" t="n"/>
      <c r="H678" s="94" t="n"/>
      <c r="I678" s="94" t="n"/>
      <c r="J678" s="55" t="n"/>
      <c r="K678" s="95" t="n"/>
      <c r="L678" s="116">
        <f>IF($A678="","",DATE(YEAR($A678),MONTH($A678)+IF(AND(IFERROR(N(INDEX(Übersicht!$M$15:$M$22,MATCH($B678,Übersicht!$A$15:$A$22,0))),0)&gt;1,DAY($A678)&gt;=IFERROR(N(INDEX(Übersicht!$M$15:$M$22,MATCH($B678,Übersicht!$A$15:$A$22,0))),0)),1,0),1))</f>
        <v/>
      </c>
    </row>
    <row r="679">
      <c r="A679" s="92" t="n"/>
      <c r="B679" s="55" t="n"/>
      <c r="C679" s="55" t="n"/>
      <c r="D679" s="55" t="n"/>
      <c r="E679" s="93" t="n"/>
      <c r="F679" s="94" t="n"/>
      <c r="G679" s="94" t="n"/>
      <c r="H679" s="94" t="n"/>
      <c r="I679" s="94" t="n"/>
      <c r="J679" s="55" t="n"/>
      <c r="K679" s="95" t="n"/>
      <c r="L679" s="116">
        <f>IF($A679="","",DATE(YEAR($A679),MONTH($A679)+IF(AND(IFERROR(N(INDEX(Übersicht!$M$15:$M$22,MATCH($B679,Übersicht!$A$15:$A$22,0))),0)&gt;1,DAY($A679)&gt;=IFERROR(N(INDEX(Übersicht!$M$15:$M$22,MATCH($B679,Übersicht!$A$15:$A$22,0))),0)),1,0),1))</f>
        <v/>
      </c>
    </row>
    <row r="680">
      <c r="A680" s="92" t="n"/>
      <c r="B680" s="55" t="n"/>
      <c r="C680" s="55" t="n"/>
      <c r="D680" s="55" t="n"/>
      <c r="E680" s="93" t="n"/>
      <c r="F680" s="94" t="n"/>
      <c r="G680" s="94" t="n"/>
      <c r="H680" s="94" t="n"/>
      <c r="I680" s="94" t="n"/>
      <c r="J680" s="55" t="n"/>
      <c r="K680" s="95" t="n"/>
      <c r="L680" s="116">
        <f>IF($A680="","",DATE(YEAR($A680),MONTH($A680)+IF(AND(IFERROR(N(INDEX(Übersicht!$M$15:$M$22,MATCH($B680,Übersicht!$A$15:$A$22,0))),0)&gt;1,DAY($A680)&gt;=IFERROR(N(INDEX(Übersicht!$M$15:$M$22,MATCH($B680,Übersicht!$A$15:$A$22,0))),0)),1,0),1))</f>
        <v/>
      </c>
    </row>
    <row r="681">
      <c r="A681" s="92" t="n"/>
      <c r="B681" s="55" t="n"/>
      <c r="C681" s="55" t="n"/>
      <c r="D681" s="55" t="n"/>
      <c r="E681" s="93" t="n"/>
      <c r="F681" s="94" t="n"/>
      <c r="G681" s="94" t="n"/>
      <c r="H681" s="94" t="n"/>
      <c r="I681" s="94" t="n"/>
      <c r="J681" s="55" t="n"/>
      <c r="K681" s="95" t="n"/>
      <c r="L681" s="116">
        <f>IF($A681="","",DATE(YEAR($A681),MONTH($A681)+IF(AND(IFERROR(N(INDEX(Übersicht!$M$15:$M$22,MATCH($B681,Übersicht!$A$15:$A$22,0))),0)&gt;1,DAY($A681)&gt;=IFERROR(N(INDEX(Übersicht!$M$15:$M$22,MATCH($B681,Übersicht!$A$15:$A$22,0))),0)),1,0),1))</f>
        <v/>
      </c>
    </row>
    <row r="682">
      <c r="A682" s="92" t="n"/>
      <c r="B682" s="55" t="n"/>
      <c r="C682" s="55" t="n"/>
      <c r="D682" s="55" t="n"/>
      <c r="E682" s="93" t="n"/>
      <c r="F682" s="94" t="n"/>
      <c r="G682" s="94" t="n"/>
      <c r="H682" s="94" t="n"/>
      <c r="I682" s="94" t="n"/>
      <c r="J682" s="55" t="n"/>
      <c r="K682" s="95" t="n"/>
      <c r="L682" s="116">
        <f>IF($A682="","",DATE(YEAR($A682),MONTH($A682)+IF(AND(IFERROR(N(INDEX(Übersicht!$M$15:$M$22,MATCH($B682,Übersicht!$A$15:$A$22,0))),0)&gt;1,DAY($A682)&gt;=IFERROR(N(INDEX(Übersicht!$M$15:$M$22,MATCH($B682,Übersicht!$A$15:$A$22,0))),0)),1,0),1))</f>
        <v/>
      </c>
    </row>
    <row r="683">
      <c r="A683" s="92" t="n"/>
      <c r="B683" s="55" t="n"/>
      <c r="C683" s="55" t="n"/>
      <c r="D683" s="55" t="n"/>
      <c r="E683" s="93" t="n"/>
      <c r="F683" s="94" t="n"/>
      <c r="G683" s="94" t="n"/>
      <c r="H683" s="94" t="n"/>
      <c r="I683" s="94" t="n"/>
      <c r="J683" s="55" t="n"/>
      <c r="K683" s="95" t="n"/>
      <c r="L683" s="116">
        <f>IF($A683="","",DATE(YEAR($A683),MONTH($A683)+IF(AND(IFERROR(N(INDEX(Übersicht!$M$15:$M$22,MATCH($B683,Übersicht!$A$15:$A$22,0))),0)&gt;1,DAY($A683)&gt;=IFERROR(N(INDEX(Übersicht!$M$15:$M$22,MATCH($B683,Übersicht!$A$15:$A$22,0))),0)),1,0),1))</f>
        <v/>
      </c>
    </row>
    <row r="684">
      <c r="A684" s="92" t="n"/>
      <c r="B684" s="55" t="n"/>
      <c r="C684" s="55" t="n"/>
      <c r="D684" s="55" t="n"/>
      <c r="E684" s="93" t="n"/>
      <c r="F684" s="94" t="n"/>
      <c r="G684" s="94" t="n"/>
      <c r="H684" s="94" t="n"/>
      <c r="I684" s="94" t="n"/>
      <c r="J684" s="55" t="n"/>
      <c r="K684" s="95" t="n"/>
      <c r="L684" s="116">
        <f>IF($A684="","",DATE(YEAR($A684),MONTH($A684)+IF(AND(IFERROR(N(INDEX(Übersicht!$M$15:$M$22,MATCH($B684,Übersicht!$A$15:$A$22,0))),0)&gt;1,DAY($A684)&gt;=IFERROR(N(INDEX(Übersicht!$M$15:$M$22,MATCH($B684,Übersicht!$A$15:$A$22,0))),0)),1,0),1))</f>
        <v/>
      </c>
    </row>
    <row r="685">
      <c r="A685" s="92" t="n"/>
      <c r="B685" s="55" t="n"/>
      <c r="C685" s="55" t="n"/>
      <c r="D685" s="55" t="n"/>
      <c r="E685" s="93" t="n"/>
      <c r="F685" s="94" t="n"/>
      <c r="G685" s="94" t="n"/>
      <c r="H685" s="94" t="n"/>
      <c r="I685" s="94" t="n"/>
      <c r="J685" s="55" t="n"/>
      <c r="K685" s="95" t="n"/>
      <c r="L685" s="116">
        <f>IF($A685="","",DATE(YEAR($A685),MONTH($A685)+IF(AND(IFERROR(N(INDEX(Übersicht!$M$15:$M$22,MATCH($B685,Übersicht!$A$15:$A$22,0))),0)&gt;1,DAY($A685)&gt;=IFERROR(N(INDEX(Übersicht!$M$15:$M$22,MATCH($B685,Übersicht!$A$15:$A$22,0))),0)),1,0),1))</f>
        <v/>
      </c>
    </row>
    <row r="686">
      <c r="A686" s="92" t="n"/>
      <c r="B686" s="55" t="n"/>
      <c r="C686" s="55" t="n"/>
      <c r="D686" s="55" t="n"/>
      <c r="E686" s="93" t="n"/>
      <c r="F686" s="94" t="n"/>
      <c r="G686" s="94" t="n"/>
      <c r="H686" s="94" t="n"/>
      <c r="I686" s="94" t="n"/>
      <c r="J686" s="55" t="n"/>
      <c r="K686" s="95" t="n"/>
      <c r="L686" s="116">
        <f>IF($A686="","",DATE(YEAR($A686),MONTH($A686)+IF(AND(IFERROR(N(INDEX(Übersicht!$M$15:$M$22,MATCH($B686,Übersicht!$A$15:$A$22,0))),0)&gt;1,DAY($A686)&gt;=IFERROR(N(INDEX(Übersicht!$M$15:$M$22,MATCH($B686,Übersicht!$A$15:$A$22,0))),0)),1,0),1))</f>
        <v/>
      </c>
    </row>
    <row r="687">
      <c r="A687" s="92" t="n"/>
      <c r="B687" s="55" t="n"/>
      <c r="C687" s="55" t="n"/>
      <c r="D687" s="55" t="n"/>
      <c r="E687" s="93" t="n"/>
      <c r="F687" s="94" t="n"/>
      <c r="G687" s="94" t="n"/>
      <c r="H687" s="94" t="n"/>
      <c r="I687" s="94" t="n"/>
      <c r="J687" s="55" t="n"/>
      <c r="K687" s="95" t="n"/>
      <c r="L687" s="116">
        <f>IF($A687="","",DATE(YEAR($A687),MONTH($A687)+IF(AND(IFERROR(N(INDEX(Übersicht!$M$15:$M$22,MATCH($B687,Übersicht!$A$15:$A$22,0))),0)&gt;1,DAY($A687)&gt;=IFERROR(N(INDEX(Übersicht!$M$15:$M$22,MATCH($B687,Übersicht!$A$15:$A$22,0))),0)),1,0),1))</f>
        <v/>
      </c>
    </row>
    <row r="688">
      <c r="A688" s="92" t="n"/>
      <c r="B688" s="55" t="n"/>
      <c r="C688" s="55" t="n"/>
      <c r="D688" s="55" t="n"/>
      <c r="E688" s="93" t="n"/>
      <c r="F688" s="94" t="n"/>
      <c r="G688" s="94" t="n"/>
      <c r="H688" s="94" t="n"/>
      <c r="I688" s="94" t="n"/>
      <c r="J688" s="55" t="n"/>
      <c r="K688" s="95" t="n"/>
      <c r="L688" s="116">
        <f>IF($A688="","",DATE(YEAR($A688),MONTH($A688)+IF(AND(IFERROR(N(INDEX(Übersicht!$M$15:$M$22,MATCH($B688,Übersicht!$A$15:$A$22,0))),0)&gt;1,DAY($A688)&gt;=IFERROR(N(INDEX(Übersicht!$M$15:$M$22,MATCH($B688,Übersicht!$A$15:$A$22,0))),0)),1,0),1))</f>
        <v/>
      </c>
    </row>
    <row r="689">
      <c r="A689" s="92" t="n"/>
      <c r="B689" s="55" t="n"/>
      <c r="C689" s="55" t="n"/>
      <c r="D689" s="55" t="n"/>
      <c r="E689" s="93" t="n"/>
      <c r="F689" s="94" t="n"/>
      <c r="G689" s="94" t="n"/>
      <c r="H689" s="94" t="n"/>
      <c r="I689" s="94" t="n"/>
      <c r="J689" s="55" t="n"/>
      <c r="K689" s="95" t="n"/>
      <c r="L689" s="116">
        <f>IF($A689="","",DATE(YEAR($A689),MONTH($A689)+IF(AND(IFERROR(N(INDEX(Übersicht!$M$15:$M$22,MATCH($B689,Übersicht!$A$15:$A$22,0))),0)&gt;1,DAY($A689)&gt;=IFERROR(N(INDEX(Übersicht!$M$15:$M$22,MATCH($B689,Übersicht!$A$15:$A$22,0))),0)),1,0),1))</f>
        <v/>
      </c>
    </row>
    <row r="690">
      <c r="A690" s="92" t="n"/>
      <c r="B690" s="55" t="n"/>
      <c r="C690" s="55" t="n"/>
      <c r="D690" s="55" t="n"/>
      <c r="E690" s="93" t="n"/>
      <c r="F690" s="94" t="n"/>
      <c r="G690" s="94" t="n"/>
      <c r="H690" s="94" t="n"/>
      <c r="I690" s="94" t="n"/>
      <c r="J690" s="55" t="n"/>
      <c r="K690" s="95" t="n"/>
      <c r="L690" s="116">
        <f>IF($A690="","",DATE(YEAR($A690),MONTH($A690)+IF(AND(IFERROR(N(INDEX(Übersicht!$M$15:$M$22,MATCH($B690,Übersicht!$A$15:$A$22,0))),0)&gt;1,DAY($A690)&gt;=IFERROR(N(INDEX(Übersicht!$M$15:$M$22,MATCH($B690,Übersicht!$A$15:$A$22,0))),0)),1,0),1))</f>
        <v/>
      </c>
    </row>
    <row r="691">
      <c r="A691" s="92" t="n"/>
      <c r="B691" s="55" t="n"/>
      <c r="C691" s="55" t="n"/>
      <c r="D691" s="55" t="n"/>
      <c r="E691" s="93" t="n"/>
      <c r="F691" s="94" t="n"/>
      <c r="G691" s="94" t="n"/>
      <c r="H691" s="94" t="n"/>
      <c r="I691" s="94" t="n"/>
      <c r="J691" s="55" t="n"/>
      <c r="K691" s="95" t="n"/>
      <c r="L691" s="116">
        <f>IF($A691="","",DATE(YEAR($A691),MONTH($A691)+IF(AND(IFERROR(N(INDEX(Übersicht!$M$15:$M$22,MATCH($B691,Übersicht!$A$15:$A$22,0))),0)&gt;1,DAY($A691)&gt;=IFERROR(N(INDEX(Übersicht!$M$15:$M$22,MATCH($B691,Übersicht!$A$15:$A$22,0))),0)),1,0),1))</f>
        <v/>
      </c>
    </row>
    <row r="692">
      <c r="A692" s="92" t="n"/>
      <c r="B692" s="55" t="n"/>
      <c r="C692" s="55" t="n"/>
      <c r="D692" s="55" t="n"/>
      <c r="E692" s="93" t="n"/>
      <c r="F692" s="94" t="n"/>
      <c r="G692" s="94" t="n"/>
      <c r="H692" s="94" t="n"/>
      <c r="I692" s="94" t="n"/>
      <c r="J692" s="55" t="n"/>
      <c r="K692" s="95" t="n"/>
      <c r="L692" s="116">
        <f>IF($A692="","",DATE(YEAR($A692),MONTH($A692)+IF(AND(IFERROR(N(INDEX(Übersicht!$M$15:$M$22,MATCH($B692,Übersicht!$A$15:$A$22,0))),0)&gt;1,DAY($A692)&gt;=IFERROR(N(INDEX(Übersicht!$M$15:$M$22,MATCH($B692,Übersicht!$A$15:$A$22,0))),0)),1,0),1))</f>
        <v/>
      </c>
    </row>
    <row r="693">
      <c r="A693" s="92" t="n"/>
      <c r="B693" s="55" t="n"/>
      <c r="C693" s="55" t="n"/>
      <c r="D693" s="55" t="n"/>
      <c r="E693" s="93" t="n"/>
      <c r="F693" s="94" t="n"/>
      <c r="G693" s="94" t="n"/>
      <c r="H693" s="94" t="n"/>
      <c r="I693" s="94" t="n"/>
      <c r="J693" s="55" t="n"/>
      <c r="K693" s="95" t="n"/>
      <c r="L693" s="116">
        <f>IF($A693="","",DATE(YEAR($A693),MONTH($A693)+IF(AND(IFERROR(N(INDEX(Übersicht!$M$15:$M$22,MATCH($B693,Übersicht!$A$15:$A$22,0))),0)&gt;1,DAY($A693)&gt;=IFERROR(N(INDEX(Übersicht!$M$15:$M$22,MATCH($B693,Übersicht!$A$15:$A$22,0))),0)),1,0),1))</f>
        <v/>
      </c>
    </row>
    <row r="694">
      <c r="A694" s="92" t="n"/>
      <c r="B694" s="55" t="n"/>
      <c r="C694" s="55" t="n"/>
      <c r="D694" s="55" t="n"/>
      <c r="E694" s="93" t="n"/>
      <c r="F694" s="94" t="n"/>
      <c r="G694" s="94" t="n"/>
      <c r="H694" s="94" t="n"/>
      <c r="I694" s="94" t="n"/>
      <c r="J694" s="55" t="n"/>
      <c r="K694" s="95" t="n"/>
      <c r="L694" s="116">
        <f>IF($A694="","",DATE(YEAR($A694),MONTH($A694)+IF(AND(IFERROR(N(INDEX(Übersicht!$M$15:$M$22,MATCH($B694,Übersicht!$A$15:$A$22,0))),0)&gt;1,DAY($A694)&gt;=IFERROR(N(INDEX(Übersicht!$M$15:$M$22,MATCH($B694,Übersicht!$A$15:$A$22,0))),0)),1,0),1))</f>
        <v/>
      </c>
    </row>
    <row r="695">
      <c r="A695" s="92" t="n"/>
      <c r="B695" s="55" t="n"/>
      <c r="C695" s="55" t="n"/>
      <c r="D695" s="55" t="n"/>
      <c r="E695" s="93" t="n"/>
      <c r="F695" s="94" t="n"/>
      <c r="G695" s="94" t="n"/>
      <c r="H695" s="94" t="n"/>
      <c r="I695" s="94" t="n"/>
      <c r="J695" s="55" t="n"/>
      <c r="K695" s="95" t="n"/>
      <c r="L695" s="116">
        <f>IF($A695="","",DATE(YEAR($A695),MONTH($A695)+IF(AND(IFERROR(N(INDEX(Übersicht!$M$15:$M$22,MATCH($B695,Übersicht!$A$15:$A$22,0))),0)&gt;1,DAY($A695)&gt;=IFERROR(N(INDEX(Übersicht!$M$15:$M$22,MATCH($B695,Übersicht!$A$15:$A$22,0))),0)),1,0),1))</f>
        <v/>
      </c>
    </row>
    <row r="696">
      <c r="A696" s="92" t="n"/>
      <c r="B696" s="55" t="n"/>
      <c r="C696" s="55" t="n"/>
      <c r="D696" s="55" t="n"/>
      <c r="E696" s="93" t="n"/>
      <c r="F696" s="94" t="n"/>
      <c r="G696" s="94" t="n"/>
      <c r="H696" s="94" t="n"/>
      <c r="I696" s="94" t="n"/>
      <c r="J696" s="55" t="n"/>
      <c r="K696" s="95" t="n"/>
      <c r="L696" s="116">
        <f>IF($A696="","",DATE(YEAR($A696),MONTH($A696)+IF(AND(IFERROR(N(INDEX(Übersicht!$M$15:$M$22,MATCH($B696,Übersicht!$A$15:$A$22,0))),0)&gt;1,DAY($A696)&gt;=IFERROR(N(INDEX(Übersicht!$M$15:$M$22,MATCH($B696,Übersicht!$A$15:$A$22,0))),0)),1,0),1))</f>
        <v/>
      </c>
    </row>
    <row r="697">
      <c r="A697" s="92" t="n"/>
      <c r="B697" s="55" t="n"/>
      <c r="C697" s="55" t="n"/>
      <c r="D697" s="55" t="n"/>
      <c r="E697" s="93" t="n"/>
      <c r="F697" s="94" t="n"/>
      <c r="G697" s="94" t="n"/>
      <c r="H697" s="94" t="n"/>
      <c r="I697" s="94" t="n"/>
      <c r="J697" s="55" t="n"/>
      <c r="K697" s="95" t="n"/>
      <c r="L697" s="116">
        <f>IF($A697="","",DATE(YEAR($A697),MONTH($A697)+IF(AND(IFERROR(N(INDEX(Übersicht!$M$15:$M$22,MATCH($B697,Übersicht!$A$15:$A$22,0))),0)&gt;1,DAY($A697)&gt;=IFERROR(N(INDEX(Übersicht!$M$15:$M$22,MATCH($B697,Übersicht!$A$15:$A$22,0))),0)),1,0),1))</f>
        <v/>
      </c>
    </row>
    <row r="698">
      <c r="A698" s="92" t="n"/>
      <c r="B698" s="55" t="n"/>
      <c r="C698" s="55" t="n"/>
      <c r="D698" s="55" t="n"/>
      <c r="E698" s="93" t="n"/>
      <c r="F698" s="94" t="n"/>
      <c r="G698" s="94" t="n"/>
      <c r="H698" s="94" t="n"/>
      <c r="I698" s="94" t="n"/>
      <c r="J698" s="55" t="n"/>
      <c r="K698" s="95" t="n"/>
      <c r="L698" s="116">
        <f>IF($A698="","",DATE(YEAR($A698),MONTH($A698)+IF(AND(IFERROR(N(INDEX(Übersicht!$M$15:$M$22,MATCH($B698,Übersicht!$A$15:$A$22,0))),0)&gt;1,DAY($A698)&gt;=IFERROR(N(INDEX(Übersicht!$M$15:$M$22,MATCH($B698,Übersicht!$A$15:$A$22,0))),0)),1,0),1))</f>
        <v/>
      </c>
    </row>
    <row r="699">
      <c r="A699" s="92" t="n"/>
      <c r="B699" s="55" t="n"/>
      <c r="C699" s="55" t="n"/>
      <c r="D699" s="55" t="n"/>
      <c r="E699" s="93" t="n"/>
      <c r="F699" s="94" t="n"/>
      <c r="G699" s="94" t="n"/>
      <c r="H699" s="94" t="n"/>
      <c r="I699" s="94" t="n"/>
      <c r="J699" s="55" t="n"/>
      <c r="K699" s="95" t="n"/>
      <c r="L699" s="116">
        <f>IF($A699="","",DATE(YEAR($A699),MONTH($A699)+IF(AND(IFERROR(N(INDEX(Übersicht!$M$15:$M$22,MATCH($B699,Übersicht!$A$15:$A$22,0))),0)&gt;1,DAY($A699)&gt;=IFERROR(N(INDEX(Übersicht!$M$15:$M$22,MATCH($B699,Übersicht!$A$15:$A$22,0))),0)),1,0),1))</f>
        <v/>
      </c>
    </row>
    <row r="700">
      <c r="A700" s="92" t="n"/>
      <c r="B700" s="55" t="n"/>
      <c r="C700" s="55" t="n"/>
      <c r="D700" s="55" t="n"/>
      <c r="E700" s="93" t="n"/>
      <c r="F700" s="94" t="n"/>
      <c r="G700" s="94" t="n"/>
      <c r="H700" s="94" t="n"/>
      <c r="I700" s="94" t="n"/>
      <c r="J700" s="55" t="n"/>
      <c r="K700" s="95" t="n"/>
      <c r="L700" s="116">
        <f>IF($A700="","",DATE(YEAR($A700),MONTH($A700)+IF(AND(IFERROR(N(INDEX(Übersicht!$M$15:$M$22,MATCH($B700,Übersicht!$A$15:$A$22,0))),0)&gt;1,DAY($A700)&gt;=IFERROR(N(INDEX(Übersicht!$M$15:$M$22,MATCH($B700,Übersicht!$A$15:$A$22,0))),0)),1,0),1))</f>
        <v/>
      </c>
    </row>
    <row r="701">
      <c r="A701" s="92" t="n"/>
      <c r="B701" s="55" t="n"/>
      <c r="C701" s="55" t="n"/>
      <c r="D701" s="55" t="n"/>
      <c r="E701" s="93" t="n"/>
      <c r="F701" s="94" t="n"/>
      <c r="G701" s="94" t="n"/>
      <c r="H701" s="94" t="n"/>
      <c r="I701" s="94" t="n"/>
      <c r="J701" s="55" t="n"/>
      <c r="K701" s="95" t="n"/>
      <c r="L701" s="116">
        <f>IF($A701="","",DATE(YEAR($A701),MONTH($A701)+IF(AND(IFERROR(N(INDEX(Übersicht!$M$15:$M$22,MATCH($B701,Übersicht!$A$15:$A$22,0))),0)&gt;1,DAY($A701)&gt;=IFERROR(N(INDEX(Übersicht!$M$15:$M$22,MATCH($B701,Übersicht!$A$15:$A$22,0))),0)),1,0),1))</f>
        <v/>
      </c>
    </row>
    <row r="702">
      <c r="A702" s="92" t="n"/>
      <c r="B702" s="55" t="n"/>
      <c r="C702" s="55" t="n"/>
      <c r="D702" s="55" t="n"/>
      <c r="E702" s="93" t="n"/>
      <c r="F702" s="94" t="n"/>
      <c r="G702" s="94" t="n"/>
      <c r="H702" s="94" t="n"/>
      <c r="I702" s="94" t="n"/>
      <c r="J702" s="55" t="n"/>
      <c r="K702" s="95" t="n"/>
      <c r="L702" s="116">
        <f>IF($A702="","",DATE(YEAR($A702),MONTH($A702)+IF(AND(IFERROR(N(INDEX(Übersicht!$M$15:$M$22,MATCH($B702,Übersicht!$A$15:$A$22,0))),0)&gt;1,DAY($A702)&gt;=IFERROR(N(INDEX(Übersicht!$M$15:$M$22,MATCH($B702,Übersicht!$A$15:$A$22,0))),0)),1,0),1))</f>
        <v/>
      </c>
    </row>
    <row r="703">
      <c r="A703" s="92" t="n"/>
      <c r="B703" s="55" t="n"/>
      <c r="C703" s="55" t="n"/>
      <c r="D703" s="55" t="n"/>
      <c r="E703" s="93" t="n"/>
      <c r="F703" s="94" t="n"/>
      <c r="G703" s="94" t="n"/>
      <c r="H703" s="94" t="n"/>
      <c r="I703" s="94" t="n"/>
      <c r="J703" s="55" t="n"/>
      <c r="K703" s="95" t="n"/>
      <c r="L703" s="116">
        <f>IF($A703="","",DATE(YEAR($A703),MONTH($A703)+IF(AND(IFERROR(N(INDEX(Übersicht!$M$15:$M$22,MATCH($B703,Übersicht!$A$15:$A$22,0))),0)&gt;1,DAY($A703)&gt;=IFERROR(N(INDEX(Übersicht!$M$15:$M$22,MATCH($B703,Übersicht!$A$15:$A$22,0))),0)),1,0),1))</f>
        <v/>
      </c>
    </row>
    <row r="704">
      <c r="A704" s="92" t="n"/>
      <c r="B704" s="55" t="n"/>
      <c r="C704" s="55" t="n"/>
      <c r="D704" s="55" t="n"/>
      <c r="E704" s="93" t="n"/>
      <c r="F704" s="94" t="n"/>
      <c r="G704" s="94" t="n"/>
      <c r="H704" s="94" t="n"/>
      <c r="I704" s="94" t="n"/>
      <c r="J704" s="55" t="n"/>
      <c r="K704" s="95" t="n"/>
      <c r="L704" s="116">
        <f>IF($A704="","",DATE(YEAR($A704),MONTH($A704)+IF(AND(IFERROR(N(INDEX(Übersicht!$M$15:$M$22,MATCH($B704,Übersicht!$A$15:$A$22,0))),0)&gt;1,DAY($A704)&gt;=IFERROR(N(INDEX(Übersicht!$M$15:$M$22,MATCH($B704,Übersicht!$A$15:$A$22,0))),0)),1,0),1))</f>
        <v/>
      </c>
    </row>
    <row r="705">
      <c r="A705" s="92" t="n"/>
      <c r="B705" s="55" t="n"/>
      <c r="C705" s="55" t="n"/>
      <c r="D705" s="55" t="n"/>
      <c r="E705" s="93" t="n"/>
      <c r="F705" s="94" t="n"/>
      <c r="G705" s="94" t="n"/>
      <c r="H705" s="94" t="n"/>
      <c r="I705" s="94" t="n"/>
      <c r="J705" s="55" t="n"/>
      <c r="K705" s="95" t="n"/>
      <c r="L705" s="116">
        <f>IF($A705="","",DATE(YEAR($A705),MONTH($A705)+IF(AND(IFERROR(N(INDEX(Übersicht!$M$15:$M$22,MATCH($B705,Übersicht!$A$15:$A$22,0))),0)&gt;1,DAY($A705)&gt;=IFERROR(N(INDEX(Übersicht!$M$15:$M$22,MATCH($B705,Übersicht!$A$15:$A$22,0))),0)),1,0),1))</f>
        <v/>
      </c>
    </row>
    <row r="706">
      <c r="A706" s="92" t="n"/>
      <c r="B706" s="55" t="n"/>
      <c r="C706" s="55" t="n"/>
      <c r="D706" s="55" t="n"/>
      <c r="E706" s="93" t="n"/>
      <c r="F706" s="94" t="n"/>
      <c r="G706" s="94" t="n"/>
      <c r="H706" s="94" t="n"/>
      <c r="I706" s="94" t="n"/>
      <c r="J706" s="55" t="n"/>
      <c r="K706" s="95" t="n"/>
      <c r="L706" s="116">
        <f>IF($A706="","",DATE(YEAR($A706),MONTH($A706)+IF(AND(IFERROR(N(INDEX(Übersicht!$M$15:$M$22,MATCH($B706,Übersicht!$A$15:$A$22,0))),0)&gt;1,DAY($A706)&gt;=IFERROR(N(INDEX(Übersicht!$M$15:$M$22,MATCH($B706,Übersicht!$A$15:$A$22,0))),0)),1,0),1))</f>
        <v/>
      </c>
    </row>
    <row r="707">
      <c r="A707" s="92" t="n"/>
      <c r="B707" s="55" t="n"/>
      <c r="C707" s="55" t="n"/>
      <c r="D707" s="55" t="n"/>
      <c r="E707" s="93" t="n"/>
      <c r="F707" s="94" t="n"/>
      <c r="G707" s="94" t="n"/>
      <c r="H707" s="94" t="n"/>
      <c r="I707" s="94" t="n"/>
      <c r="J707" s="55" t="n"/>
      <c r="K707" s="95" t="n"/>
      <c r="L707" s="116">
        <f>IF($A707="","",DATE(YEAR($A707),MONTH($A707)+IF(AND(IFERROR(N(INDEX(Übersicht!$M$15:$M$22,MATCH($B707,Übersicht!$A$15:$A$22,0))),0)&gt;1,DAY($A707)&gt;=IFERROR(N(INDEX(Übersicht!$M$15:$M$22,MATCH($B707,Übersicht!$A$15:$A$22,0))),0)),1,0),1))</f>
        <v/>
      </c>
    </row>
    <row r="708">
      <c r="A708" s="92" t="n"/>
      <c r="B708" s="55" t="n"/>
      <c r="C708" s="55" t="n"/>
      <c r="D708" s="55" t="n"/>
      <c r="E708" s="93" t="n"/>
      <c r="F708" s="94" t="n"/>
      <c r="G708" s="94" t="n"/>
      <c r="H708" s="94" t="n"/>
      <c r="I708" s="94" t="n"/>
      <c r="J708" s="55" t="n"/>
      <c r="K708" s="95" t="n"/>
      <c r="L708" s="116">
        <f>IF($A708="","",DATE(YEAR($A708),MONTH($A708)+IF(AND(IFERROR(N(INDEX(Übersicht!$M$15:$M$22,MATCH($B708,Übersicht!$A$15:$A$22,0))),0)&gt;1,DAY($A708)&gt;=IFERROR(N(INDEX(Übersicht!$M$15:$M$22,MATCH($B708,Übersicht!$A$15:$A$22,0))),0)),1,0),1))</f>
        <v/>
      </c>
    </row>
    <row r="709">
      <c r="A709" s="92" t="n"/>
      <c r="B709" s="55" t="n"/>
      <c r="C709" s="55" t="n"/>
      <c r="D709" s="55" t="n"/>
      <c r="E709" s="93" t="n"/>
      <c r="F709" s="94" t="n"/>
      <c r="G709" s="94" t="n"/>
      <c r="H709" s="94" t="n"/>
      <c r="I709" s="94" t="n"/>
      <c r="J709" s="55" t="n"/>
      <c r="K709" s="95" t="n"/>
      <c r="L709" s="116">
        <f>IF($A709="","",DATE(YEAR($A709),MONTH($A709)+IF(AND(IFERROR(N(INDEX(Übersicht!$M$15:$M$22,MATCH($B709,Übersicht!$A$15:$A$22,0))),0)&gt;1,DAY($A709)&gt;=IFERROR(N(INDEX(Übersicht!$M$15:$M$22,MATCH($B709,Übersicht!$A$15:$A$22,0))),0)),1,0),1))</f>
        <v/>
      </c>
    </row>
    <row r="710">
      <c r="A710" s="92" t="n"/>
      <c r="B710" s="55" t="n"/>
      <c r="C710" s="55" t="n"/>
      <c r="D710" s="55" t="n"/>
      <c r="E710" s="93" t="n"/>
      <c r="F710" s="94" t="n"/>
      <c r="G710" s="94" t="n"/>
      <c r="H710" s="94" t="n"/>
      <c r="I710" s="94" t="n"/>
      <c r="J710" s="55" t="n"/>
      <c r="K710" s="95" t="n"/>
      <c r="L710" s="116">
        <f>IF($A710="","",DATE(YEAR($A710),MONTH($A710)+IF(AND(IFERROR(N(INDEX(Übersicht!$M$15:$M$22,MATCH($B710,Übersicht!$A$15:$A$22,0))),0)&gt;1,DAY($A710)&gt;=IFERROR(N(INDEX(Übersicht!$M$15:$M$22,MATCH($B710,Übersicht!$A$15:$A$22,0))),0)),1,0),1))</f>
        <v/>
      </c>
    </row>
    <row r="711">
      <c r="A711" s="92" t="n"/>
      <c r="B711" s="55" t="n"/>
      <c r="C711" s="55" t="n"/>
      <c r="D711" s="55" t="n"/>
      <c r="E711" s="93" t="n"/>
      <c r="F711" s="94" t="n"/>
      <c r="G711" s="94" t="n"/>
      <c r="H711" s="94" t="n"/>
      <c r="I711" s="94" t="n"/>
      <c r="J711" s="55" t="n"/>
      <c r="K711" s="95" t="n"/>
      <c r="L711" s="116">
        <f>IF($A711="","",DATE(YEAR($A711),MONTH($A711)+IF(AND(IFERROR(N(INDEX(Übersicht!$M$15:$M$22,MATCH($B711,Übersicht!$A$15:$A$22,0))),0)&gt;1,DAY($A711)&gt;=IFERROR(N(INDEX(Übersicht!$M$15:$M$22,MATCH($B711,Übersicht!$A$15:$A$22,0))),0)),1,0),1))</f>
        <v/>
      </c>
    </row>
    <row r="712">
      <c r="A712" s="92" t="n"/>
      <c r="B712" s="55" t="n"/>
      <c r="C712" s="55" t="n"/>
      <c r="D712" s="55" t="n"/>
      <c r="E712" s="93" t="n"/>
      <c r="F712" s="94" t="n"/>
      <c r="G712" s="94" t="n"/>
      <c r="H712" s="94" t="n"/>
      <c r="I712" s="94" t="n"/>
      <c r="J712" s="55" t="n"/>
      <c r="K712" s="95" t="n"/>
      <c r="L712" s="116">
        <f>IF($A712="","",DATE(YEAR($A712),MONTH($A712)+IF(AND(IFERROR(N(INDEX(Übersicht!$M$15:$M$22,MATCH($B712,Übersicht!$A$15:$A$22,0))),0)&gt;1,DAY($A712)&gt;=IFERROR(N(INDEX(Übersicht!$M$15:$M$22,MATCH($B712,Übersicht!$A$15:$A$22,0))),0)),1,0),1))</f>
        <v/>
      </c>
    </row>
    <row r="713">
      <c r="A713" s="92" t="n"/>
      <c r="B713" s="55" t="n"/>
      <c r="C713" s="55" t="n"/>
      <c r="D713" s="55" t="n"/>
      <c r="E713" s="93" t="n"/>
      <c r="F713" s="94" t="n"/>
      <c r="G713" s="94" t="n"/>
      <c r="H713" s="94" t="n"/>
      <c r="I713" s="94" t="n"/>
      <c r="J713" s="55" t="n"/>
      <c r="K713" s="95" t="n"/>
      <c r="L713" s="116">
        <f>IF($A713="","",DATE(YEAR($A713),MONTH($A713)+IF(AND(IFERROR(N(INDEX(Übersicht!$M$15:$M$22,MATCH($B713,Übersicht!$A$15:$A$22,0))),0)&gt;1,DAY($A713)&gt;=IFERROR(N(INDEX(Übersicht!$M$15:$M$22,MATCH($B713,Übersicht!$A$15:$A$22,0))),0)),1,0),1))</f>
        <v/>
      </c>
    </row>
    <row r="714">
      <c r="A714" s="92" t="n"/>
      <c r="B714" s="55" t="n"/>
      <c r="C714" s="55" t="n"/>
      <c r="D714" s="55" t="n"/>
      <c r="E714" s="93" t="n"/>
      <c r="F714" s="94" t="n"/>
      <c r="G714" s="94" t="n"/>
      <c r="H714" s="94" t="n"/>
      <c r="I714" s="94" t="n"/>
      <c r="J714" s="55" t="n"/>
      <c r="K714" s="95" t="n"/>
      <c r="L714" s="116">
        <f>IF($A714="","",DATE(YEAR($A714),MONTH($A714)+IF(AND(IFERROR(N(INDEX(Übersicht!$M$15:$M$22,MATCH($B714,Übersicht!$A$15:$A$22,0))),0)&gt;1,DAY($A714)&gt;=IFERROR(N(INDEX(Übersicht!$M$15:$M$22,MATCH($B714,Übersicht!$A$15:$A$22,0))),0)),1,0),1))</f>
        <v/>
      </c>
    </row>
    <row r="715">
      <c r="A715" s="92" t="n"/>
      <c r="B715" s="55" t="n"/>
      <c r="C715" s="55" t="n"/>
      <c r="D715" s="55" t="n"/>
      <c r="E715" s="93" t="n"/>
      <c r="F715" s="94" t="n"/>
      <c r="G715" s="94" t="n"/>
      <c r="H715" s="94" t="n"/>
      <c r="I715" s="94" t="n"/>
      <c r="J715" s="55" t="n"/>
      <c r="K715" s="95" t="n"/>
      <c r="L715" s="116">
        <f>IF($A715="","",DATE(YEAR($A715),MONTH($A715)+IF(AND(IFERROR(N(INDEX(Übersicht!$M$15:$M$22,MATCH($B715,Übersicht!$A$15:$A$22,0))),0)&gt;1,DAY($A715)&gt;=IFERROR(N(INDEX(Übersicht!$M$15:$M$22,MATCH($B715,Übersicht!$A$15:$A$22,0))),0)),1,0),1))</f>
        <v/>
      </c>
    </row>
    <row r="716">
      <c r="A716" s="92" t="n"/>
      <c r="B716" s="55" t="n"/>
      <c r="C716" s="55" t="n"/>
      <c r="D716" s="55" t="n"/>
      <c r="E716" s="93" t="n"/>
      <c r="F716" s="94" t="n"/>
      <c r="G716" s="94" t="n"/>
      <c r="H716" s="94" t="n"/>
      <c r="I716" s="94" t="n"/>
      <c r="J716" s="55" t="n"/>
      <c r="K716" s="95" t="n"/>
      <c r="L716" s="116">
        <f>IF($A716="","",DATE(YEAR($A716),MONTH($A716)+IF(AND(IFERROR(N(INDEX(Übersicht!$M$15:$M$22,MATCH($B716,Übersicht!$A$15:$A$22,0))),0)&gt;1,DAY($A716)&gt;=IFERROR(N(INDEX(Übersicht!$M$15:$M$22,MATCH($B716,Übersicht!$A$15:$A$22,0))),0)),1,0),1))</f>
        <v/>
      </c>
    </row>
    <row r="717">
      <c r="A717" s="92" t="n"/>
      <c r="B717" s="55" t="n"/>
      <c r="C717" s="55" t="n"/>
      <c r="D717" s="55" t="n"/>
      <c r="E717" s="93" t="n"/>
      <c r="F717" s="94" t="n"/>
      <c r="G717" s="94" t="n"/>
      <c r="H717" s="94" t="n"/>
      <c r="I717" s="94" t="n"/>
      <c r="J717" s="55" t="n"/>
      <c r="K717" s="95" t="n"/>
      <c r="L717" s="116">
        <f>IF($A717="","",DATE(YEAR($A717),MONTH($A717)+IF(AND(IFERROR(N(INDEX(Übersicht!$M$15:$M$22,MATCH($B717,Übersicht!$A$15:$A$22,0))),0)&gt;1,DAY($A717)&gt;=IFERROR(N(INDEX(Übersicht!$M$15:$M$22,MATCH($B717,Übersicht!$A$15:$A$22,0))),0)),1,0),1))</f>
        <v/>
      </c>
    </row>
    <row r="718">
      <c r="A718" s="92" t="n"/>
      <c r="B718" s="55" t="n"/>
      <c r="C718" s="55" t="n"/>
      <c r="D718" s="55" t="n"/>
      <c r="E718" s="93" t="n"/>
      <c r="F718" s="94" t="n"/>
      <c r="G718" s="94" t="n"/>
      <c r="H718" s="94" t="n"/>
      <c r="I718" s="94" t="n"/>
      <c r="J718" s="55" t="n"/>
      <c r="K718" s="95" t="n"/>
      <c r="L718" s="116">
        <f>IF($A718="","",DATE(YEAR($A718),MONTH($A718)+IF(AND(IFERROR(N(INDEX(Übersicht!$M$15:$M$22,MATCH($B718,Übersicht!$A$15:$A$22,0))),0)&gt;1,DAY($A718)&gt;=IFERROR(N(INDEX(Übersicht!$M$15:$M$22,MATCH($B718,Übersicht!$A$15:$A$22,0))),0)),1,0),1))</f>
        <v/>
      </c>
    </row>
    <row r="719">
      <c r="A719" s="92" t="n"/>
      <c r="B719" s="55" t="n"/>
      <c r="C719" s="55" t="n"/>
      <c r="D719" s="55" t="n"/>
      <c r="E719" s="93" t="n"/>
      <c r="F719" s="94" t="n"/>
      <c r="G719" s="94" t="n"/>
      <c r="H719" s="94" t="n"/>
      <c r="I719" s="94" t="n"/>
      <c r="J719" s="55" t="n"/>
      <c r="K719" s="95" t="n"/>
      <c r="L719" s="116">
        <f>IF($A719="","",DATE(YEAR($A719),MONTH($A719)+IF(AND(IFERROR(N(INDEX(Übersicht!$M$15:$M$22,MATCH($B719,Übersicht!$A$15:$A$22,0))),0)&gt;1,DAY($A719)&gt;=IFERROR(N(INDEX(Übersicht!$M$15:$M$22,MATCH($B719,Übersicht!$A$15:$A$22,0))),0)),1,0),1))</f>
        <v/>
      </c>
    </row>
    <row r="720">
      <c r="A720" s="92" t="n"/>
      <c r="B720" s="55" t="n"/>
      <c r="C720" s="55" t="n"/>
      <c r="D720" s="55" t="n"/>
      <c r="E720" s="93" t="n"/>
      <c r="F720" s="94" t="n"/>
      <c r="G720" s="94" t="n"/>
      <c r="H720" s="94" t="n"/>
      <c r="I720" s="94" t="n"/>
      <c r="J720" s="55" t="n"/>
      <c r="K720" s="95" t="n"/>
      <c r="L720" s="116">
        <f>IF($A720="","",DATE(YEAR($A720),MONTH($A720)+IF(AND(IFERROR(N(INDEX(Übersicht!$M$15:$M$22,MATCH($B720,Übersicht!$A$15:$A$22,0))),0)&gt;1,DAY($A720)&gt;=IFERROR(N(INDEX(Übersicht!$M$15:$M$22,MATCH($B720,Übersicht!$A$15:$A$22,0))),0)),1,0),1))</f>
        <v/>
      </c>
    </row>
    <row r="721">
      <c r="A721" s="92" t="n"/>
      <c r="B721" s="55" t="n"/>
      <c r="C721" s="55" t="n"/>
      <c r="D721" s="55" t="n"/>
      <c r="E721" s="93" t="n"/>
      <c r="F721" s="94" t="n"/>
      <c r="G721" s="94" t="n"/>
      <c r="H721" s="94" t="n"/>
      <c r="I721" s="94" t="n"/>
      <c r="J721" s="55" t="n"/>
      <c r="K721" s="95" t="n"/>
      <c r="L721" s="116">
        <f>IF($A721="","",DATE(YEAR($A721),MONTH($A721)+IF(AND(IFERROR(N(INDEX(Übersicht!$M$15:$M$22,MATCH($B721,Übersicht!$A$15:$A$22,0))),0)&gt;1,DAY($A721)&gt;=IFERROR(N(INDEX(Übersicht!$M$15:$M$22,MATCH($B721,Übersicht!$A$15:$A$22,0))),0)),1,0),1))</f>
        <v/>
      </c>
    </row>
    <row r="722">
      <c r="A722" s="92" t="n"/>
      <c r="B722" s="55" t="n"/>
      <c r="C722" s="55" t="n"/>
      <c r="D722" s="55" t="n"/>
      <c r="E722" s="93" t="n"/>
      <c r="F722" s="94" t="n"/>
      <c r="G722" s="94" t="n"/>
      <c r="H722" s="94" t="n"/>
      <c r="I722" s="94" t="n"/>
      <c r="J722" s="55" t="n"/>
      <c r="K722" s="95" t="n"/>
      <c r="L722" s="116">
        <f>IF($A722="","",DATE(YEAR($A722),MONTH($A722)+IF(AND(IFERROR(N(INDEX(Übersicht!$M$15:$M$22,MATCH($B722,Übersicht!$A$15:$A$22,0))),0)&gt;1,DAY($A722)&gt;=IFERROR(N(INDEX(Übersicht!$M$15:$M$22,MATCH($B722,Übersicht!$A$15:$A$22,0))),0)),1,0),1))</f>
        <v/>
      </c>
    </row>
    <row r="723">
      <c r="A723" s="92" t="n"/>
      <c r="B723" s="55" t="n"/>
      <c r="C723" s="55" t="n"/>
      <c r="D723" s="55" t="n"/>
      <c r="E723" s="93" t="n"/>
      <c r="F723" s="94" t="n"/>
      <c r="G723" s="94" t="n"/>
      <c r="H723" s="94" t="n"/>
      <c r="I723" s="94" t="n"/>
      <c r="J723" s="55" t="n"/>
      <c r="K723" s="95" t="n"/>
      <c r="L723" s="116">
        <f>IF($A723="","",DATE(YEAR($A723),MONTH($A723)+IF(AND(IFERROR(N(INDEX(Übersicht!$M$15:$M$22,MATCH($B723,Übersicht!$A$15:$A$22,0))),0)&gt;1,DAY($A723)&gt;=IFERROR(N(INDEX(Übersicht!$M$15:$M$22,MATCH($B723,Übersicht!$A$15:$A$22,0))),0)),1,0),1))</f>
        <v/>
      </c>
    </row>
    <row r="724">
      <c r="A724" s="92" t="n"/>
      <c r="B724" s="55" t="n"/>
      <c r="C724" s="55" t="n"/>
      <c r="D724" s="55" t="n"/>
      <c r="E724" s="93" t="n"/>
      <c r="F724" s="94" t="n"/>
      <c r="G724" s="94" t="n"/>
      <c r="H724" s="94" t="n"/>
      <c r="I724" s="94" t="n"/>
      <c r="J724" s="55" t="n"/>
      <c r="K724" s="95" t="n"/>
      <c r="L724" s="116">
        <f>IF($A724="","",DATE(YEAR($A724),MONTH($A724)+IF(AND(IFERROR(N(INDEX(Übersicht!$M$15:$M$22,MATCH($B724,Übersicht!$A$15:$A$22,0))),0)&gt;1,DAY($A724)&gt;=IFERROR(N(INDEX(Übersicht!$M$15:$M$22,MATCH($B724,Übersicht!$A$15:$A$22,0))),0)),1,0),1))</f>
        <v/>
      </c>
    </row>
    <row r="725">
      <c r="A725" s="92" t="n"/>
      <c r="B725" s="55" t="n"/>
      <c r="C725" s="55" t="n"/>
      <c r="D725" s="55" t="n"/>
      <c r="E725" s="93" t="n"/>
      <c r="F725" s="94" t="n"/>
      <c r="G725" s="94" t="n"/>
      <c r="H725" s="94" t="n"/>
      <c r="I725" s="94" t="n"/>
      <c r="J725" s="55" t="n"/>
      <c r="K725" s="95" t="n"/>
      <c r="L725" s="116">
        <f>IF($A725="","",DATE(YEAR($A725),MONTH($A725)+IF(AND(IFERROR(N(INDEX(Übersicht!$M$15:$M$22,MATCH($B725,Übersicht!$A$15:$A$22,0))),0)&gt;1,DAY($A725)&gt;=IFERROR(N(INDEX(Übersicht!$M$15:$M$22,MATCH($B725,Übersicht!$A$15:$A$22,0))),0)),1,0),1))</f>
        <v/>
      </c>
    </row>
    <row r="726">
      <c r="A726" s="92" t="n"/>
      <c r="B726" s="55" t="n"/>
      <c r="C726" s="55" t="n"/>
      <c r="D726" s="55" t="n"/>
      <c r="E726" s="93" t="n"/>
      <c r="F726" s="94" t="n"/>
      <c r="G726" s="94" t="n"/>
      <c r="H726" s="94" t="n"/>
      <c r="I726" s="94" t="n"/>
      <c r="J726" s="55" t="n"/>
      <c r="K726" s="95" t="n"/>
      <c r="L726" s="116">
        <f>IF($A726="","",DATE(YEAR($A726),MONTH($A726)+IF(AND(IFERROR(N(INDEX(Übersicht!$M$15:$M$22,MATCH($B726,Übersicht!$A$15:$A$22,0))),0)&gt;1,DAY($A726)&gt;=IFERROR(N(INDEX(Übersicht!$M$15:$M$22,MATCH($B726,Übersicht!$A$15:$A$22,0))),0)),1,0),1))</f>
        <v/>
      </c>
    </row>
    <row r="727">
      <c r="A727" s="92" t="n"/>
      <c r="B727" s="55" t="n"/>
      <c r="C727" s="55" t="n"/>
      <c r="D727" s="55" t="n"/>
      <c r="E727" s="93" t="n"/>
      <c r="F727" s="94" t="n"/>
      <c r="G727" s="94" t="n"/>
      <c r="H727" s="94" t="n"/>
      <c r="I727" s="94" t="n"/>
      <c r="J727" s="55" t="n"/>
      <c r="K727" s="95" t="n"/>
      <c r="L727" s="116">
        <f>IF($A727="","",DATE(YEAR($A727),MONTH($A727)+IF(AND(IFERROR(N(INDEX(Übersicht!$M$15:$M$22,MATCH($B727,Übersicht!$A$15:$A$22,0))),0)&gt;1,DAY($A727)&gt;=IFERROR(N(INDEX(Übersicht!$M$15:$M$22,MATCH($B727,Übersicht!$A$15:$A$22,0))),0)),1,0),1))</f>
        <v/>
      </c>
    </row>
    <row r="728">
      <c r="A728" s="92" t="n"/>
      <c r="B728" s="55" t="n"/>
      <c r="C728" s="55" t="n"/>
      <c r="D728" s="55" t="n"/>
      <c r="E728" s="93" t="n"/>
      <c r="F728" s="94" t="n"/>
      <c r="G728" s="94" t="n"/>
      <c r="H728" s="94" t="n"/>
      <c r="I728" s="94" t="n"/>
      <c r="J728" s="55" t="n"/>
      <c r="K728" s="95" t="n"/>
      <c r="L728" s="116">
        <f>IF($A728="","",DATE(YEAR($A728),MONTH($A728)+IF(AND(IFERROR(N(INDEX(Übersicht!$M$15:$M$22,MATCH($B728,Übersicht!$A$15:$A$22,0))),0)&gt;1,DAY($A728)&gt;=IFERROR(N(INDEX(Übersicht!$M$15:$M$22,MATCH($B728,Übersicht!$A$15:$A$22,0))),0)),1,0),1))</f>
        <v/>
      </c>
    </row>
    <row r="729">
      <c r="A729" s="92" t="n"/>
      <c r="B729" s="55" t="n"/>
      <c r="C729" s="55" t="n"/>
      <c r="D729" s="55" t="n"/>
      <c r="E729" s="93" t="n"/>
      <c r="F729" s="94" t="n"/>
      <c r="G729" s="94" t="n"/>
      <c r="H729" s="94" t="n"/>
      <c r="I729" s="94" t="n"/>
      <c r="J729" s="55" t="n"/>
      <c r="K729" s="95" t="n"/>
      <c r="L729" s="116">
        <f>IF($A729="","",DATE(YEAR($A729),MONTH($A729)+IF(AND(IFERROR(N(INDEX(Übersicht!$M$15:$M$22,MATCH($B729,Übersicht!$A$15:$A$22,0))),0)&gt;1,DAY($A729)&gt;=IFERROR(N(INDEX(Übersicht!$M$15:$M$22,MATCH($B729,Übersicht!$A$15:$A$22,0))),0)),1,0),1))</f>
        <v/>
      </c>
    </row>
    <row r="730">
      <c r="A730" s="92" t="n"/>
      <c r="B730" s="55" t="n"/>
      <c r="C730" s="55" t="n"/>
      <c r="D730" s="55" t="n"/>
      <c r="E730" s="93" t="n"/>
      <c r="F730" s="94" t="n"/>
      <c r="G730" s="94" t="n"/>
      <c r="H730" s="94" t="n"/>
      <c r="I730" s="94" t="n"/>
      <c r="J730" s="55" t="n"/>
      <c r="K730" s="95" t="n"/>
      <c r="L730" s="116">
        <f>IF($A730="","",DATE(YEAR($A730),MONTH($A730)+IF(AND(IFERROR(N(INDEX(Übersicht!$M$15:$M$22,MATCH($B730,Übersicht!$A$15:$A$22,0))),0)&gt;1,DAY($A730)&gt;=IFERROR(N(INDEX(Übersicht!$M$15:$M$22,MATCH($B730,Übersicht!$A$15:$A$22,0))),0)),1,0),1))</f>
        <v/>
      </c>
    </row>
    <row r="731">
      <c r="A731" s="92" t="n"/>
      <c r="B731" s="55" t="n"/>
      <c r="C731" s="55" t="n"/>
      <c r="D731" s="55" t="n"/>
      <c r="E731" s="93" t="n"/>
      <c r="F731" s="94" t="n"/>
      <c r="G731" s="94" t="n"/>
      <c r="H731" s="94" t="n"/>
      <c r="I731" s="94" t="n"/>
      <c r="J731" s="55" t="n"/>
      <c r="K731" s="95" t="n"/>
      <c r="L731" s="116">
        <f>IF($A731="","",DATE(YEAR($A731),MONTH($A731)+IF(AND(IFERROR(N(INDEX(Übersicht!$M$15:$M$22,MATCH($B731,Übersicht!$A$15:$A$22,0))),0)&gt;1,DAY($A731)&gt;=IFERROR(N(INDEX(Übersicht!$M$15:$M$22,MATCH($B731,Übersicht!$A$15:$A$22,0))),0)),1,0),1))</f>
        <v/>
      </c>
    </row>
    <row r="732">
      <c r="A732" s="92" t="n"/>
      <c r="B732" s="55" t="n"/>
      <c r="C732" s="55" t="n"/>
      <c r="D732" s="55" t="n"/>
      <c r="E732" s="93" t="n"/>
      <c r="F732" s="94" t="n"/>
      <c r="G732" s="94" t="n"/>
      <c r="H732" s="94" t="n"/>
      <c r="I732" s="94" t="n"/>
      <c r="J732" s="55" t="n"/>
      <c r="K732" s="95" t="n"/>
      <c r="L732" s="116">
        <f>IF($A732="","",DATE(YEAR($A732),MONTH($A732)+IF(AND(IFERROR(N(INDEX(Übersicht!$M$15:$M$22,MATCH($B732,Übersicht!$A$15:$A$22,0))),0)&gt;1,DAY($A732)&gt;=IFERROR(N(INDEX(Übersicht!$M$15:$M$22,MATCH($B732,Übersicht!$A$15:$A$22,0))),0)),1,0),1))</f>
        <v/>
      </c>
    </row>
    <row r="733">
      <c r="A733" s="92" t="n"/>
      <c r="B733" s="55" t="n"/>
      <c r="C733" s="55" t="n"/>
      <c r="D733" s="55" t="n"/>
      <c r="E733" s="93" t="n"/>
      <c r="F733" s="94" t="n"/>
      <c r="G733" s="94" t="n"/>
      <c r="H733" s="94" t="n"/>
      <c r="I733" s="94" t="n"/>
      <c r="J733" s="55" t="n"/>
      <c r="K733" s="95" t="n"/>
      <c r="L733" s="116">
        <f>IF($A733="","",DATE(YEAR($A733),MONTH($A733)+IF(AND(IFERROR(N(INDEX(Übersicht!$M$15:$M$22,MATCH($B733,Übersicht!$A$15:$A$22,0))),0)&gt;1,DAY($A733)&gt;=IFERROR(N(INDEX(Übersicht!$M$15:$M$22,MATCH($B733,Übersicht!$A$15:$A$22,0))),0)),1,0),1))</f>
        <v/>
      </c>
    </row>
    <row r="734">
      <c r="A734" s="92" t="n"/>
      <c r="B734" s="55" t="n"/>
      <c r="C734" s="55" t="n"/>
      <c r="D734" s="55" t="n"/>
      <c r="E734" s="93" t="n"/>
      <c r="F734" s="94" t="n"/>
      <c r="G734" s="94" t="n"/>
      <c r="H734" s="94" t="n"/>
      <c r="I734" s="94" t="n"/>
      <c r="J734" s="55" t="n"/>
      <c r="K734" s="95" t="n"/>
      <c r="L734" s="116">
        <f>IF($A734="","",DATE(YEAR($A734),MONTH($A734)+IF(AND(IFERROR(N(INDEX(Übersicht!$M$15:$M$22,MATCH($B734,Übersicht!$A$15:$A$22,0))),0)&gt;1,DAY($A734)&gt;=IFERROR(N(INDEX(Übersicht!$M$15:$M$22,MATCH($B734,Übersicht!$A$15:$A$22,0))),0)),1,0),1))</f>
        <v/>
      </c>
    </row>
    <row r="735">
      <c r="A735" s="92" t="n"/>
      <c r="B735" s="55" t="n"/>
      <c r="C735" s="55" t="n"/>
      <c r="D735" s="55" t="n"/>
      <c r="E735" s="93" t="n"/>
      <c r="F735" s="94" t="n"/>
      <c r="G735" s="94" t="n"/>
      <c r="H735" s="94" t="n"/>
      <c r="I735" s="94" t="n"/>
      <c r="J735" s="55" t="n"/>
      <c r="K735" s="95" t="n"/>
      <c r="L735" s="116">
        <f>IF($A735="","",DATE(YEAR($A735),MONTH($A735)+IF(AND(IFERROR(N(INDEX(Übersicht!$M$15:$M$22,MATCH($B735,Übersicht!$A$15:$A$22,0))),0)&gt;1,DAY($A735)&gt;=IFERROR(N(INDEX(Übersicht!$M$15:$M$22,MATCH($B735,Übersicht!$A$15:$A$22,0))),0)),1,0),1))</f>
        <v/>
      </c>
    </row>
    <row r="736">
      <c r="A736" s="92" t="n"/>
      <c r="B736" s="55" t="n"/>
      <c r="C736" s="55" t="n"/>
      <c r="D736" s="55" t="n"/>
      <c r="E736" s="93" t="n"/>
      <c r="F736" s="94" t="n"/>
      <c r="G736" s="94" t="n"/>
      <c r="H736" s="94" t="n"/>
      <c r="I736" s="94" t="n"/>
      <c r="J736" s="55" t="n"/>
      <c r="K736" s="95" t="n"/>
      <c r="L736" s="116">
        <f>IF($A736="","",DATE(YEAR($A736),MONTH($A736)+IF(AND(IFERROR(N(INDEX(Übersicht!$M$15:$M$22,MATCH($B736,Übersicht!$A$15:$A$22,0))),0)&gt;1,DAY($A736)&gt;=IFERROR(N(INDEX(Übersicht!$M$15:$M$22,MATCH($B736,Übersicht!$A$15:$A$22,0))),0)),1,0),1))</f>
        <v/>
      </c>
    </row>
    <row r="737">
      <c r="A737" s="92" t="n"/>
      <c r="B737" s="55" t="n"/>
      <c r="C737" s="55" t="n"/>
      <c r="D737" s="55" t="n"/>
      <c r="E737" s="93" t="n"/>
      <c r="F737" s="94" t="n"/>
      <c r="G737" s="94" t="n"/>
      <c r="H737" s="94" t="n"/>
      <c r="I737" s="94" t="n"/>
      <c r="J737" s="55" t="n"/>
      <c r="K737" s="95" t="n"/>
      <c r="L737" s="116">
        <f>IF($A737="","",DATE(YEAR($A737),MONTH($A737)+IF(AND(IFERROR(N(INDEX(Übersicht!$M$15:$M$22,MATCH($B737,Übersicht!$A$15:$A$22,0))),0)&gt;1,DAY($A737)&gt;=IFERROR(N(INDEX(Übersicht!$M$15:$M$22,MATCH($B737,Übersicht!$A$15:$A$22,0))),0)),1,0),1))</f>
        <v/>
      </c>
    </row>
    <row r="738">
      <c r="A738" s="92" t="n"/>
      <c r="B738" s="55" t="n"/>
      <c r="C738" s="55" t="n"/>
      <c r="D738" s="55" t="n"/>
      <c r="E738" s="93" t="n"/>
      <c r="F738" s="94" t="n"/>
      <c r="G738" s="94" t="n"/>
      <c r="H738" s="94" t="n"/>
      <c r="I738" s="94" t="n"/>
      <c r="J738" s="55" t="n"/>
      <c r="K738" s="95" t="n"/>
      <c r="L738" s="116">
        <f>IF($A738="","",DATE(YEAR($A738),MONTH($A738)+IF(AND(IFERROR(N(INDEX(Übersicht!$M$15:$M$22,MATCH($B738,Übersicht!$A$15:$A$22,0))),0)&gt;1,DAY($A738)&gt;=IFERROR(N(INDEX(Übersicht!$M$15:$M$22,MATCH($B738,Übersicht!$A$15:$A$22,0))),0)),1,0),1))</f>
        <v/>
      </c>
    </row>
    <row r="739">
      <c r="A739" s="92" t="n"/>
      <c r="B739" s="55" t="n"/>
      <c r="C739" s="55" t="n"/>
      <c r="D739" s="55" t="n"/>
      <c r="E739" s="93" t="n"/>
      <c r="F739" s="94" t="n"/>
      <c r="G739" s="94" t="n"/>
      <c r="H739" s="94" t="n"/>
      <c r="I739" s="94" t="n"/>
      <c r="J739" s="55" t="n"/>
      <c r="K739" s="95" t="n"/>
      <c r="L739" s="116">
        <f>IF($A739="","",DATE(YEAR($A739),MONTH($A739)+IF(AND(IFERROR(N(INDEX(Übersicht!$M$15:$M$22,MATCH($B739,Übersicht!$A$15:$A$22,0))),0)&gt;1,DAY($A739)&gt;=IFERROR(N(INDEX(Übersicht!$M$15:$M$22,MATCH($B739,Übersicht!$A$15:$A$22,0))),0)),1,0),1))</f>
        <v/>
      </c>
    </row>
    <row r="740">
      <c r="A740" s="92" t="n"/>
      <c r="B740" s="55" t="n"/>
      <c r="C740" s="55" t="n"/>
      <c r="D740" s="55" t="n"/>
      <c r="E740" s="93" t="n"/>
      <c r="F740" s="94" t="n"/>
      <c r="G740" s="94" t="n"/>
      <c r="H740" s="94" t="n"/>
      <c r="I740" s="94" t="n"/>
      <c r="J740" s="55" t="n"/>
      <c r="K740" s="95" t="n"/>
      <c r="L740" s="116">
        <f>IF($A740="","",DATE(YEAR($A740),MONTH($A740)+IF(AND(IFERROR(N(INDEX(Übersicht!$M$15:$M$22,MATCH($B740,Übersicht!$A$15:$A$22,0))),0)&gt;1,DAY($A740)&gt;=IFERROR(N(INDEX(Übersicht!$M$15:$M$22,MATCH($B740,Übersicht!$A$15:$A$22,0))),0)),1,0),1))</f>
        <v/>
      </c>
    </row>
    <row r="741">
      <c r="A741" s="92" t="n"/>
      <c r="B741" s="55" t="n"/>
      <c r="C741" s="55" t="n"/>
      <c r="D741" s="55" t="n"/>
      <c r="E741" s="93" t="n"/>
      <c r="F741" s="94" t="n"/>
      <c r="G741" s="94" t="n"/>
      <c r="H741" s="94" t="n"/>
      <c r="I741" s="94" t="n"/>
      <c r="J741" s="55" t="n"/>
      <c r="K741" s="95" t="n"/>
      <c r="L741" s="116">
        <f>IF($A741="","",DATE(YEAR($A741),MONTH($A741)+IF(AND(IFERROR(N(INDEX(Übersicht!$M$15:$M$22,MATCH($B741,Übersicht!$A$15:$A$22,0))),0)&gt;1,DAY($A741)&gt;=IFERROR(N(INDEX(Übersicht!$M$15:$M$22,MATCH($B741,Übersicht!$A$15:$A$22,0))),0)),1,0),1))</f>
        <v/>
      </c>
    </row>
    <row r="742">
      <c r="A742" s="92" t="n"/>
      <c r="B742" s="55" t="n"/>
      <c r="C742" s="55" t="n"/>
      <c r="D742" s="55" t="n"/>
      <c r="E742" s="93" t="n"/>
      <c r="F742" s="94" t="n"/>
      <c r="G742" s="94" t="n"/>
      <c r="H742" s="94" t="n"/>
      <c r="I742" s="94" t="n"/>
      <c r="J742" s="55" t="n"/>
      <c r="K742" s="95" t="n"/>
      <c r="L742" s="116">
        <f>IF($A742="","",DATE(YEAR($A742),MONTH($A742)+IF(AND(IFERROR(N(INDEX(Übersicht!$M$15:$M$22,MATCH($B742,Übersicht!$A$15:$A$22,0))),0)&gt;1,DAY($A742)&gt;=IFERROR(N(INDEX(Übersicht!$M$15:$M$22,MATCH($B742,Übersicht!$A$15:$A$22,0))),0)),1,0),1))</f>
        <v/>
      </c>
    </row>
    <row r="743">
      <c r="A743" s="92" t="n"/>
      <c r="B743" s="55" t="n"/>
      <c r="C743" s="55" t="n"/>
      <c r="D743" s="55" t="n"/>
      <c r="E743" s="93" t="n"/>
      <c r="F743" s="94" t="n"/>
      <c r="G743" s="94" t="n"/>
      <c r="H743" s="94" t="n"/>
      <c r="I743" s="94" t="n"/>
      <c r="J743" s="55" t="n"/>
      <c r="K743" s="95" t="n"/>
      <c r="L743" s="116">
        <f>IF($A743="","",DATE(YEAR($A743),MONTH($A743)+IF(AND(IFERROR(N(INDEX(Übersicht!$M$15:$M$22,MATCH($B743,Übersicht!$A$15:$A$22,0))),0)&gt;1,DAY($A743)&gt;=IFERROR(N(INDEX(Übersicht!$M$15:$M$22,MATCH($B743,Übersicht!$A$15:$A$22,0))),0)),1,0),1))</f>
        <v/>
      </c>
    </row>
    <row r="744">
      <c r="A744" s="92" t="n"/>
      <c r="B744" s="55" t="n"/>
      <c r="C744" s="55" t="n"/>
      <c r="D744" s="55" t="n"/>
      <c r="E744" s="93" t="n"/>
      <c r="F744" s="94" t="n"/>
      <c r="G744" s="94" t="n"/>
      <c r="H744" s="94" t="n"/>
      <c r="I744" s="94" t="n"/>
      <c r="J744" s="55" t="n"/>
      <c r="K744" s="95" t="n"/>
      <c r="L744" s="116">
        <f>IF($A744="","",DATE(YEAR($A744),MONTH($A744)+IF(AND(IFERROR(N(INDEX(Übersicht!$M$15:$M$22,MATCH($B744,Übersicht!$A$15:$A$22,0))),0)&gt;1,DAY($A744)&gt;=IFERROR(N(INDEX(Übersicht!$M$15:$M$22,MATCH($B744,Übersicht!$A$15:$A$22,0))),0)),1,0),1))</f>
        <v/>
      </c>
    </row>
    <row r="745">
      <c r="A745" s="92" t="n"/>
      <c r="B745" s="55" t="n"/>
      <c r="C745" s="55" t="n"/>
      <c r="D745" s="55" t="n"/>
      <c r="E745" s="93" t="n"/>
      <c r="F745" s="94" t="n"/>
      <c r="G745" s="94" t="n"/>
      <c r="H745" s="94" t="n"/>
      <c r="I745" s="94" t="n"/>
      <c r="J745" s="55" t="n"/>
      <c r="K745" s="95" t="n"/>
      <c r="L745" s="116">
        <f>IF($A745="","",DATE(YEAR($A745),MONTH($A745)+IF(AND(IFERROR(N(INDEX(Übersicht!$M$15:$M$22,MATCH($B745,Übersicht!$A$15:$A$22,0))),0)&gt;1,DAY($A745)&gt;=IFERROR(N(INDEX(Übersicht!$M$15:$M$22,MATCH($B745,Übersicht!$A$15:$A$22,0))),0)),1,0),1))</f>
        <v/>
      </c>
    </row>
    <row r="746">
      <c r="A746" s="92" t="n"/>
      <c r="B746" s="55" t="n"/>
      <c r="C746" s="55" t="n"/>
      <c r="D746" s="55" t="n"/>
      <c r="E746" s="93" t="n"/>
      <c r="F746" s="94" t="n"/>
      <c r="G746" s="94" t="n"/>
      <c r="H746" s="94" t="n"/>
      <c r="I746" s="94" t="n"/>
      <c r="J746" s="55" t="n"/>
      <c r="K746" s="95" t="n"/>
      <c r="L746" s="116">
        <f>IF($A746="","",DATE(YEAR($A746),MONTH($A746)+IF(AND(IFERROR(N(INDEX(Übersicht!$M$15:$M$22,MATCH($B746,Übersicht!$A$15:$A$22,0))),0)&gt;1,DAY($A746)&gt;=IFERROR(N(INDEX(Übersicht!$M$15:$M$22,MATCH($B746,Übersicht!$A$15:$A$22,0))),0)),1,0),1))</f>
        <v/>
      </c>
    </row>
    <row r="747">
      <c r="A747" s="92" t="n"/>
      <c r="B747" s="55" t="n"/>
      <c r="C747" s="55" t="n"/>
      <c r="D747" s="55" t="n"/>
      <c r="E747" s="93" t="n"/>
      <c r="F747" s="94" t="n"/>
      <c r="G747" s="94" t="n"/>
      <c r="H747" s="94" t="n"/>
      <c r="I747" s="94" t="n"/>
      <c r="J747" s="55" t="n"/>
      <c r="K747" s="95" t="n"/>
      <c r="L747" s="116">
        <f>IF($A747="","",DATE(YEAR($A747),MONTH($A747)+IF(AND(IFERROR(N(INDEX(Übersicht!$M$15:$M$22,MATCH($B747,Übersicht!$A$15:$A$22,0))),0)&gt;1,DAY($A747)&gt;=IFERROR(N(INDEX(Übersicht!$M$15:$M$22,MATCH($B747,Übersicht!$A$15:$A$22,0))),0)),1,0),1))</f>
        <v/>
      </c>
    </row>
    <row r="748">
      <c r="A748" s="92" t="n"/>
      <c r="B748" s="55" t="n"/>
      <c r="C748" s="55" t="n"/>
      <c r="D748" s="55" t="n"/>
      <c r="E748" s="93" t="n"/>
      <c r="F748" s="94" t="n"/>
      <c r="G748" s="94" t="n"/>
      <c r="H748" s="94" t="n"/>
      <c r="I748" s="94" t="n"/>
      <c r="J748" s="55" t="n"/>
      <c r="K748" s="95" t="n"/>
      <c r="L748" s="116">
        <f>IF($A748="","",DATE(YEAR($A748),MONTH($A748)+IF(AND(IFERROR(N(INDEX(Übersicht!$M$15:$M$22,MATCH($B748,Übersicht!$A$15:$A$22,0))),0)&gt;1,DAY($A748)&gt;=IFERROR(N(INDEX(Übersicht!$M$15:$M$22,MATCH($B748,Übersicht!$A$15:$A$22,0))),0)),1,0),1))</f>
        <v/>
      </c>
    </row>
    <row r="749">
      <c r="A749" s="92" t="n"/>
      <c r="B749" s="55" t="n"/>
      <c r="C749" s="55" t="n"/>
      <c r="D749" s="55" t="n"/>
      <c r="E749" s="93" t="n"/>
      <c r="F749" s="94" t="n"/>
      <c r="G749" s="94" t="n"/>
      <c r="H749" s="94" t="n"/>
      <c r="I749" s="94" t="n"/>
      <c r="J749" s="55" t="n"/>
      <c r="K749" s="95" t="n"/>
      <c r="L749" s="116">
        <f>IF($A749="","",DATE(YEAR($A749),MONTH($A749)+IF(AND(IFERROR(N(INDEX(Übersicht!$M$15:$M$22,MATCH($B749,Übersicht!$A$15:$A$22,0))),0)&gt;1,DAY($A749)&gt;=IFERROR(N(INDEX(Übersicht!$M$15:$M$22,MATCH($B749,Übersicht!$A$15:$A$22,0))),0)),1,0),1))</f>
        <v/>
      </c>
    </row>
    <row r="750">
      <c r="A750" s="92" t="n"/>
      <c r="B750" s="55" t="n"/>
      <c r="C750" s="55" t="n"/>
      <c r="D750" s="55" t="n"/>
      <c r="E750" s="93" t="n"/>
      <c r="F750" s="94" t="n"/>
      <c r="G750" s="94" t="n"/>
      <c r="H750" s="94" t="n"/>
      <c r="I750" s="94" t="n"/>
      <c r="J750" s="55" t="n"/>
      <c r="K750" s="95" t="n"/>
      <c r="L750" s="116">
        <f>IF($A750="","",DATE(YEAR($A750),MONTH($A750)+IF(AND(IFERROR(N(INDEX(Übersicht!$M$15:$M$22,MATCH($B750,Übersicht!$A$15:$A$22,0))),0)&gt;1,DAY($A750)&gt;=IFERROR(N(INDEX(Übersicht!$M$15:$M$22,MATCH($B750,Übersicht!$A$15:$A$22,0))),0)),1,0),1))</f>
        <v/>
      </c>
    </row>
    <row r="751">
      <c r="A751" s="92" t="n"/>
      <c r="B751" s="55" t="n"/>
      <c r="C751" s="55" t="n"/>
      <c r="D751" s="55" t="n"/>
      <c r="E751" s="93" t="n"/>
      <c r="F751" s="94" t="n"/>
      <c r="G751" s="94" t="n"/>
      <c r="H751" s="94" t="n"/>
      <c r="I751" s="94" t="n"/>
      <c r="J751" s="55" t="n"/>
      <c r="K751" s="95" t="n"/>
      <c r="L751" s="116">
        <f>IF($A751="","",DATE(YEAR($A751),MONTH($A751)+IF(AND(IFERROR(N(INDEX(Übersicht!$M$15:$M$22,MATCH($B751,Übersicht!$A$15:$A$22,0))),0)&gt;1,DAY($A751)&gt;=IFERROR(N(INDEX(Übersicht!$M$15:$M$22,MATCH($B751,Übersicht!$A$15:$A$22,0))),0)),1,0),1))</f>
        <v/>
      </c>
    </row>
    <row r="752">
      <c r="A752" s="92" t="n"/>
      <c r="B752" s="55" t="n"/>
      <c r="C752" s="55" t="n"/>
      <c r="D752" s="55" t="n"/>
      <c r="E752" s="93" t="n"/>
      <c r="F752" s="94" t="n"/>
      <c r="G752" s="94" t="n"/>
      <c r="H752" s="94" t="n"/>
      <c r="I752" s="94" t="n"/>
      <c r="J752" s="55" t="n"/>
      <c r="K752" s="95" t="n"/>
      <c r="L752" s="116">
        <f>IF($A752="","",DATE(YEAR($A752),MONTH($A752)+IF(AND(IFERROR(N(INDEX(Übersicht!$M$15:$M$22,MATCH($B752,Übersicht!$A$15:$A$22,0))),0)&gt;1,DAY($A752)&gt;=IFERROR(N(INDEX(Übersicht!$M$15:$M$22,MATCH($B752,Übersicht!$A$15:$A$22,0))),0)),1,0),1))</f>
        <v/>
      </c>
    </row>
    <row r="753">
      <c r="A753" s="92" t="n"/>
      <c r="B753" s="55" t="n"/>
      <c r="C753" s="55" t="n"/>
      <c r="D753" s="55" t="n"/>
      <c r="E753" s="93" t="n"/>
      <c r="F753" s="94" t="n"/>
      <c r="G753" s="94" t="n"/>
      <c r="H753" s="94" t="n"/>
      <c r="I753" s="94" t="n"/>
      <c r="J753" s="55" t="n"/>
      <c r="K753" s="95" t="n"/>
      <c r="L753" s="116">
        <f>IF($A753="","",DATE(YEAR($A753),MONTH($A753)+IF(AND(IFERROR(N(INDEX(Übersicht!$M$15:$M$22,MATCH($B753,Übersicht!$A$15:$A$22,0))),0)&gt;1,DAY($A753)&gt;=IFERROR(N(INDEX(Übersicht!$M$15:$M$22,MATCH($B753,Übersicht!$A$15:$A$22,0))),0)),1,0),1))</f>
        <v/>
      </c>
    </row>
    <row r="754">
      <c r="A754" s="92" t="n"/>
      <c r="B754" s="55" t="n"/>
      <c r="C754" s="55" t="n"/>
      <c r="D754" s="55" t="n"/>
      <c r="E754" s="93" t="n"/>
      <c r="F754" s="94" t="n"/>
      <c r="G754" s="94" t="n"/>
      <c r="H754" s="94" t="n"/>
      <c r="I754" s="94" t="n"/>
      <c r="J754" s="55" t="n"/>
      <c r="K754" s="95" t="n"/>
      <c r="L754" s="116">
        <f>IF($A754="","",DATE(YEAR($A754),MONTH($A754)+IF(AND(IFERROR(N(INDEX(Übersicht!$M$15:$M$22,MATCH($B754,Übersicht!$A$15:$A$22,0))),0)&gt;1,DAY($A754)&gt;=IFERROR(N(INDEX(Übersicht!$M$15:$M$22,MATCH($B754,Übersicht!$A$15:$A$22,0))),0)),1,0),1))</f>
        <v/>
      </c>
    </row>
    <row r="755">
      <c r="A755" s="92" t="n"/>
      <c r="B755" s="55" t="n"/>
      <c r="C755" s="55" t="n"/>
      <c r="D755" s="55" t="n"/>
      <c r="E755" s="93" t="n"/>
      <c r="F755" s="94" t="n"/>
      <c r="G755" s="94" t="n"/>
      <c r="H755" s="94" t="n"/>
      <c r="I755" s="94" t="n"/>
      <c r="J755" s="55" t="n"/>
      <c r="K755" s="95" t="n"/>
      <c r="L755" s="116">
        <f>IF($A755="","",DATE(YEAR($A755),MONTH($A755)+IF(AND(IFERROR(N(INDEX(Übersicht!$M$15:$M$22,MATCH($B755,Übersicht!$A$15:$A$22,0))),0)&gt;1,DAY($A755)&gt;=IFERROR(N(INDEX(Übersicht!$M$15:$M$22,MATCH($B755,Übersicht!$A$15:$A$22,0))),0)),1,0),1))</f>
        <v/>
      </c>
    </row>
    <row r="756">
      <c r="A756" s="92" t="n"/>
      <c r="B756" s="55" t="n"/>
      <c r="C756" s="55" t="n"/>
      <c r="D756" s="55" t="n"/>
      <c r="E756" s="93" t="n"/>
      <c r="F756" s="94" t="n"/>
      <c r="G756" s="94" t="n"/>
      <c r="H756" s="94" t="n"/>
      <c r="I756" s="94" t="n"/>
      <c r="J756" s="55" t="n"/>
      <c r="K756" s="95" t="n"/>
      <c r="L756" s="116">
        <f>IF($A756="","",DATE(YEAR($A756),MONTH($A756)+IF(AND(IFERROR(N(INDEX(Übersicht!$M$15:$M$22,MATCH($B756,Übersicht!$A$15:$A$22,0))),0)&gt;1,DAY($A756)&gt;=IFERROR(N(INDEX(Übersicht!$M$15:$M$22,MATCH($B756,Übersicht!$A$15:$A$22,0))),0)),1,0),1))</f>
        <v/>
      </c>
    </row>
    <row r="757">
      <c r="A757" s="92" t="n"/>
      <c r="B757" s="55" t="n"/>
      <c r="C757" s="55" t="n"/>
      <c r="D757" s="55" t="n"/>
      <c r="E757" s="93" t="n"/>
      <c r="F757" s="94" t="n"/>
      <c r="G757" s="94" t="n"/>
      <c r="H757" s="94" t="n"/>
      <c r="I757" s="94" t="n"/>
      <c r="J757" s="55" t="n"/>
      <c r="K757" s="95" t="n"/>
      <c r="L757" s="116">
        <f>IF($A757="","",DATE(YEAR($A757),MONTH($A757)+IF(AND(IFERROR(N(INDEX(Übersicht!$M$15:$M$22,MATCH($B757,Übersicht!$A$15:$A$22,0))),0)&gt;1,DAY($A757)&gt;=IFERROR(N(INDEX(Übersicht!$M$15:$M$22,MATCH($B757,Übersicht!$A$15:$A$22,0))),0)),1,0),1))</f>
        <v/>
      </c>
    </row>
    <row r="758">
      <c r="A758" s="92" t="n"/>
      <c r="B758" s="55" t="n"/>
      <c r="C758" s="55" t="n"/>
      <c r="D758" s="55" t="n"/>
      <c r="E758" s="93" t="n"/>
      <c r="F758" s="94" t="n"/>
      <c r="G758" s="94" t="n"/>
      <c r="H758" s="94" t="n"/>
      <c r="I758" s="94" t="n"/>
      <c r="J758" s="55" t="n"/>
      <c r="K758" s="95" t="n"/>
      <c r="L758" s="116">
        <f>IF($A758="","",DATE(YEAR($A758),MONTH($A758)+IF(AND(IFERROR(N(INDEX(Übersicht!$M$15:$M$22,MATCH($B758,Übersicht!$A$15:$A$22,0))),0)&gt;1,DAY($A758)&gt;=IFERROR(N(INDEX(Übersicht!$M$15:$M$22,MATCH($B758,Übersicht!$A$15:$A$22,0))),0)),1,0),1))</f>
        <v/>
      </c>
    </row>
    <row r="759">
      <c r="A759" s="92" t="n"/>
      <c r="B759" s="55" t="n"/>
      <c r="C759" s="55" t="n"/>
      <c r="D759" s="55" t="n"/>
      <c r="E759" s="93" t="n"/>
      <c r="F759" s="94" t="n"/>
      <c r="G759" s="94" t="n"/>
      <c r="H759" s="94" t="n"/>
      <c r="I759" s="94" t="n"/>
      <c r="J759" s="55" t="n"/>
      <c r="K759" s="95" t="n"/>
      <c r="L759" s="116">
        <f>IF($A759="","",DATE(YEAR($A759),MONTH($A759)+IF(AND(IFERROR(N(INDEX(Übersicht!$M$15:$M$22,MATCH($B759,Übersicht!$A$15:$A$22,0))),0)&gt;1,DAY($A759)&gt;=IFERROR(N(INDEX(Übersicht!$M$15:$M$22,MATCH($B759,Übersicht!$A$15:$A$22,0))),0)),1,0),1))</f>
        <v/>
      </c>
    </row>
    <row r="760">
      <c r="A760" s="92" t="n"/>
      <c r="B760" s="55" t="n"/>
      <c r="C760" s="55" t="n"/>
      <c r="D760" s="55" t="n"/>
      <c r="E760" s="93" t="n"/>
      <c r="F760" s="94" t="n"/>
      <c r="G760" s="94" t="n"/>
      <c r="H760" s="94" t="n"/>
      <c r="I760" s="94" t="n"/>
      <c r="J760" s="55" t="n"/>
      <c r="K760" s="95" t="n"/>
      <c r="L760" s="116">
        <f>IF($A760="","",DATE(YEAR($A760),MONTH($A760)+IF(AND(IFERROR(N(INDEX(Übersicht!$M$15:$M$22,MATCH($B760,Übersicht!$A$15:$A$22,0))),0)&gt;1,DAY($A760)&gt;=IFERROR(N(INDEX(Übersicht!$M$15:$M$22,MATCH($B760,Übersicht!$A$15:$A$22,0))),0)),1,0),1))</f>
        <v/>
      </c>
    </row>
    <row r="761">
      <c r="A761" s="92" t="n"/>
      <c r="B761" s="55" t="n"/>
      <c r="C761" s="55" t="n"/>
      <c r="D761" s="55" t="n"/>
      <c r="E761" s="93" t="n"/>
      <c r="F761" s="94" t="n"/>
      <c r="G761" s="94" t="n"/>
      <c r="H761" s="94" t="n"/>
      <c r="I761" s="94" t="n"/>
      <c r="J761" s="55" t="n"/>
      <c r="K761" s="95" t="n"/>
      <c r="L761" s="116">
        <f>IF($A761="","",DATE(YEAR($A761),MONTH($A761)+IF(AND(IFERROR(N(INDEX(Übersicht!$M$15:$M$22,MATCH($B761,Übersicht!$A$15:$A$22,0))),0)&gt;1,DAY($A761)&gt;=IFERROR(N(INDEX(Übersicht!$M$15:$M$22,MATCH($B761,Übersicht!$A$15:$A$22,0))),0)),1,0),1))</f>
        <v/>
      </c>
    </row>
    <row r="762">
      <c r="A762" s="92" t="n"/>
      <c r="B762" s="55" t="n"/>
      <c r="C762" s="55" t="n"/>
      <c r="D762" s="55" t="n"/>
      <c r="E762" s="93" t="n"/>
      <c r="F762" s="94" t="n"/>
      <c r="G762" s="94" t="n"/>
      <c r="H762" s="94" t="n"/>
      <c r="I762" s="94" t="n"/>
      <c r="J762" s="55" t="n"/>
      <c r="K762" s="95" t="n"/>
      <c r="L762" s="116">
        <f>IF($A762="","",DATE(YEAR($A762),MONTH($A762)+IF(AND(IFERROR(N(INDEX(Übersicht!$M$15:$M$22,MATCH($B762,Übersicht!$A$15:$A$22,0))),0)&gt;1,DAY($A762)&gt;=IFERROR(N(INDEX(Übersicht!$M$15:$M$22,MATCH($B762,Übersicht!$A$15:$A$22,0))),0)),1,0),1))</f>
        <v/>
      </c>
    </row>
    <row r="763">
      <c r="A763" s="92" t="n"/>
      <c r="B763" s="55" t="n"/>
      <c r="C763" s="55" t="n"/>
      <c r="D763" s="55" t="n"/>
      <c r="E763" s="93" t="n"/>
      <c r="F763" s="94" t="n"/>
      <c r="G763" s="94" t="n"/>
      <c r="H763" s="94" t="n"/>
      <c r="I763" s="94" t="n"/>
      <c r="J763" s="55" t="n"/>
      <c r="K763" s="95" t="n"/>
      <c r="L763" s="116">
        <f>IF($A763="","",DATE(YEAR($A763),MONTH($A763)+IF(AND(IFERROR(N(INDEX(Übersicht!$M$15:$M$22,MATCH($B763,Übersicht!$A$15:$A$22,0))),0)&gt;1,DAY($A763)&gt;=IFERROR(N(INDEX(Übersicht!$M$15:$M$22,MATCH($B763,Übersicht!$A$15:$A$22,0))),0)),1,0),1))</f>
        <v/>
      </c>
    </row>
    <row r="764">
      <c r="A764" s="92" t="n"/>
      <c r="B764" s="55" t="n"/>
      <c r="C764" s="55" t="n"/>
      <c r="D764" s="55" t="n"/>
      <c r="E764" s="93" t="n"/>
      <c r="F764" s="94" t="n"/>
      <c r="G764" s="94" t="n"/>
      <c r="H764" s="94" t="n"/>
      <c r="I764" s="94" t="n"/>
      <c r="J764" s="55" t="n"/>
      <c r="K764" s="95" t="n"/>
      <c r="L764" s="116">
        <f>IF($A764="","",DATE(YEAR($A764),MONTH($A764)+IF(AND(IFERROR(N(INDEX(Übersicht!$M$15:$M$22,MATCH($B764,Übersicht!$A$15:$A$22,0))),0)&gt;1,DAY($A764)&gt;=IFERROR(N(INDEX(Übersicht!$M$15:$M$22,MATCH($B764,Übersicht!$A$15:$A$22,0))),0)),1,0),1))</f>
        <v/>
      </c>
    </row>
    <row r="765">
      <c r="A765" s="92" t="n"/>
      <c r="B765" s="55" t="n"/>
      <c r="C765" s="55" t="n"/>
      <c r="D765" s="55" t="n"/>
      <c r="E765" s="93" t="n"/>
      <c r="F765" s="94" t="n"/>
      <c r="G765" s="94" t="n"/>
      <c r="H765" s="94" t="n"/>
      <c r="I765" s="94" t="n"/>
      <c r="J765" s="55" t="n"/>
      <c r="K765" s="95" t="n"/>
      <c r="L765" s="116">
        <f>IF($A765="","",DATE(YEAR($A765),MONTH($A765)+IF(AND(IFERROR(N(INDEX(Übersicht!$M$15:$M$22,MATCH($B765,Übersicht!$A$15:$A$22,0))),0)&gt;1,DAY($A765)&gt;=IFERROR(N(INDEX(Übersicht!$M$15:$M$22,MATCH($B765,Übersicht!$A$15:$A$22,0))),0)),1,0),1))</f>
        <v/>
      </c>
    </row>
    <row r="766">
      <c r="A766" s="92" t="n"/>
      <c r="B766" s="55" t="n"/>
      <c r="C766" s="55" t="n"/>
      <c r="D766" s="55" t="n"/>
      <c r="E766" s="93" t="n"/>
      <c r="F766" s="94" t="n"/>
      <c r="G766" s="94" t="n"/>
      <c r="H766" s="94" t="n"/>
      <c r="I766" s="94" t="n"/>
      <c r="J766" s="55" t="n"/>
      <c r="K766" s="95" t="n"/>
      <c r="L766" s="116">
        <f>IF($A766="","",DATE(YEAR($A766),MONTH($A766)+IF(AND(IFERROR(N(INDEX(Übersicht!$M$15:$M$22,MATCH($B766,Übersicht!$A$15:$A$22,0))),0)&gt;1,DAY($A766)&gt;=IFERROR(N(INDEX(Übersicht!$M$15:$M$22,MATCH($B766,Übersicht!$A$15:$A$22,0))),0)),1,0),1))</f>
        <v/>
      </c>
    </row>
    <row r="767">
      <c r="A767" s="92" t="n"/>
      <c r="B767" s="55" t="n"/>
      <c r="C767" s="55" t="n"/>
      <c r="D767" s="55" t="n"/>
      <c r="E767" s="93" t="n"/>
      <c r="F767" s="94" t="n"/>
      <c r="G767" s="94" t="n"/>
      <c r="H767" s="94" t="n"/>
      <c r="I767" s="94" t="n"/>
      <c r="J767" s="55" t="n"/>
      <c r="K767" s="95" t="n"/>
      <c r="L767" s="116">
        <f>IF($A767="","",DATE(YEAR($A767),MONTH($A767)+IF(AND(IFERROR(N(INDEX(Übersicht!$M$15:$M$22,MATCH($B767,Übersicht!$A$15:$A$22,0))),0)&gt;1,DAY($A767)&gt;=IFERROR(N(INDEX(Übersicht!$M$15:$M$22,MATCH($B767,Übersicht!$A$15:$A$22,0))),0)),1,0),1))</f>
        <v/>
      </c>
    </row>
    <row r="768">
      <c r="A768" s="92" t="n"/>
      <c r="B768" s="55" t="n"/>
      <c r="C768" s="55" t="n"/>
      <c r="D768" s="55" t="n"/>
      <c r="E768" s="93" t="n"/>
      <c r="F768" s="94" t="n"/>
      <c r="G768" s="94" t="n"/>
      <c r="H768" s="94" t="n"/>
      <c r="I768" s="94" t="n"/>
      <c r="J768" s="55" t="n"/>
      <c r="K768" s="95" t="n"/>
      <c r="L768" s="116">
        <f>IF($A768="","",DATE(YEAR($A768),MONTH($A768)+IF(AND(IFERROR(N(INDEX(Übersicht!$M$15:$M$22,MATCH($B768,Übersicht!$A$15:$A$22,0))),0)&gt;1,DAY($A768)&gt;=IFERROR(N(INDEX(Übersicht!$M$15:$M$22,MATCH($B768,Übersicht!$A$15:$A$22,0))),0)),1,0),1))</f>
        <v/>
      </c>
    </row>
    <row r="769">
      <c r="A769" s="92" t="n"/>
      <c r="B769" s="55" t="n"/>
      <c r="C769" s="55" t="n"/>
      <c r="D769" s="55" t="n"/>
      <c r="E769" s="93" t="n"/>
      <c r="F769" s="94" t="n"/>
      <c r="G769" s="94" t="n"/>
      <c r="H769" s="94" t="n"/>
      <c r="I769" s="94" t="n"/>
      <c r="J769" s="55" t="n"/>
      <c r="K769" s="95" t="n"/>
      <c r="L769" s="116">
        <f>IF($A769="","",DATE(YEAR($A769),MONTH($A769)+IF(AND(IFERROR(N(INDEX(Übersicht!$M$15:$M$22,MATCH($B769,Übersicht!$A$15:$A$22,0))),0)&gt;1,DAY($A769)&gt;=IFERROR(N(INDEX(Übersicht!$M$15:$M$22,MATCH($B769,Übersicht!$A$15:$A$22,0))),0)),1,0),1))</f>
        <v/>
      </c>
    </row>
    <row r="770">
      <c r="A770" s="92" t="n"/>
      <c r="B770" s="55" t="n"/>
      <c r="C770" s="55" t="n"/>
      <c r="D770" s="55" t="n"/>
      <c r="E770" s="93" t="n"/>
      <c r="F770" s="94" t="n"/>
      <c r="G770" s="94" t="n"/>
      <c r="H770" s="94" t="n"/>
      <c r="I770" s="94" t="n"/>
      <c r="J770" s="55" t="n"/>
      <c r="K770" s="95" t="n"/>
      <c r="L770" s="116">
        <f>IF($A770="","",DATE(YEAR($A770),MONTH($A770)+IF(AND(IFERROR(N(INDEX(Übersicht!$M$15:$M$22,MATCH($B770,Übersicht!$A$15:$A$22,0))),0)&gt;1,DAY($A770)&gt;=IFERROR(N(INDEX(Übersicht!$M$15:$M$22,MATCH($B770,Übersicht!$A$15:$A$22,0))),0)),1,0),1))</f>
        <v/>
      </c>
    </row>
    <row r="771">
      <c r="A771" s="92" t="n"/>
      <c r="B771" s="55" t="n"/>
      <c r="C771" s="55" t="n"/>
      <c r="D771" s="55" t="n"/>
      <c r="E771" s="93" t="n"/>
      <c r="F771" s="94" t="n"/>
      <c r="G771" s="94" t="n"/>
      <c r="H771" s="94" t="n"/>
      <c r="I771" s="94" t="n"/>
      <c r="J771" s="55" t="n"/>
      <c r="K771" s="95" t="n"/>
      <c r="L771" s="116">
        <f>IF($A771="","",DATE(YEAR($A771),MONTH($A771)+IF(AND(IFERROR(N(INDEX(Übersicht!$M$15:$M$22,MATCH($B771,Übersicht!$A$15:$A$22,0))),0)&gt;1,DAY($A771)&gt;=IFERROR(N(INDEX(Übersicht!$M$15:$M$22,MATCH($B771,Übersicht!$A$15:$A$22,0))),0)),1,0),1))</f>
        <v/>
      </c>
    </row>
    <row r="772">
      <c r="A772" s="92" t="n"/>
      <c r="B772" s="55" t="n"/>
      <c r="C772" s="55" t="n"/>
      <c r="D772" s="55" t="n"/>
      <c r="E772" s="93" t="n"/>
      <c r="F772" s="94" t="n"/>
      <c r="G772" s="94" t="n"/>
      <c r="H772" s="94" t="n"/>
      <c r="I772" s="94" t="n"/>
      <c r="J772" s="55" t="n"/>
      <c r="K772" s="95" t="n"/>
      <c r="L772" s="116">
        <f>IF($A772="","",DATE(YEAR($A772),MONTH($A772)+IF(AND(IFERROR(N(INDEX(Übersicht!$M$15:$M$22,MATCH($B772,Übersicht!$A$15:$A$22,0))),0)&gt;1,DAY($A772)&gt;=IFERROR(N(INDEX(Übersicht!$M$15:$M$22,MATCH($B772,Übersicht!$A$15:$A$22,0))),0)),1,0),1))</f>
        <v/>
      </c>
    </row>
    <row r="773">
      <c r="A773" s="92" t="n"/>
      <c r="B773" s="55" t="n"/>
      <c r="C773" s="55" t="n"/>
      <c r="D773" s="55" t="n"/>
      <c r="E773" s="93" t="n"/>
      <c r="F773" s="94" t="n"/>
      <c r="G773" s="94" t="n"/>
      <c r="H773" s="94" t="n"/>
      <c r="I773" s="94" t="n"/>
      <c r="J773" s="55" t="n"/>
      <c r="K773" s="95" t="n"/>
      <c r="L773" s="116">
        <f>IF($A773="","",DATE(YEAR($A773),MONTH($A773)+IF(AND(IFERROR(N(INDEX(Übersicht!$M$15:$M$22,MATCH($B773,Übersicht!$A$15:$A$22,0))),0)&gt;1,DAY($A773)&gt;=IFERROR(N(INDEX(Übersicht!$M$15:$M$22,MATCH($B773,Übersicht!$A$15:$A$22,0))),0)),1,0),1))</f>
        <v/>
      </c>
    </row>
    <row r="774">
      <c r="A774" s="92" t="n"/>
      <c r="B774" s="55" t="n"/>
      <c r="C774" s="55" t="n"/>
      <c r="D774" s="55" t="n"/>
      <c r="E774" s="93" t="n"/>
      <c r="F774" s="94" t="n"/>
      <c r="G774" s="94" t="n"/>
      <c r="H774" s="94" t="n"/>
      <c r="I774" s="94" t="n"/>
      <c r="J774" s="55" t="n"/>
      <c r="K774" s="95" t="n"/>
      <c r="L774" s="116">
        <f>IF($A774="","",DATE(YEAR($A774),MONTH($A774)+IF(AND(IFERROR(N(INDEX(Übersicht!$M$15:$M$22,MATCH($B774,Übersicht!$A$15:$A$22,0))),0)&gt;1,DAY($A774)&gt;=IFERROR(N(INDEX(Übersicht!$M$15:$M$22,MATCH($B774,Übersicht!$A$15:$A$22,0))),0)),1,0),1))</f>
        <v/>
      </c>
    </row>
    <row r="775">
      <c r="A775" s="92" t="n"/>
      <c r="B775" s="55" t="n"/>
      <c r="C775" s="55" t="n"/>
      <c r="D775" s="55" t="n"/>
      <c r="E775" s="93" t="n"/>
      <c r="F775" s="94" t="n"/>
      <c r="G775" s="94" t="n"/>
      <c r="H775" s="94" t="n"/>
      <c r="I775" s="94" t="n"/>
      <c r="J775" s="55" t="n"/>
      <c r="K775" s="95" t="n"/>
      <c r="L775" s="116">
        <f>IF($A775="","",DATE(YEAR($A775),MONTH($A775)+IF(AND(IFERROR(N(INDEX(Übersicht!$M$15:$M$22,MATCH($B775,Übersicht!$A$15:$A$22,0))),0)&gt;1,DAY($A775)&gt;=IFERROR(N(INDEX(Übersicht!$M$15:$M$22,MATCH($B775,Übersicht!$A$15:$A$22,0))),0)),1,0),1))</f>
        <v/>
      </c>
    </row>
    <row r="776">
      <c r="A776" s="92" t="n"/>
      <c r="B776" s="55" t="n"/>
      <c r="C776" s="55" t="n"/>
      <c r="D776" s="55" t="n"/>
      <c r="E776" s="93" t="n"/>
      <c r="F776" s="94" t="n"/>
      <c r="G776" s="94" t="n"/>
      <c r="H776" s="94" t="n"/>
      <c r="I776" s="94" t="n"/>
      <c r="J776" s="55" t="n"/>
      <c r="K776" s="95" t="n"/>
      <c r="L776" s="116">
        <f>IF($A776="","",DATE(YEAR($A776),MONTH($A776)+IF(AND(IFERROR(N(INDEX(Übersicht!$M$15:$M$22,MATCH($B776,Übersicht!$A$15:$A$22,0))),0)&gt;1,DAY($A776)&gt;=IFERROR(N(INDEX(Übersicht!$M$15:$M$22,MATCH($B776,Übersicht!$A$15:$A$22,0))),0)),1,0),1))</f>
        <v/>
      </c>
    </row>
    <row r="777">
      <c r="A777" s="92" t="n"/>
      <c r="B777" s="55" t="n"/>
      <c r="C777" s="55" t="n"/>
      <c r="D777" s="55" t="n"/>
      <c r="E777" s="93" t="n"/>
      <c r="F777" s="94" t="n"/>
      <c r="G777" s="94" t="n"/>
      <c r="H777" s="94" t="n"/>
      <c r="I777" s="94" t="n"/>
      <c r="J777" s="55" t="n"/>
      <c r="K777" s="95" t="n"/>
      <c r="L777" s="116">
        <f>IF($A777="","",DATE(YEAR($A777),MONTH($A777)+IF(AND(IFERROR(N(INDEX(Übersicht!$M$15:$M$22,MATCH($B777,Übersicht!$A$15:$A$22,0))),0)&gt;1,DAY($A777)&gt;=IFERROR(N(INDEX(Übersicht!$M$15:$M$22,MATCH($B777,Übersicht!$A$15:$A$22,0))),0)),1,0),1))</f>
        <v/>
      </c>
    </row>
    <row r="778">
      <c r="A778" s="92" t="n"/>
      <c r="B778" s="55" t="n"/>
      <c r="C778" s="55" t="n"/>
      <c r="D778" s="55" t="n"/>
      <c r="E778" s="93" t="n"/>
      <c r="F778" s="94" t="n"/>
      <c r="G778" s="94" t="n"/>
      <c r="H778" s="94" t="n"/>
      <c r="I778" s="94" t="n"/>
      <c r="J778" s="55" t="n"/>
      <c r="K778" s="95" t="n"/>
      <c r="L778" s="116">
        <f>IF($A778="","",DATE(YEAR($A778),MONTH($A778)+IF(AND(IFERROR(N(INDEX(Übersicht!$M$15:$M$22,MATCH($B778,Übersicht!$A$15:$A$22,0))),0)&gt;1,DAY($A778)&gt;=IFERROR(N(INDEX(Übersicht!$M$15:$M$22,MATCH($B778,Übersicht!$A$15:$A$22,0))),0)),1,0),1))</f>
        <v/>
      </c>
    </row>
    <row r="779">
      <c r="A779" s="92" t="n"/>
      <c r="B779" s="55" t="n"/>
      <c r="C779" s="55" t="n"/>
      <c r="D779" s="55" t="n"/>
      <c r="E779" s="93" t="n"/>
      <c r="F779" s="94" t="n"/>
      <c r="G779" s="94" t="n"/>
      <c r="H779" s="94" t="n"/>
      <c r="I779" s="94" t="n"/>
      <c r="J779" s="55" t="n"/>
      <c r="K779" s="95" t="n"/>
      <c r="L779" s="116">
        <f>IF($A779="","",DATE(YEAR($A779),MONTH($A779)+IF(AND(IFERROR(N(INDEX(Übersicht!$M$15:$M$22,MATCH($B779,Übersicht!$A$15:$A$22,0))),0)&gt;1,DAY($A779)&gt;=IFERROR(N(INDEX(Übersicht!$M$15:$M$22,MATCH($B779,Übersicht!$A$15:$A$22,0))),0)),1,0),1))</f>
        <v/>
      </c>
    </row>
    <row r="780">
      <c r="A780" s="92" t="n"/>
      <c r="B780" s="55" t="n"/>
      <c r="C780" s="55" t="n"/>
      <c r="D780" s="55" t="n"/>
      <c r="E780" s="93" t="n"/>
      <c r="F780" s="94" t="n"/>
      <c r="G780" s="94" t="n"/>
      <c r="H780" s="94" t="n"/>
      <c r="I780" s="94" t="n"/>
      <c r="J780" s="55" t="n"/>
      <c r="K780" s="95" t="n"/>
      <c r="L780" s="116">
        <f>IF($A780="","",DATE(YEAR($A780),MONTH($A780)+IF(AND(IFERROR(N(INDEX(Übersicht!$M$15:$M$22,MATCH($B780,Übersicht!$A$15:$A$22,0))),0)&gt;1,DAY($A780)&gt;=IFERROR(N(INDEX(Übersicht!$M$15:$M$22,MATCH($B780,Übersicht!$A$15:$A$22,0))),0)),1,0),1))</f>
        <v/>
      </c>
    </row>
    <row r="781">
      <c r="A781" s="92" t="n"/>
      <c r="B781" s="55" t="n"/>
      <c r="C781" s="55" t="n"/>
      <c r="D781" s="55" t="n"/>
      <c r="E781" s="93" t="n"/>
      <c r="F781" s="94" t="n"/>
      <c r="G781" s="94" t="n"/>
      <c r="H781" s="94" t="n"/>
      <c r="I781" s="94" t="n"/>
      <c r="J781" s="55" t="n"/>
      <c r="K781" s="95" t="n"/>
      <c r="L781" s="116">
        <f>IF($A781="","",DATE(YEAR($A781),MONTH($A781)+IF(AND(IFERROR(N(INDEX(Übersicht!$M$15:$M$22,MATCH($B781,Übersicht!$A$15:$A$22,0))),0)&gt;1,DAY($A781)&gt;=IFERROR(N(INDEX(Übersicht!$M$15:$M$22,MATCH($B781,Übersicht!$A$15:$A$22,0))),0)),1,0),1))</f>
        <v/>
      </c>
    </row>
    <row r="782">
      <c r="A782" s="92" t="n"/>
      <c r="B782" s="55" t="n"/>
      <c r="C782" s="55" t="n"/>
      <c r="D782" s="55" t="n"/>
      <c r="E782" s="93" t="n"/>
      <c r="F782" s="94" t="n"/>
      <c r="G782" s="94" t="n"/>
      <c r="H782" s="94" t="n"/>
      <c r="I782" s="94" t="n"/>
      <c r="J782" s="55" t="n"/>
      <c r="K782" s="95" t="n"/>
      <c r="L782" s="116">
        <f>IF($A782="","",DATE(YEAR($A782),MONTH($A782)+IF(AND(IFERROR(N(INDEX(Übersicht!$M$15:$M$22,MATCH($B782,Übersicht!$A$15:$A$22,0))),0)&gt;1,DAY($A782)&gt;=IFERROR(N(INDEX(Übersicht!$M$15:$M$22,MATCH($B782,Übersicht!$A$15:$A$22,0))),0)),1,0),1))</f>
        <v/>
      </c>
    </row>
    <row r="783">
      <c r="A783" s="92" t="n"/>
      <c r="B783" s="55" t="n"/>
      <c r="C783" s="55" t="n"/>
      <c r="D783" s="55" t="n"/>
      <c r="E783" s="93" t="n"/>
      <c r="F783" s="94" t="n"/>
      <c r="G783" s="94" t="n"/>
      <c r="H783" s="94" t="n"/>
      <c r="I783" s="94" t="n"/>
      <c r="J783" s="55" t="n"/>
      <c r="K783" s="95" t="n"/>
      <c r="L783" s="116">
        <f>IF($A783="","",DATE(YEAR($A783),MONTH($A783)+IF(AND(IFERROR(N(INDEX(Übersicht!$M$15:$M$22,MATCH($B783,Übersicht!$A$15:$A$22,0))),0)&gt;1,DAY($A783)&gt;=IFERROR(N(INDEX(Übersicht!$M$15:$M$22,MATCH($B783,Übersicht!$A$15:$A$22,0))),0)),1,0),1))</f>
        <v/>
      </c>
    </row>
    <row r="784">
      <c r="A784" s="92" t="n"/>
      <c r="B784" s="55" t="n"/>
      <c r="C784" s="55" t="n"/>
      <c r="D784" s="55" t="n"/>
      <c r="E784" s="93" t="n"/>
      <c r="F784" s="94" t="n"/>
      <c r="G784" s="94" t="n"/>
      <c r="H784" s="94" t="n"/>
      <c r="I784" s="94" t="n"/>
      <c r="J784" s="55" t="n"/>
      <c r="K784" s="95" t="n"/>
      <c r="L784" s="116">
        <f>IF($A784="","",DATE(YEAR($A784),MONTH($A784)+IF(AND(IFERROR(N(INDEX(Übersicht!$M$15:$M$22,MATCH($B784,Übersicht!$A$15:$A$22,0))),0)&gt;1,DAY($A784)&gt;=IFERROR(N(INDEX(Übersicht!$M$15:$M$22,MATCH($B784,Übersicht!$A$15:$A$22,0))),0)),1,0),1))</f>
        <v/>
      </c>
    </row>
    <row r="785">
      <c r="A785" s="92" t="n"/>
      <c r="B785" s="55" t="n"/>
      <c r="C785" s="55" t="n"/>
      <c r="D785" s="55" t="n"/>
      <c r="E785" s="93" t="n"/>
      <c r="F785" s="94" t="n"/>
      <c r="G785" s="94" t="n"/>
      <c r="H785" s="94" t="n"/>
      <c r="I785" s="94" t="n"/>
      <c r="J785" s="55" t="n"/>
      <c r="K785" s="95" t="n"/>
      <c r="L785" s="116">
        <f>IF($A785="","",DATE(YEAR($A785),MONTH($A785)+IF(AND(IFERROR(N(INDEX(Übersicht!$M$15:$M$22,MATCH($B785,Übersicht!$A$15:$A$22,0))),0)&gt;1,DAY($A785)&gt;=IFERROR(N(INDEX(Übersicht!$M$15:$M$22,MATCH($B785,Übersicht!$A$15:$A$22,0))),0)),1,0),1))</f>
        <v/>
      </c>
    </row>
    <row r="786">
      <c r="A786" s="92" t="n"/>
      <c r="B786" s="55" t="n"/>
      <c r="C786" s="55" t="n"/>
      <c r="D786" s="55" t="n"/>
      <c r="E786" s="93" t="n"/>
      <c r="F786" s="94" t="n"/>
      <c r="G786" s="94" t="n"/>
      <c r="H786" s="94" t="n"/>
      <c r="I786" s="94" t="n"/>
      <c r="J786" s="55" t="n"/>
      <c r="K786" s="95" t="n"/>
      <c r="L786" s="116">
        <f>IF($A786="","",DATE(YEAR($A786),MONTH($A786)+IF(AND(IFERROR(N(INDEX(Übersicht!$M$15:$M$22,MATCH($B786,Übersicht!$A$15:$A$22,0))),0)&gt;1,DAY($A786)&gt;=IFERROR(N(INDEX(Übersicht!$M$15:$M$22,MATCH($B786,Übersicht!$A$15:$A$22,0))),0)),1,0),1))</f>
        <v/>
      </c>
    </row>
    <row r="787">
      <c r="A787" s="92" t="n"/>
      <c r="B787" s="55" t="n"/>
      <c r="C787" s="55" t="n"/>
      <c r="D787" s="55" t="n"/>
      <c r="E787" s="93" t="n"/>
      <c r="F787" s="94" t="n"/>
      <c r="G787" s="94" t="n"/>
      <c r="H787" s="94" t="n"/>
      <c r="I787" s="94" t="n"/>
      <c r="J787" s="55" t="n"/>
      <c r="K787" s="95" t="n"/>
      <c r="L787" s="116">
        <f>IF($A787="","",DATE(YEAR($A787),MONTH($A787)+IF(AND(IFERROR(N(INDEX(Übersicht!$M$15:$M$22,MATCH($B787,Übersicht!$A$15:$A$22,0))),0)&gt;1,DAY($A787)&gt;=IFERROR(N(INDEX(Übersicht!$M$15:$M$22,MATCH($B787,Übersicht!$A$15:$A$22,0))),0)),1,0),1))</f>
        <v/>
      </c>
    </row>
    <row r="788">
      <c r="A788" s="92" t="n"/>
      <c r="B788" s="55" t="n"/>
      <c r="C788" s="55" t="n"/>
      <c r="D788" s="55" t="n"/>
      <c r="E788" s="93" t="n"/>
      <c r="F788" s="94" t="n"/>
      <c r="G788" s="94" t="n"/>
      <c r="H788" s="94" t="n"/>
      <c r="I788" s="94" t="n"/>
      <c r="J788" s="55" t="n"/>
      <c r="K788" s="95" t="n"/>
      <c r="L788" s="116">
        <f>IF($A788="","",DATE(YEAR($A788),MONTH($A788)+IF(AND(IFERROR(N(INDEX(Übersicht!$M$15:$M$22,MATCH($B788,Übersicht!$A$15:$A$22,0))),0)&gt;1,DAY($A788)&gt;=IFERROR(N(INDEX(Übersicht!$M$15:$M$22,MATCH($B788,Übersicht!$A$15:$A$22,0))),0)),1,0),1))</f>
        <v/>
      </c>
    </row>
    <row r="789">
      <c r="A789" s="92" t="n"/>
      <c r="B789" s="55" t="n"/>
      <c r="C789" s="55" t="n"/>
      <c r="D789" s="55" t="n"/>
      <c r="E789" s="93" t="n"/>
      <c r="F789" s="94" t="n"/>
      <c r="G789" s="94" t="n"/>
      <c r="H789" s="94" t="n"/>
      <c r="I789" s="94" t="n"/>
      <c r="J789" s="55" t="n"/>
      <c r="K789" s="95" t="n"/>
      <c r="L789" s="116">
        <f>IF($A789="","",DATE(YEAR($A789),MONTH($A789)+IF(AND(IFERROR(N(INDEX(Übersicht!$M$15:$M$22,MATCH($B789,Übersicht!$A$15:$A$22,0))),0)&gt;1,DAY($A789)&gt;=IFERROR(N(INDEX(Übersicht!$M$15:$M$22,MATCH($B789,Übersicht!$A$15:$A$22,0))),0)),1,0),1))</f>
        <v/>
      </c>
    </row>
    <row r="790">
      <c r="A790" s="92" t="n"/>
      <c r="B790" s="55" t="n"/>
      <c r="C790" s="55" t="n"/>
      <c r="D790" s="55" t="n"/>
      <c r="E790" s="93" t="n"/>
      <c r="F790" s="94" t="n"/>
      <c r="G790" s="94" t="n"/>
      <c r="H790" s="94" t="n"/>
      <c r="I790" s="94" t="n"/>
      <c r="J790" s="55" t="n"/>
      <c r="K790" s="95" t="n"/>
      <c r="L790" s="116">
        <f>IF($A790="","",DATE(YEAR($A790),MONTH($A790)+IF(AND(IFERROR(N(INDEX(Übersicht!$M$15:$M$22,MATCH($B790,Übersicht!$A$15:$A$22,0))),0)&gt;1,DAY($A790)&gt;=IFERROR(N(INDEX(Übersicht!$M$15:$M$22,MATCH($B790,Übersicht!$A$15:$A$22,0))),0)),1,0),1))</f>
        <v/>
      </c>
    </row>
    <row r="791">
      <c r="A791" s="92" t="n"/>
      <c r="B791" s="55" t="n"/>
      <c r="C791" s="55" t="n"/>
      <c r="D791" s="55" t="n"/>
      <c r="E791" s="93" t="n"/>
      <c r="F791" s="94" t="n"/>
      <c r="G791" s="94" t="n"/>
      <c r="H791" s="94" t="n"/>
      <c r="I791" s="94" t="n"/>
      <c r="J791" s="55" t="n"/>
      <c r="K791" s="95" t="n"/>
      <c r="L791" s="116">
        <f>IF($A791="","",DATE(YEAR($A791),MONTH($A791)+IF(AND(IFERROR(N(INDEX(Übersicht!$M$15:$M$22,MATCH($B791,Übersicht!$A$15:$A$22,0))),0)&gt;1,DAY($A791)&gt;=IFERROR(N(INDEX(Übersicht!$M$15:$M$22,MATCH($B791,Übersicht!$A$15:$A$22,0))),0)),1,0),1))</f>
        <v/>
      </c>
    </row>
    <row r="792">
      <c r="A792" s="92" t="n"/>
      <c r="B792" s="55" t="n"/>
      <c r="C792" s="55" t="n"/>
      <c r="D792" s="55" t="n"/>
      <c r="E792" s="93" t="n"/>
      <c r="F792" s="94" t="n"/>
      <c r="G792" s="94" t="n"/>
      <c r="H792" s="94" t="n"/>
      <c r="I792" s="94" t="n"/>
      <c r="J792" s="55" t="n"/>
      <c r="K792" s="95" t="n"/>
      <c r="L792" s="116">
        <f>IF($A792="","",DATE(YEAR($A792),MONTH($A792)+IF(AND(IFERROR(N(INDEX(Übersicht!$M$15:$M$22,MATCH($B792,Übersicht!$A$15:$A$22,0))),0)&gt;1,DAY($A792)&gt;=IFERROR(N(INDEX(Übersicht!$M$15:$M$22,MATCH($B792,Übersicht!$A$15:$A$22,0))),0)),1,0),1))</f>
        <v/>
      </c>
    </row>
    <row r="793">
      <c r="A793" s="92" t="n"/>
      <c r="B793" s="55" t="n"/>
      <c r="C793" s="55" t="n"/>
      <c r="D793" s="55" t="n"/>
      <c r="E793" s="93" t="n"/>
      <c r="F793" s="94" t="n"/>
      <c r="G793" s="94" t="n"/>
      <c r="H793" s="94" t="n"/>
      <c r="I793" s="94" t="n"/>
      <c r="J793" s="55" t="n"/>
      <c r="K793" s="95" t="n"/>
      <c r="L793" s="116">
        <f>IF($A793="","",DATE(YEAR($A793),MONTH($A793)+IF(AND(IFERROR(N(INDEX(Übersicht!$M$15:$M$22,MATCH($B793,Übersicht!$A$15:$A$22,0))),0)&gt;1,DAY($A793)&gt;=IFERROR(N(INDEX(Übersicht!$M$15:$M$22,MATCH($B793,Übersicht!$A$15:$A$22,0))),0)),1,0),1))</f>
        <v/>
      </c>
    </row>
    <row r="794">
      <c r="A794" s="92" t="n"/>
      <c r="B794" s="55" t="n"/>
      <c r="C794" s="55" t="n"/>
      <c r="D794" s="55" t="n"/>
      <c r="E794" s="93" t="n"/>
      <c r="F794" s="94" t="n"/>
      <c r="G794" s="94" t="n"/>
      <c r="H794" s="94" t="n"/>
      <c r="I794" s="94" t="n"/>
      <c r="J794" s="55" t="n"/>
      <c r="K794" s="95" t="n"/>
      <c r="L794" s="116">
        <f>IF($A794="","",DATE(YEAR($A794),MONTH($A794)+IF(AND(IFERROR(N(INDEX(Übersicht!$M$15:$M$22,MATCH($B794,Übersicht!$A$15:$A$22,0))),0)&gt;1,DAY($A794)&gt;=IFERROR(N(INDEX(Übersicht!$M$15:$M$22,MATCH($B794,Übersicht!$A$15:$A$22,0))),0)),1,0),1))</f>
        <v/>
      </c>
    </row>
    <row r="795">
      <c r="A795" s="92" t="n"/>
      <c r="B795" s="55" t="n"/>
      <c r="C795" s="55" t="n"/>
      <c r="D795" s="55" t="n"/>
      <c r="E795" s="93" t="n"/>
      <c r="F795" s="94" t="n"/>
      <c r="G795" s="94" t="n"/>
      <c r="H795" s="94" t="n"/>
      <c r="I795" s="94" t="n"/>
      <c r="J795" s="55" t="n"/>
      <c r="K795" s="95" t="n"/>
      <c r="L795" s="116">
        <f>IF($A795="","",DATE(YEAR($A795),MONTH($A795)+IF(AND(IFERROR(N(INDEX(Übersicht!$M$15:$M$22,MATCH($B795,Übersicht!$A$15:$A$22,0))),0)&gt;1,DAY($A795)&gt;=IFERROR(N(INDEX(Übersicht!$M$15:$M$22,MATCH($B795,Übersicht!$A$15:$A$22,0))),0)),1,0),1))</f>
        <v/>
      </c>
    </row>
    <row r="796">
      <c r="A796" s="92" t="n"/>
      <c r="B796" s="55" t="n"/>
      <c r="C796" s="55" t="n"/>
      <c r="D796" s="55" t="n"/>
      <c r="E796" s="93" t="n"/>
      <c r="F796" s="94" t="n"/>
      <c r="G796" s="94" t="n"/>
      <c r="H796" s="94" t="n"/>
      <c r="I796" s="94" t="n"/>
      <c r="J796" s="55" t="n"/>
      <c r="K796" s="95" t="n"/>
      <c r="L796" s="116">
        <f>IF($A796="","",DATE(YEAR($A796),MONTH($A796)+IF(AND(IFERROR(N(INDEX(Übersicht!$M$15:$M$22,MATCH($B796,Übersicht!$A$15:$A$22,0))),0)&gt;1,DAY($A796)&gt;=IFERROR(N(INDEX(Übersicht!$M$15:$M$22,MATCH($B796,Übersicht!$A$15:$A$22,0))),0)),1,0),1))</f>
        <v/>
      </c>
    </row>
    <row r="797">
      <c r="A797" s="92" t="n"/>
      <c r="B797" s="55" t="n"/>
      <c r="C797" s="55" t="n"/>
      <c r="D797" s="55" t="n"/>
      <c r="E797" s="93" t="n"/>
      <c r="F797" s="94" t="n"/>
      <c r="G797" s="94" t="n"/>
      <c r="H797" s="94" t="n"/>
      <c r="I797" s="94" t="n"/>
      <c r="J797" s="55" t="n"/>
      <c r="K797" s="95" t="n"/>
      <c r="L797" s="116">
        <f>IF($A797="","",DATE(YEAR($A797),MONTH($A797)+IF(AND(IFERROR(N(INDEX(Übersicht!$M$15:$M$22,MATCH($B797,Übersicht!$A$15:$A$22,0))),0)&gt;1,DAY($A797)&gt;=IFERROR(N(INDEX(Übersicht!$M$15:$M$22,MATCH($B797,Übersicht!$A$15:$A$22,0))),0)),1,0),1))</f>
        <v/>
      </c>
    </row>
    <row r="798">
      <c r="A798" s="92" t="n"/>
      <c r="B798" s="55" t="n"/>
      <c r="C798" s="55" t="n"/>
      <c r="D798" s="55" t="n"/>
      <c r="E798" s="93" t="n"/>
      <c r="F798" s="94" t="n"/>
      <c r="G798" s="94" t="n"/>
      <c r="H798" s="94" t="n"/>
      <c r="I798" s="94" t="n"/>
      <c r="J798" s="55" t="n"/>
      <c r="K798" s="95" t="n"/>
      <c r="L798" s="116">
        <f>IF($A798="","",DATE(YEAR($A798),MONTH($A798)+IF(AND(IFERROR(N(INDEX(Übersicht!$M$15:$M$22,MATCH($B798,Übersicht!$A$15:$A$22,0))),0)&gt;1,DAY($A798)&gt;=IFERROR(N(INDEX(Übersicht!$M$15:$M$22,MATCH($B798,Übersicht!$A$15:$A$22,0))),0)),1,0),1))</f>
        <v/>
      </c>
    </row>
    <row r="799">
      <c r="A799" s="92" t="n"/>
      <c r="B799" s="55" t="n"/>
      <c r="C799" s="55" t="n"/>
      <c r="D799" s="55" t="n"/>
      <c r="E799" s="93" t="n"/>
      <c r="F799" s="94" t="n"/>
      <c r="G799" s="94" t="n"/>
      <c r="H799" s="94" t="n"/>
      <c r="I799" s="94" t="n"/>
      <c r="J799" s="55" t="n"/>
      <c r="K799" s="95" t="n"/>
      <c r="L799" s="116">
        <f>IF($A799="","",DATE(YEAR($A799),MONTH($A799)+IF(AND(IFERROR(N(INDEX(Übersicht!$M$15:$M$22,MATCH($B799,Übersicht!$A$15:$A$22,0))),0)&gt;1,DAY($A799)&gt;=IFERROR(N(INDEX(Übersicht!$M$15:$M$22,MATCH($B799,Übersicht!$A$15:$A$22,0))),0)),1,0),1))</f>
        <v/>
      </c>
    </row>
    <row r="800">
      <c r="A800" s="92" t="n"/>
      <c r="B800" s="55" t="n"/>
      <c r="C800" s="55" t="n"/>
      <c r="D800" s="55" t="n"/>
      <c r="E800" s="93" t="n"/>
      <c r="F800" s="94" t="n"/>
      <c r="G800" s="94" t="n"/>
      <c r="H800" s="94" t="n"/>
      <c r="I800" s="94" t="n"/>
      <c r="J800" s="55" t="n"/>
      <c r="K800" s="95" t="n"/>
      <c r="L800" s="116">
        <f>IF($A800="","",DATE(YEAR($A800),MONTH($A800)+IF(AND(IFERROR(N(INDEX(Übersicht!$M$15:$M$22,MATCH($B800,Übersicht!$A$15:$A$22,0))),0)&gt;1,DAY($A800)&gt;=IFERROR(N(INDEX(Übersicht!$M$15:$M$22,MATCH($B800,Übersicht!$A$15:$A$22,0))),0)),1,0),1))</f>
        <v/>
      </c>
    </row>
    <row r="801">
      <c r="A801" s="92" t="n"/>
      <c r="B801" s="55" t="n"/>
      <c r="C801" s="55" t="n"/>
      <c r="D801" s="55" t="n"/>
      <c r="E801" s="93" t="n"/>
      <c r="F801" s="94" t="n"/>
      <c r="G801" s="94" t="n"/>
      <c r="H801" s="94" t="n"/>
      <c r="I801" s="94" t="n"/>
      <c r="J801" s="55" t="n"/>
      <c r="K801" s="95" t="n"/>
      <c r="L801" s="116">
        <f>IF($A801="","",DATE(YEAR($A801),MONTH($A801)+IF(AND(IFERROR(N(INDEX(Übersicht!$M$15:$M$22,MATCH($B801,Übersicht!$A$15:$A$22,0))),0)&gt;1,DAY($A801)&gt;=IFERROR(N(INDEX(Übersicht!$M$15:$M$22,MATCH($B801,Übersicht!$A$15:$A$22,0))),0)),1,0),1))</f>
        <v/>
      </c>
    </row>
    <row r="802">
      <c r="A802" s="92" t="n"/>
      <c r="B802" s="55" t="n"/>
      <c r="C802" s="55" t="n"/>
      <c r="D802" s="55" t="n"/>
      <c r="E802" s="93" t="n"/>
      <c r="F802" s="94" t="n"/>
      <c r="G802" s="94" t="n"/>
      <c r="H802" s="94" t="n"/>
      <c r="I802" s="94" t="n"/>
      <c r="J802" s="55" t="n"/>
      <c r="K802" s="95" t="n"/>
      <c r="L802" s="116">
        <f>IF($A802="","",DATE(YEAR($A802),MONTH($A802)+IF(AND(IFERROR(N(INDEX(Übersicht!$M$15:$M$22,MATCH($B802,Übersicht!$A$15:$A$22,0))),0)&gt;1,DAY($A802)&gt;=IFERROR(N(INDEX(Übersicht!$M$15:$M$22,MATCH($B802,Übersicht!$A$15:$A$22,0))),0)),1,0),1))</f>
        <v/>
      </c>
    </row>
    <row r="803">
      <c r="A803" s="92" t="n"/>
      <c r="B803" s="55" t="n"/>
      <c r="C803" s="55" t="n"/>
      <c r="D803" s="55" t="n"/>
      <c r="E803" s="93" t="n"/>
      <c r="F803" s="94" t="n"/>
      <c r="G803" s="94" t="n"/>
      <c r="H803" s="94" t="n"/>
      <c r="I803" s="94" t="n"/>
      <c r="J803" s="55" t="n"/>
      <c r="K803" s="95" t="n"/>
      <c r="L803" s="116">
        <f>IF($A803="","",DATE(YEAR($A803),MONTH($A803)+IF(AND(IFERROR(N(INDEX(Übersicht!$M$15:$M$22,MATCH($B803,Übersicht!$A$15:$A$22,0))),0)&gt;1,DAY($A803)&gt;=IFERROR(N(INDEX(Übersicht!$M$15:$M$22,MATCH($B803,Übersicht!$A$15:$A$22,0))),0)),1,0),1))</f>
        <v/>
      </c>
    </row>
    <row r="804">
      <c r="A804" s="92" t="n"/>
      <c r="B804" s="55" t="n"/>
      <c r="C804" s="55" t="n"/>
      <c r="D804" s="55" t="n"/>
      <c r="E804" s="93" t="n"/>
      <c r="F804" s="94" t="n"/>
      <c r="G804" s="94" t="n"/>
      <c r="H804" s="94" t="n"/>
      <c r="I804" s="94" t="n"/>
      <c r="J804" s="55" t="n"/>
      <c r="K804" s="95" t="n"/>
      <c r="L804" s="116">
        <f>IF($A804="","",DATE(YEAR($A804),MONTH($A804)+IF(AND(IFERROR(N(INDEX(Übersicht!$M$15:$M$22,MATCH($B804,Übersicht!$A$15:$A$22,0))),0)&gt;1,DAY($A804)&gt;=IFERROR(N(INDEX(Übersicht!$M$15:$M$22,MATCH($B804,Übersicht!$A$15:$A$22,0))),0)),1,0),1))</f>
        <v/>
      </c>
    </row>
    <row r="805">
      <c r="A805" s="92" t="n"/>
      <c r="B805" s="55" t="n"/>
      <c r="C805" s="55" t="n"/>
      <c r="D805" s="55" t="n"/>
      <c r="E805" s="93" t="n"/>
      <c r="F805" s="94" t="n"/>
      <c r="G805" s="94" t="n"/>
      <c r="H805" s="94" t="n"/>
      <c r="I805" s="94" t="n"/>
      <c r="J805" s="55" t="n"/>
      <c r="K805" s="95" t="n"/>
      <c r="L805" s="116">
        <f>IF($A805="","",DATE(YEAR($A805),MONTH($A805)+IF(AND(IFERROR(N(INDEX(Übersicht!$M$15:$M$22,MATCH($B805,Übersicht!$A$15:$A$22,0))),0)&gt;1,DAY($A805)&gt;=IFERROR(N(INDEX(Übersicht!$M$15:$M$22,MATCH($B805,Übersicht!$A$15:$A$22,0))),0)),1,0),1))</f>
        <v/>
      </c>
    </row>
    <row r="806">
      <c r="A806" s="92" t="n"/>
      <c r="B806" s="55" t="n"/>
      <c r="C806" s="55" t="n"/>
      <c r="D806" s="55" t="n"/>
      <c r="E806" s="93" t="n"/>
      <c r="F806" s="94" t="n"/>
      <c r="G806" s="94" t="n"/>
      <c r="H806" s="94" t="n"/>
      <c r="I806" s="94" t="n"/>
      <c r="J806" s="55" t="n"/>
      <c r="K806" s="95" t="n"/>
      <c r="L806" s="116">
        <f>IF($A806="","",DATE(YEAR($A806),MONTH($A806)+IF(AND(IFERROR(N(INDEX(Übersicht!$M$15:$M$22,MATCH($B806,Übersicht!$A$15:$A$22,0))),0)&gt;1,DAY($A806)&gt;=IFERROR(N(INDEX(Übersicht!$M$15:$M$22,MATCH($B806,Übersicht!$A$15:$A$22,0))),0)),1,0),1))</f>
        <v/>
      </c>
    </row>
    <row r="807">
      <c r="A807" s="92" t="n"/>
      <c r="B807" s="55" t="n"/>
      <c r="C807" s="55" t="n"/>
      <c r="D807" s="55" t="n"/>
      <c r="E807" s="93" t="n"/>
      <c r="F807" s="94" t="n"/>
      <c r="G807" s="94" t="n"/>
      <c r="H807" s="94" t="n"/>
      <c r="I807" s="94" t="n"/>
      <c r="J807" s="55" t="n"/>
      <c r="K807" s="95" t="n"/>
      <c r="L807" s="116">
        <f>IF($A807="","",DATE(YEAR($A807),MONTH($A807)+IF(AND(IFERROR(N(INDEX(Übersicht!$M$15:$M$22,MATCH($B807,Übersicht!$A$15:$A$22,0))),0)&gt;1,DAY($A807)&gt;=IFERROR(N(INDEX(Übersicht!$M$15:$M$22,MATCH($B807,Übersicht!$A$15:$A$22,0))),0)),1,0),1))</f>
        <v/>
      </c>
    </row>
    <row r="808">
      <c r="A808" s="92" t="n"/>
      <c r="B808" s="55" t="n"/>
      <c r="C808" s="55" t="n"/>
      <c r="D808" s="55" t="n"/>
      <c r="E808" s="93" t="n"/>
      <c r="F808" s="94" t="n"/>
      <c r="G808" s="94" t="n"/>
      <c r="H808" s="94" t="n"/>
      <c r="I808" s="94" t="n"/>
      <c r="J808" s="55" t="n"/>
      <c r="K808" s="95" t="n"/>
      <c r="L808" s="116">
        <f>IF($A808="","",DATE(YEAR($A808),MONTH($A808)+IF(AND(IFERROR(N(INDEX(Übersicht!$M$15:$M$22,MATCH($B808,Übersicht!$A$15:$A$22,0))),0)&gt;1,DAY($A808)&gt;=IFERROR(N(INDEX(Übersicht!$M$15:$M$22,MATCH($B808,Übersicht!$A$15:$A$22,0))),0)),1,0),1))</f>
        <v/>
      </c>
    </row>
    <row r="809">
      <c r="A809" s="92" t="n"/>
      <c r="B809" s="55" t="n"/>
      <c r="C809" s="55" t="n"/>
      <c r="D809" s="55" t="n"/>
      <c r="E809" s="93" t="n"/>
      <c r="F809" s="94" t="n"/>
      <c r="G809" s="94" t="n"/>
      <c r="H809" s="94" t="n"/>
      <c r="I809" s="94" t="n"/>
      <c r="J809" s="55" t="n"/>
      <c r="K809" s="95" t="n"/>
      <c r="L809" s="116">
        <f>IF($A809="","",DATE(YEAR($A809),MONTH($A809)+IF(AND(IFERROR(N(INDEX(Übersicht!$M$15:$M$22,MATCH($B809,Übersicht!$A$15:$A$22,0))),0)&gt;1,DAY($A809)&gt;=IFERROR(N(INDEX(Übersicht!$M$15:$M$22,MATCH($B809,Übersicht!$A$15:$A$22,0))),0)),1,0),1))</f>
        <v/>
      </c>
    </row>
    <row r="810">
      <c r="A810" s="92" t="n"/>
      <c r="B810" s="55" t="n"/>
      <c r="C810" s="55" t="n"/>
      <c r="D810" s="55" t="n"/>
      <c r="E810" s="93" t="n"/>
      <c r="F810" s="94" t="n"/>
      <c r="G810" s="94" t="n"/>
      <c r="H810" s="94" t="n"/>
      <c r="I810" s="94" t="n"/>
      <c r="J810" s="55" t="n"/>
      <c r="K810" s="95" t="n"/>
      <c r="L810" s="116">
        <f>IF($A810="","",DATE(YEAR($A810),MONTH($A810)+IF(AND(IFERROR(N(INDEX(Übersicht!$M$15:$M$22,MATCH($B810,Übersicht!$A$15:$A$22,0))),0)&gt;1,DAY($A810)&gt;=IFERROR(N(INDEX(Übersicht!$M$15:$M$22,MATCH($B810,Übersicht!$A$15:$A$22,0))),0)),1,0),1))</f>
        <v/>
      </c>
    </row>
    <row r="811">
      <c r="A811" s="92" t="n"/>
      <c r="B811" s="55" t="n"/>
      <c r="C811" s="55" t="n"/>
      <c r="D811" s="55" t="n"/>
      <c r="E811" s="93" t="n"/>
      <c r="F811" s="94" t="n"/>
      <c r="G811" s="94" t="n"/>
      <c r="H811" s="94" t="n"/>
      <c r="I811" s="94" t="n"/>
      <c r="J811" s="55" t="n"/>
      <c r="K811" s="95" t="n"/>
      <c r="L811" s="116">
        <f>IF($A811="","",DATE(YEAR($A811),MONTH($A811)+IF(AND(IFERROR(N(INDEX(Übersicht!$M$15:$M$22,MATCH($B811,Übersicht!$A$15:$A$22,0))),0)&gt;1,DAY($A811)&gt;=IFERROR(N(INDEX(Übersicht!$M$15:$M$22,MATCH($B811,Übersicht!$A$15:$A$22,0))),0)),1,0),1))</f>
        <v/>
      </c>
    </row>
    <row r="812">
      <c r="A812" s="92" t="n"/>
      <c r="B812" s="55" t="n"/>
      <c r="C812" s="55" t="n"/>
      <c r="D812" s="55" t="n"/>
      <c r="E812" s="93" t="n"/>
      <c r="F812" s="94" t="n"/>
      <c r="G812" s="94" t="n"/>
      <c r="H812" s="94" t="n"/>
      <c r="I812" s="94" t="n"/>
      <c r="J812" s="55" t="n"/>
      <c r="K812" s="95" t="n"/>
      <c r="L812" s="116">
        <f>IF($A812="","",DATE(YEAR($A812),MONTH($A812)+IF(AND(IFERROR(N(INDEX(Übersicht!$M$15:$M$22,MATCH($B812,Übersicht!$A$15:$A$22,0))),0)&gt;1,DAY($A812)&gt;=IFERROR(N(INDEX(Übersicht!$M$15:$M$22,MATCH($B812,Übersicht!$A$15:$A$22,0))),0)),1,0),1))</f>
        <v/>
      </c>
    </row>
    <row r="813">
      <c r="A813" s="92" t="n"/>
      <c r="B813" s="55" t="n"/>
      <c r="C813" s="55" t="n"/>
      <c r="D813" s="55" t="n"/>
      <c r="E813" s="93" t="n"/>
      <c r="F813" s="94" t="n"/>
      <c r="G813" s="94" t="n"/>
      <c r="H813" s="94" t="n"/>
      <c r="I813" s="94" t="n"/>
      <c r="J813" s="55" t="n"/>
      <c r="K813" s="95" t="n"/>
      <c r="L813" s="116">
        <f>IF($A813="","",DATE(YEAR($A813),MONTH($A813)+IF(AND(IFERROR(N(INDEX(Übersicht!$M$15:$M$22,MATCH($B813,Übersicht!$A$15:$A$22,0))),0)&gt;1,DAY($A813)&gt;=IFERROR(N(INDEX(Übersicht!$M$15:$M$22,MATCH($B813,Übersicht!$A$15:$A$22,0))),0)),1,0),1))</f>
        <v/>
      </c>
    </row>
    <row r="814">
      <c r="A814" s="92" t="n"/>
      <c r="B814" s="55" t="n"/>
      <c r="C814" s="55" t="n"/>
      <c r="D814" s="55" t="n"/>
      <c r="E814" s="93" t="n"/>
      <c r="F814" s="94" t="n"/>
      <c r="G814" s="94" t="n"/>
      <c r="H814" s="94" t="n"/>
      <c r="I814" s="94" t="n"/>
      <c r="J814" s="55" t="n"/>
      <c r="K814" s="95" t="n"/>
      <c r="L814" s="116">
        <f>IF($A814="","",DATE(YEAR($A814),MONTH($A814)+IF(AND(IFERROR(N(INDEX(Übersicht!$M$15:$M$22,MATCH($B814,Übersicht!$A$15:$A$22,0))),0)&gt;1,DAY($A814)&gt;=IFERROR(N(INDEX(Übersicht!$M$15:$M$22,MATCH($B814,Übersicht!$A$15:$A$22,0))),0)),1,0),1))</f>
        <v/>
      </c>
    </row>
    <row r="815">
      <c r="A815" s="92" t="n"/>
      <c r="B815" s="55" t="n"/>
      <c r="C815" s="55" t="n"/>
      <c r="D815" s="55" t="n"/>
      <c r="E815" s="93" t="n"/>
      <c r="F815" s="94" t="n"/>
      <c r="G815" s="94" t="n"/>
      <c r="H815" s="94" t="n"/>
      <c r="I815" s="94" t="n"/>
      <c r="J815" s="55" t="n"/>
      <c r="K815" s="95" t="n"/>
      <c r="L815" s="116">
        <f>IF($A815="","",DATE(YEAR($A815),MONTH($A815)+IF(AND(IFERROR(N(INDEX(Übersicht!$M$15:$M$22,MATCH($B815,Übersicht!$A$15:$A$22,0))),0)&gt;1,DAY($A815)&gt;=IFERROR(N(INDEX(Übersicht!$M$15:$M$22,MATCH($B815,Übersicht!$A$15:$A$22,0))),0)),1,0),1))</f>
        <v/>
      </c>
    </row>
    <row r="816">
      <c r="A816" s="92" t="n"/>
      <c r="B816" s="55" t="n"/>
      <c r="C816" s="55" t="n"/>
      <c r="D816" s="55" t="n"/>
      <c r="E816" s="93" t="n"/>
      <c r="F816" s="94" t="n"/>
      <c r="G816" s="94" t="n"/>
      <c r="H816" s="94" t="n"/>
      <c r="I816" s="94" t="n"/>
      <c r="J816" s="55" t="n"/>
      <c r="K816" s="95" t="n"/>
      <c r="L816" s="116">
        <f>IF($A816="","",DATE(YEAR($A816),MONTH($A816)+IF(AND(IFERROR(N(INDEX(Übersicht!$M$15:$M$22,MATCH($B816,Übersicht!$A$15:$A$22,0))),0)&gt;1,DAY($A816)&gt;=IFERROR(N(INDEX(Übersicht!$M$15:$M$22,MATCH($B816,Übersicht!$A$15:$A$22,0))),0)),1,0),1))</f>
        <v/>
      </c>
    </row>
    <row r="817">
      <c r="A817" s="92" t="n"/>
      <c r="B817" s="55" t="n"/>
      <c r="C817" s="55" t="n"/>
      <c r="D817" s="55" t="n"/>
      <c r="E817" s="93" t="n"/>
      <c r="F817" s="94" t="n"/>
      <c r="G817" s="94" t="n"/>
      <c r="H817" s="94" t="n"/>
      <c r="I817" s="94" t="n"/>
      <c r="J817" s="55" t="n"/>
      <c r="K817" s="95" t="n"/>
      <c r="L817" s="116">
        <f>IF($A817="","",DATE(YEAR($A817),MONTH($A817)+IF(AND(IFERROR(N(INDEX(Übersicht!$M$15:$M$22,MATCH($B817,Übersicht!$A$15:$A$22,0))),0)&gt;1,DAY($A817)&gt;=IFERROR(N(INDEX(Übersicht!$M$15:$M$22,MATCH($B817,Übersicht!$A$15:$A$22,0))),0)),1,0),1))</f>
        <v/>
      </c>
    </row>
    <row r="818">
      <c r="A818" s="92" t="n"/>
      <c r="B818" s="55" t="n"/>
      <c r="C818" s="55" t="n"/>
      <c r="D818" s="55" t="n"/>
      <c r="E818" s="93" t="n"/>
      <c r="F818" s="94" t="n"/>
      <c r="G818" s="94" t="n"/>
      <c r="H818" s="94" t="n"/>
      <c r="I818" s="94" t="n"/>
      <c r="J818" s="55" t="n"/>
      <c r="K818" s="95" t="n"/>
      <c r="L818" s="116">
        <f>IF($A818="","",DATE(YEAR($A818),MONTH($A818)+IF(AND(IFERROR(N(INDEX(Übersicht!$M$15:$M$22,MATCH($B818,Übersicht!$A$15:$A$22,0))),0)&gt;1,DAY($A818)&gt;=IFERROR(N(INDEX(Übersicht!$M$15:$M$22,MATCH($B818,Übersicht!$A$15:$A$22,0))),0)),1,0),1))</f>
        <v/>
      </c>
    </row>
    <row r="819">
      <c r="A819" s="92" t="n"/>
      <c r="B819" s="55" t="n"/>
      <c r="C819" s="55" t="n"/>
      <c r="D819" s="55" t="n"/>
      <c r="E819" s="93" t="n"/>
      <c r="F819" s="94" t="n"/>
      <c r="G819" s="94" t="n"/>
      <c r="H819" s="94" t="n"/>
      <c r="I819" s="94" t="n"/>
      <c r="J819" s="55" t="n"/>
      <c r="K819" s="95" t="n"/>
      <c r="L819" s="116">
        <f>IF($A819="","",DATE(YEAR($A819),MONTH($A819)+IF(AND(IFERROR(N(INDEX(Übersicht!$M$15:$M$22,MATCH($B819,Übersicht!$A$15:$A$22,0))),0)&gt;1,DAY($A819)&gt;=IFERROR(N(INDEX(Übersicht!$M$15:$M$22,MATCH($B819,Übersicht!$A$15:$A$22,0))),0)),1,0),1))</f>
        <v/>
      </c>
    </row>
    <row r="820">
      <c r="A820" s="92" t="n"/>
      <c r="B820" s="55" t="n"/>
      <c r="C820" s="55" t="n"/>
      <c r="D820" s="55" t="n"/>
      <c r="E820" s="93" t="n"/>
      <c r="F820" s="94" t="n"/>
      <c r="G820" s="94" t="n"/>
      <c r="H820" s="94" t="n"/>
      <c r="I820" s="94" t="n"/>
      <c r="J820" s="55" t="n"/>
      <c r="K820" s="95" t="n"/>
      <c r="L820" s="116">
        <f>IF($A820="","",DATE(YEAR($A820),MONTH($A820)+IF(AND(IFERROR(N(INDEX(Übersicht!$M$15:$M$22,MATCH($B820,Übersicht!$A$15:$A$22,0))),0)&gt;1,DAY($A820)&gt;=IFERROR(N(INDEX(Übersicht!$M$15:$M$22,MATCH($B820,Übersicht!$A$15:$A$22,0))),0)),1,0),1))</f>
        <v/>
      </c>
    </row>
    <row r="821">
      <c r="A821" s="92" t="n"/>
      <c r="B821" s="55" t="n"/>
      <c r="C821" s="55" t="n"/>
      <c r="D821" s="55" t="n"/>
      <c r="E821" s="93" t="n"/>
      <c r="F821" s="94" t="n"/>
      <c r="G821" s="94" t="n"/>
      <c r="H821" s="94" t="n"/>
      <c r="I821" s="94" t="n"/>
      <c r="J821" s="55" t="n"/>
      <c r="K821" s="95" t="n"/>
      <c r="L821" s="116">
        <f>IF($A821="","",DATE(YEAR($A821),MONTH($A821)+IF(AND(IFERROR(N(INDEX(Übersicht!$M$15:$M$22,MATCH($B821,Übersicht!$A$15:$A$22,0))),0)&gt;1,DAY($A821)&gt;=IFERROR(N(INDEX(Übersicht!$M$15:$M$22,MATCH($B821,Übersicht!$A$15:$A$22,0))),0)),1,0),1))</f>
        <v/>
      </c>
    </row>
    <row r="822">
      <c r="A822" s="92" t="n"/>
      <c r="B822" s="55" t="n"/>
      <c r="C822" s="55" t="n"/>
      <c r="D822" s="55" t="n"/>
      <c r="E822" s="93" t="n"/>
      <c r="F822" s="94" t="n"/>
      <c r="G822" s="94" t="n"/>
      <c r="H822" s="94" t="n"/>
      <c r="I822" s="94" t="n"/>
      <c r="J822" s="55" t="n"/>
      <c r="K822" s="95" t="n"/>
      <c r="L822" s="116">
        <f>IF($A822="","",DATE(YEAR($A822),MONTH($A822)+IF(AND(IFERROR(N(INDEX(Übersicht!$M$15:$M$22,MATCH($B822,Übersicht!$A$15:$A$22,0))),0)&gt;1,DAY($A822)&gt;=IFERROR(N(INDEX(Übersicht!$M$15:$M$22,MATCH($B822,Übersicht!$A$15:$A$22,0))),0)),1,0),1))</f>
        <v/>
      </c>
    </row>
    <row r="823">
      <c r="A823" s="92" t="n"/>
      <c r="B823" s="55" t="n"/>
      <c r="C823" s="55" t="n"/>
      <c r="D823" s="55" t="n"/>
      <c r="E823" s="93" t="n"/>
      <c r="F823" s="94" t="n"/>
      <c r="G823" s="94" t="n"/>
      <c r="H823" s="94" t="n"/>
      <c r="I823" s="94" t="n"/>
      <c r="J823" s="55" t="n"/>
      <c r="K823" s="95" t="n"/>
      <c r="L823" s="116">
        <f>IF($A823="","",DATE(YEAR($A823),MONTH($A823)+IF(AND(IFERROR(N(INDEX(Übersicht!$M$15:$M$22,MATCH($B823,Übersicht!$A$15:$A$22,0))),0)&gt;1,DAY($A823)&gt;=IFERROR(N(INDEX(Übersicht!$M$15:$M$22,MATCH($B823,Übersicht!$A$15:$A$22,0))),0)),1,0),1))</f>
        <v/>
      </c>
    </row>
    <row r="824">
      <c r="A824" s="92" t="n"/>
      <c r="B824" s="55" t="n"/>
      <c r="C824" s="55" t="n"/>
      <c r="D824" s="55" t="n"/>
      <c r="E824" s="93" t="n"/>
      <c r="F824" s="94" t="n"/>
      <c r="G824" s="94" t="n"/>
      <c r="H824" s="94" t="n"/>
      <c r="I824" s="94" t="n"/>
      <c r="J824" s="55" t="n"/>
      <c r="K824" s="95" t="n"/>
      <c r="L824" s="116">
        <f>IF($A824="","",DATE(YEAR($A824),MONTH($A824)+IF(AND(IFERROR(N(INDEX(Übersicht!$M$15:$M$22,MATCH($B824,Übersicht!$A$15:$A$22,0))),0)&gt;1,DAY($A824)&gt;=IFERROR(N(INDEX(Übersicht!$M$15:$M$22,MATCH($B824,Übersicht!$A$15:$A$22,0))),0)),1,0),1))</f>
        <v/>
      </c>
    </row>
    <row r="825">
      <c r="A825" s="92" t="n"/>
      <c r="B825" s="55" t="n"/>
      <c r="C825" s="55" t="n"/>
      <c r="D825" s="55" t="n"/>
      <c r="E825" s="93" t="n"/>
      <c r="F825" s="94" t="n"/>
      <c r="G825" s="94" t="n"/>
      <c r="H825" s="94" t="n"/>
      <c r="I825" s="94" t="n"/>
      <c r="J825" s="55" t="n"/>
      <c r="K825" s="95" t="n"/>
      <c r="L825" s="116">
        <f>IF($A825="","",DATE(YEAR($A825),MONTH($A825)+IF(AND(IFERROR(N(INDEX(Übersicht!$M$15:$M$22,MATCH($B825,Übersicht!$A$15:$A$22,0))),0)&gt;1,DAY($A825)&gt;=IFERROR(N(INDEX(Übersicht!$M$15:$M$22,MATCH($B825,Übersicht!$A$15:$A$22,0))),0)),1,0),1))</f>
        <v/>
      </c>
    </row>
    <row r="826">
      <c r="A826" s="92" t="n"/>
      <c r="B826" s="55" t="n"/>
      <c r="C826" s="55" t="n"/>
      <c r="D826" s="55" t="n"/>
      <c r="E826" s="93" t="n"/>
      <c r="F826" s="94" t="n"/>
      <c r="G826" s="94" t="n"/>
      <c r="H826" s="94" t="n"/>
      <c r="I826" s="94" t="n"/>
      <c r="J826" s="55" t="n"/>
      <c r="K826" s="95" t="n"/>
      <c r="L826" s="116">
        <f>IF($A826="","",DATE(YEAR($A826),MONTH($A826)+IF(AND(IFERROR(N(INDEX(Übersicht!$M$15:$M$22,MATCH($B826,Übersicht!$A$15:$A$22,0))),0)&gt;1,DAY($A826)&gt;=IFERROR(N(INDEX(Übersicht!$M$15:$M$22,MATCH($B826,Übersicht!$A$15:$A$22,0))),0)),1,0),1))</f>
        <v/>
      </c>
    </row>
    <row r="827">
      <c r="A827" s="92" t="n"/>
      <c r="B827" s="55" t="n"/>
      <c r="C827" s="55" t="n"/>
      <c r="D827" s="55" t="n"/>
      <c r="E827" s="93" t="n"/>
      <c r="F827" s="94" t="n"/>
      <c r="G827" s="94" t="n"/>
      <c r="H827" s="94" t="n"/>
      <c r="I827" s="94" t="n"/>
      <c r="J827" s="55" t="n"/>
      <c r="K827" s="95" t="n"/>
      <c r="L827" s="116">
        <f>IF($A827="","",DATE(YEAR($A827),MONTH($A827)+IF(AND(IFERROR(N(INDEX(Übersicht!$M$15:$M$22,MATCH($B827,Übersicht!$A$15:$A$22,0))),0)&gt;1,DAY($A827)&gt;=IFERROR(N(INDEX(Übersicht!$M$15:$M$22,MATCH($B827,Übersicht!$A$15:$A$22,0))),0)),1,0),1))</f>
        <v/>
      </c>
    </row>
    <row r="828">
      <c r="A828" s="92" t="n"/>
      <c r="B828" s="55" t="n"/>
      <c r="C828" s="55" t="n"/>
      <c r="D828" s="55" t="n"/>
      <c r="E828" s="93" t="n"/>
      <c r="F828" s="94" t="n"/>
      <c r="G828" s="94" t="n"/>
      <c r="H828" s="94" t="n"/>
      <c r="I828" s="94" t="n"/>
      <c r="J828" s="55" t="n"/>
      <c r="K828" s="95" t="n"/>
      <c r="L828" s="116">
        <f>IF($A828="","",DATE(YEAR($A828),MONTH($A828)+IF(AND(IFERROR(N(INDEX(Übersicht!$M$15:$M$22,MATCH($B828,Übersicht!$A$15:$A$22,0))),0)&gt;1,DAY($A828)&gt;=IFERROR(N(INDEX(Übersicht!$M$15:$M$22,MATCH($B828,Übersicht!$A$15:$A$22,0))),0)),1,0),1))</f>
        <v/>
      </c>
    </row>
    <row r="829">
      <c r="A829" s="92" t="n"/>
      <c r="B829" s="55" t="n"/>
      <c r="C829" s="55" t="n"/>
      <c r="D829" s="55" t="n"/>
      <c r="E829" s="93" t="n"/>
      <c r="F829" s="94" t="n"/>
      <c r="G829" s="94" t="n"/>
      <c r="H829" s="94" t="n"/>
      <c r="I829" s="94" t="n"/>
      <c r="J829" s="55" t="n"/>
      <c r="K829" s="95" t="n"/>
      <c r="L829" s="116">
        <f>IF($A829="","",DATE(YEAR($A829),MONTH($A829)+IF(AND(IFERROR(N(INDEX(Übersicht!$M$15:$M$22,MATCH($B829,Übersicht!$A$15:$A$22,0))),0)&gt;1,DAY($A829)&gt;=IFERROR(N(INDEX(Übersicht!$M$15:$M$22,MATCH($B829,Übersicht!$A$15:$A$22,0))),0)),1,0),1))</f>
        <v/>
      </c>
    </row>
    <row r="830">
      <c r="A830" s="92" t="n"/>
      <c r="B830" s="55" t="n"/>
      <c r="C830" s="55" t="n"/>
      <c r="D830" s="55" t="n"/>
      <c r="E830" s="93" t="n"/>
      <c r="F830" s="94" t="n"/>
      <c r="G830" s="94" t="n"/>
      <c r="H830" s="94" t="n"/>
      <c r="I830" s="94" t="n"/>
      <c r="J830" s="55" t="n"/>
      <c r="K830" s="95" t="n"/>
      <c r="L830" s="116">
        <f>IF($A830="","",DATE(YEAR($A830),MONTH($A830)+IF(AND(IFERROR(N(INDEX(Übersicht!$M$15:$M$22,MATCH($B830,Übersicht!$A$15:$A$22,0))),0)&gt;1,DAY($A830)&gt;=IFERROR(N(INDEX(Übersicht!$M$15:$M$22,MATCH($B830,Übersicht!$A$15:$A$22,0))),0)),1,0),1))</f>
        <v/>
      </c>
    </row>
    <row r="831">
      <c r="A831" s="92" t="n"/>
      <c r="B831" s="55" t="n"/>
      <c r="C831" s="55" t="n"/>
      <c r="D831" s="55" t="n"/>
      <c r="E831" s="93" t="n"/>
      <c r="F831" s="94" t="n"/>
      <c r="G831" s="94" t="n"/>
      <c r="H831" s="94" t="n"/>
      <c r="I831" s="94" t="n"/>
      <c r="J831" s="55" t="n"/>
      <c r="K831" s="95" t="n"/>
      <c r="L831" s="116">
        <f>IF($A831="","",DATE(YEAR($A831),MONTH($A831)+IF(AND(IFERROR(N(INDEX(Übersicht!$M$15:$M$22,MATCH($B831,Übersicht!$A$15:$A$22,0))),0)&gt;1,DAY($A831)&gt;=IFERROR(N(INDEX(Übersicht!$M$15:$M$22,MATCH($B831,Übersicht!$A$15:$A$22,0))),0)),1,0),1))</f>
        <v/>
      </c>
    </row>
    <row r="832">
      <c r="A832" s="92" t="n"/>
      <c r="B832" s="55" t="n"/>
      <c r="C832" s="55" t="n"/>
      <c r="D832" s="55" t="n"/>
      <c r="E832" s="93" t="n"/>
      <c r="F832" s="94" t="n"/>
      <c r="G832" s="94" t="n"/>
      <c r="H832" s="94" t="n"/>
      <c r="I832" s="94" t="n"/>
      <c r="J832" s="55" t="n"/>
      <c r="K832" s="95" t="n"/>
      <c r="L832" s="116">
        <f>IF($A832="","",DATE(YEAR($A832),MONTH($A832)+IF(AND(IFERROR(N(INDEX(Übersicht!$M$15:$M$22,MATCH($B832,Übersicht!$A$15:$A$22,0))),0)&gt;1,DAY($A832)&gt;=IFERROR(N(INDEX(Übersicht!$M$15:$M$22,MATCH($B832,Übersicht!$A$15:$A$22,0))),0)),1,0),1))</f>
        <v/>
      </c>
    </row>
    <row r="833">
      <c r="A833" s="92" t="n"/>
      <c r="B833" s="55" t="n"/>
      <c r="C833" s="55" t="n"/>
      <c r="D833" s="55" t="n"/>
      <c r="E833" s="93" t="n"/>
      <c r="F833" s="94" t="n"/>
      <c r="G833" s="94" t="n"/>
      <c r="H833" s="94" t="n"/>
      <c r="I833" s="94" t="n"/>
      <c r="J833" s="55" t="n"/>
      <c r="K833" s="95" t="n"/>
      <c r="L833" s="116">
        <f>IF($A833="","",DATE(YEAR($A833),MONTH($A833)+IF(AND(IFERROR(N(INDEX(Übersicht!$M$15:$M$22,MATCH($B833,Übersicht!$A$15:$A$22,0))),0)&gt;1,DAY($A833)&gt;=IFERROR(N(INDEX(Übersicht!$M$15:$M$22,MATCH($B833,Übersicht!$A$15:$A$22,0))),0)),1,0),1))</f>
        <v/>
      </c>
    </row>
    <row r="834">
      <c r="A834" s="92" t="n"/>
      <c r="B834" s="55" t="n"/>
      <c r="C834" s="55" t="n"/>
      <c r="D834" s="55" t="n"/>
      <c r="E834" s="93" t="n"/>
      <c r="F834" s="94" t="n"/>
      <c r="G834" s="94" t="n"/>
      <c r="H834" s="94" t="n"/>
      <c r="I834" s="94" t="n"/>
      <c r="J834" s="55" t="n"/>
      <c r="K834" s="95" t="n"/>
      <c r="L834" s="116">
        <f>IF($A834="","",DATE(YEAR($A834),MONTH($A834)+IF(AND(IFERROR(N(INDEX(Übersicht!$M$15:$M$22,MATCH($B834,Übersicht!$A$15:$A$22,0))),0)&gt;1,DAY($A834)&gt;=IFERROR(N(INDEX(Übersicht!$M$15:$M$22,MATCH($B834,Übersicht!$A$15:$A$22,0))),0)),1,0),1))</f>
        <v/>
      </c>
    </row>
    <row r="835">
      <c r="A835" s="92" t="n"/>
      <c r="B835" s="55" t="n"/>
      <c r="C835" s="55" t="n"/>
      <c r="D835" s="55" t="n"/>
      <c r="E835" s="93" t="n"/>
      <c r="F835" s="94" t="n"/>
      <c r="G835" s="94" t="n"/>
      <c r="H835" s="94" t="n"/>
      <c r="I835" s="94" t="n"/>
      <c r="J835" s="55" t="n"/>
      <c r="K835" s="95" t="n"/>
      <c r="L835" s="116">
        <f>IF($A835="","",DATE(YEAR($A835),MONTH($A835)+IF(AND(IFERROR(N(INDEX(Übersicht!$M$15:$M$22,MATCH($B835,Übersicht!$A$15:$A$22,0))),0)&gt;1,DAY($A835)&gt;=IFERROR(N(INDEX(Übersicht!$M$15:$M$22,MATCH($B835,Übersicht!$A$15:$A$22,0))),0)),1,0),1))</f>
        <v/>
      </c>
    </row>
    <row r="836">
      <c r="A836" s="92" t="n"/>
      <c r="B836" s="55" t="n"/>
      <c r="C836" s="55" t="n"/>
      <c r="D836" s="55" t="n"/>
      <c r="E836" s="93" t="n"/>
      <c r="F836" s="94" t="n"/>
      <c r="G836" s="94" t="n"/>
      <c r="H836" s="94" t="n"/>
      <c r="I836" s="94" t="n"/>
      <c r="J836" s="55" t="n"/>
      <c r="K836" s="95" t="n"/>
      <c r="L836" s="116">
        <f>IF($A836="","",DATE(YEAR($A836),MONTH($A836)+IF(AND(IFERROR(N(INDEX(Übersicht!$M$15:$M$22,MATCH($B836,Übersicht!$A$15:$A$22,0))),0)&gt;1,DAY($A836)&gt;=IFERROR(N(INDEX(Übersicht!$M$15:$M$22,MATCH($B836,Übersicht!$A$15:$A$22,0))),0)),1,0),1))</f>
        <v/>
      </c>
    </row>
    <row r="837">
      <c r="A837" s="92" t="n"/>
      <c r="B837" s="55" t="n"/>
      <c r="C837" s="55" t="n"/>
      <c r="D837" s="55" t="n"/>
      <c r="E837" s="93" t="n"/>
      <c r="F837" s="94" t="n"/>
      <c r="G837" s="94" t="n"/>
      <c r="H837" s="94" t="n"/>
      <c r="I837" s="94" t="n"/>
      <c r="J837" s="55" t="n"/>
      <c r="K837" s="95" t="n"/>
      <c r="L837" s="116">
        <f>IF($A837="","",DATE(YEAR($A837),MONTH($A837)+IF(AND(IFERROR(N(INDEX(Übersicht!$M$15:$M$22,MATCH($B837,Übersicht!$A$15:$A$22,0))),0)&gt;1,DAY($A837)&gt;=IFERROR(N(INDEX(Übersicht!$M$15:$M$22,MATCH($B837,Übersicht!$A$15:$A$22,0))),0)),1,0),1))</f>
        <v/>
      </c>
    </row>
    <row r="838">
      <c r="A838" s="92" t="n"/>
      <c r="B838" s="55" t="n"/>
      <c r="C838" s="55" t="n"/>
      <c r="D838" s="55" t="n"/>
      <c r="E838" s="93" t="n"/>
      <c r="F838" s="94" t="n"/>
      <c r="G838" s="94" t="n"/>
      <c r="H838" s="94" t="n"/>
      <c r="I838" s="94" t="n"/>
      <c r="J838" s="55" t="n"/>
      <c r="K838" s="95" t="n"/>
      <c r="L838" s="116">
        <f>IF($A838="","",DATE(YEAR($A838),MONTH($A838)+IF(AND(IFERROR(N(INDEX(Übersicht!$M$15:$M$22,MATCH($B838,Übersicht!$A$15:$A$22,0))),0)&gt;1,DAY($A838)&gt;=IFERROR(N(INDEX(Übersicht!$M$15:$M$22,MATCH($B838,Übersicht!$A$15:$A$22,0))),0)),1,0),1))</f>
        <v/>
      </c>
    </row>
    <row r="839">
      <c r="A839" s="92" t="n"/>
      <c r="B839" s="55" t="n"/>
      <c r="C839" s="55" t="n"/>
      <c r="D839" s="55" t="n"/>
      <c r="E839" s="93" t="n"/>
      <c r="F839" s="94" t="n"/>
      <c r="G839" s="94" t="n"/>
      <c r="H839" s="94" t="n"/>
      <c r="I839" s="94" t="n"/>
      <c r="J839" s="55" t="n"/>
      <c r="K839" s="95" t="n"/>
      <c r="L839" s="116">
        <f>IF($A839="","",DATE(YEAR($A839),MONTH($A839)+IF(AND(IFERROR(N(INDEX(Übersicht!$M$15:$M$22,MATCH($B839,Übersicht!$A$15:$A$22,0))),0)&gt;1,DAY($A839)&gt;=IFERROR(N(INDEX(Übersicht!$M$15:$M$22,MATCH($B839,Übersicht!$A$15:$A$22,0))),0)),1,0),1))</f>
        <v/>
      </c>
    </row>
    <row r="840">
      <c r="A840" s="92" t="n"/>
      <c r="B840" s="55" t="n"/>
      <c r="C840" s="55" t="n"/>
      <c r="D840" s="55" t="n"/>
      <c r="E840" s="93" t="n"/>
      <c r="F840" s="94" t="n"/>
      <c r="G840" s="94" t="n"/>
      <c r="H840" s="94" t="n"/>
      <c r="I840" s="94" t="n"/>
      <c r="J840" s="55" t="n"/>
      <c r="K840" s="95" t="n"/>
      <c r="L840" s="116">
        <f>IF($A840="","",DATE(YEAR($A840),MONTH($A840)+IF(AND(IFERROR(N(INDEX(Übersicht!$M$15:$M$22,MATCH($B840,Übersicht!$A$15:$A$22,0))),0)&gt;1,DAY($A840)&gt;=IFERROR(N(INDEX(Übersicht!$M$15:$M$22,MATCH($B840,Übersicht!$A$15:$A$22,0))),0)),1,0),1))</f>
        <v/>
      </c>
    </row>
    <row r="841">
      <c r="A841" s="92" t="n"/>
      <c r="B841" s="55" t="n"/>
      <c r="C841" s="55" t="n"/>
      <c r="D841" s="55" t="n"/>
      <c r="E841" s="93" t="n"/>
      <c r="F841" s="94" t="n"/>
      <c r="G841" s="94" t="n"/>
      <c r="H841" s="94" t="n"/>
      <c r="I841" s="94" t="n"/>
      <c r="J841" s="55" t="n"/>
      <c r="K841" s="95" t="n"/>
      <c r="L841" s="116">
        <f>IF($A841="","",DATE(YEAR($A841),MONTH($A841)+IF(AND(IFERROR(N(INDEX(Übersicht!$M$15:$M$22,MATCH($B841,Übersicht!$A$15:$A$22,0))),0)&gt;1,DAY($A841)&gt;=IFERROR(N(INDEX(Übersicht!$M$15:$M$22,MATCH($B841,Übersicht!$A$15:$A$22,0))),0)),1,0),1))</f>
        <v/>
      </c>
    </row>
    <row r="842">
      <c r="A842" s="92" t="n"/>
      <c r="B842" s="55" t="n"/>
      <c r="C842" s="55" t="n"/>
      <c r="D842" s="55" t="n"/>
      <c r="E842" s="93" t="n"/>
      <c r="F842" s="94" t="n"/>
      <c r="G842" s="94" t="n"/>
      <c r="H842" s="94" t="n"/>
      <c r="I842" s="94" t="n"/>
      <c r="J842" s="55" t="n"/>
      <c r="K842" s="95" t="n"/>
      <c r="L842" s="116">
        <f>IF($A842="","",DATE(YEAR($A842),MONTH($A842)+IF(AND(IFERROR(N(INDEX(Übersicht!$M$15:$M$22,MATCH($B842,Übersicht!$A$15:$A$22,0))),0)&gt;1,DAY($A842)&gt;=IFERROR(N(INDEX(Übersicht!$M$15:$M$22,MATCH($B842,Übersicht!$A$15:$A$22,0))),0)),1,0),1))</f>
        <v/>
      </c>
    </row>
    <row r="843">
      <c r="A843" s="92" t="n"/>
      <c r="B843" s="55" t="n"/>
      <c r="C843" s="55" t="n"/>
      <c r="D843" s="55" t="n"/>
      <c r="E843" s="93" t="n"/>
      <c r="F843" s="94" t="n"/>
      <c r="G843" s="94" t="n"/>
      <c r="H843" s="94" t="n"/>
      <c r="I843" s="94" t="n"/>
      <c r="J843" s="55" t="n"/>
      <c r="K843" s="95" t="n"/>
      <c r="L843" s="116">
        <f>IF($A843="","",DATE(YEAR($A843),MONTH($A843)+IF(AND(IFERROR(N(INDEX(Übersicht!$M$15:$M$22,MATCH($B843,Übersicht!$A$15:$A$22,0))),0)&gt;1,DAY($A843)&gt;=IFERROR(N(INDEX(Übersicht!$M$15:$M$22,MATCH($B843,Übersicht!$A$15:$A$22,0))),0)),1,0),1))</f>
        <v/>
      </c>
    </row>
    <row r="844">
      <c r="A844" s="92" t="n"/>
      <c r="B844" s="55" t="n"/>
      <c r="C844" s="55" t="n"/>
      <c r="D844" s="55" t="n"/>
      <c r="E844" s="93" t="n"/>
      <c r="F844" s="94" t="n"/>
      <c r="G844" s="94" t="n"/>
      <c r="H844" s="94" t="n"/>
      <c r="I844" s="94" t="n"/>
      <c r="J844" s="55" t="n"/>
      <c r="K844" s="95" t="n"/>
      <c r="L844" s="116">
        <f>IF($A844="","",DATE(YEAR($A844),MONTH($A844)+IF(AND(IFERROR(N(INDEX(Übersicht!$M$15:$M$22,MATCH($B844,Übersicht!$A$15:$A$22,0))),0)&gt;1,DAY($A844)&gt;=IFERROR(N(INDEX(Übersicht!$M$15:$M$22,MATCH($B844,Übersicht!$A$15:$A$22,0))),0)),1,0),1))</f>
        <v/>
      </c>
    </row>
    <row r="845">
      <c r="A845" s="92" t="n"/>
      <c r="B845" s="55" t="n"/>
      <c r="C845" s="55" t="n"/>
      <c r="D845" s="55" t="n"/>
      <c r="E845" s="93" t="n"/>
      <c r="F845" s="94" t="n"/>
      <c r="G845" s="94" t="n"/>
      <c r="H845" s="94" t="n"/>
      <c r="I845" s="94" t="n"/>
      <c r="J845" s="55" t="n"/>
      <c r="K845" s="95" t="n"/>
      <c r="L845" s="116">
        <f>IF($A845="","",DATE(YEAR($A845),MONTH($A845)+IF(AND(IFERROR(N(INDEX(Übersicht!$M$15:$M$22,MATCH($B845,Übersicht!$A$15:$A$22,0))),0)&gt;1,DAY($A845)&gt;=IFERROR(N(INDEX(Übersicht!$M$15:$M$22,MATCH($B845,Übersicht!$A$15:$A$22,0))),0)),1,0),1))</f>
        <v/>
      </c>
    </row>
    <row r="846">
      <c r="A846" s="92" t="n"/>
      <c r="B846" s="55" t="n"/>
      <c r="C846" s="55" t="n"/>
      <c r="D846" s="55" t="n"/>
      <c r="E846" s="93" t="n"/>
      <c r="F846" s="94" t="n"/>
      <c r="G846" s="94" t="n"/>
      <c r="H846" s="94" t="n"/>
      <c r="I846" s="94" t="n"/>
      <c r="J846" s="55" t="n"/>
      <c r="K846" s="95" t="n"/>
      <c r="L846" s="116">
        <f>IF($A846="","",DATE(YEAR($A846),MONTH($A846)+IF(AND(IFERROR(N(INDEX(Übersicht!$M$15:$M$22,MATCH($B846,Übersicht!$A$15:$A$22,0))),0)&gt;1,DAY($A846)&gt;=IFERROR(N(INDEX(Übersicht!$M$15:$M$22,MATCH($B846,Übersicht!$A$15:$A$22,0))),0)),1,0),1))</f>
        <v/>
      </c>
    </row>
    <row r="847">
      <c r="A847" s="92" t="n"/>
      <c r="B847" s="55" t="n"/>
      <c r="C847" s="55" t="n"/>
      <c r="D847" s="55" t="n"/>
      <c r="E847" s="93" t="n"/>
      <c r="F847" s="94" t="n"/>
      <c r="G847" s="94" t="n"/>
      <c r="H847" s="94" t="n"/>
      <c r="I847" s="94" t="n"/>
      <c r="J847" s="55" t="n"/>
      <c r="K847" s="95" t="n"/>
      <c r="L847" s="116">
        <f>IF($A847="","",DATE(YEAR($A847),MONTH($A847)+IF(AND(IFERROR(N(INDEX(Übersicht!$M$15:$M$22,MATCH($B847,Übersicht!$A$15:$A$22,0))),0)&gt;1,DAY($A847)&gt;=IFERROR(N(INDEX(Übersicht!$M$15:$M$22,MATCH($B847,Übersicht!$A$15:$A$22,0))),0)),1,0),1))</f>
        <v/>
      </c>
    </row>
    <row r="848">
      <c r="A848" s="92" t="n"/>
      <c r="B848" s="55" t="n"/>
      <c r="C848" s="55" t="n"/>
      <c r="D848" s="55" t="n"/>
      <c r="E848" s="93" t="n"/>
      <c r="F848" s="94" t="n"/>
      <c r="G848" s="94" t="n"/>
      <c r="H848" s="94" t="n"/>
      <c r="I848" s="94" t="n"/>
      <c r="J848" s="55" t="n"/>
      <c r="K848" s="95" t="n"/>
      <c r="L848" s="116">
        <f>IF($A848="","",DATE(YEAR($A848),MONTH($A848)+IF(AND(IFERROR(N(INDEX(Übersicht!$M$15:$M$22,MATCH($B848,Übersicht!$A$15:$A$22,0))),0)&gt;1,DAY($A848)&gt;=IFERROR(N(INDEX(Übersicht!$M$15:$M$22,MATCH($B848,Übersicht!$A$15:$A$22,0))),0)),1,0),1))</f>
        <v/>
      </c>
    </row>
    <row r="849">
      <c r="A849" s="92" t="n"/>
      <c r="B849" s="55" t="n"/>
      <c r="C849" s="55" t="n"/>
      <c r="D849" s="55" t="n"/>
      <c r="E849" s="93" t="n"/>
      <c r="F849" s="94" t="n"/>
      <c r="G849" s="94" t="n"/>
      <c r="H849" s="94" t="n"/>
      <c r="I849" s="94" t="n"/>
      <c r="J849" s="55" t="n"/>
      <c r="K849" s="95" t="n"/>
      <c r="L849" s="116">
        <f>IF($A849="","",DATE(YEAR($A849),MONTH($A849)+IF(AND(IFERROR(N(INDEX(Übersicht!$M$15:$M$22,MATCH($B849,Übersicht!$A$15:$A$22,0))),0)&gt;1,DAY($A849)&gt;=IFERROR(N(INDEX(Übersicht!$M$15:$M$22,MATCH($B849,Übersicht!$A$15:$A$22,0))),0)),1,0),1))</f>
        <v/>
      </c>
    </row>
    <row r="850">
      <c r="A850" s="92" t="n"/>
      <c r="B850" s="55" t="n"/>
      <c r="C850" s="55" t="n"/>
      <c r="D850" s="55" t="n"/>
      <c r="E850" s="93" t="n"/>
      <c r="F850" s="94" t="n"/>
      <c r="G850" s="94" t="n"/>
      <c r="H850" s="94" t="n"/>
      <c r="I850" s="94" t="n"/>
      <c r="J850" s="55" t="n"/>
      <c r="K850" s="95" t="n"/>
      <c r="L850" s="116">
        <f>IF($A850="","",DATE(YEAR($A850),MONTH($A850)+IF(AND(IFERROR(N(INDEX(Übersicht!$M$15:$M$22,MATCH($B850,Übersicht!$A$15:$A$22,0))),0)&gt;1,DAY($A850)&gt;=IFERROR(N(INDEX(Übersicht!$M$15:$M$22,MATCH($B850,Übersicht!$A$15:$A$22,0))),0)),1,0),1))</f>
        <v/>
      </c>
    </row>
    <row r="851">
      <c r="A851" s="92" t="n"/>
      <c r="B851" s="55" t="n"/>
      <c r="C851" s="55" t="n"/>
      <c r="D851" s="55" t="n"/>
      <c r="E851" s="93" t="n"/>
      <c r="F851" s="94" t="n"/>
      <c r="G851" s="94" t="n"/>
      <c r="H851" s="94" t="n"/>
      <c r="I851" s="94" t="n"/>
      <c r="J851" s="55" t="n"/>
      <c r="K851" s="95" t="n"/>
      <c r="L851" s="116">
        <f>IF($A851="","",DATE(YEAR($A851),MONTH($A851)+IF(AND(IFERROR(N(INDEX(Übersicht!$M$15:$M$22,MATCH($B851,Übersicht!$A$15:$A$22,0))),0)&gt;1,DAY($A851)&gt;=IFERROR(N(INDEX(Übersicht!$M$15:$M$22,MATCH($B851,Übersicht!$A$15:$A$22,0))),0)),1,0),1))</f>
        <v/>
      </c>
    </row>
    <row r="852">
      <c r="A852" s="92" t="n"/>
      <c r="B852" s="55" t="n"/>
      <c r="C852" s="55" t="n"/>
      <c r="D852" s="55" t="n"/>
      <c r="E852" s="93" t="n"/>
      <c r="F852" s="94" t="n"/>
      <c r="G852" s="94" t="n"/>
      <c r="H852" s="94" t="n"/>
      <c r="I852" s="94" t="n"/>
      <c r="J852" s="55" t="n"/>
      <c r="K852" s="95" t="n"/>
      <c r="L852" s="116">
        <f>IF($A852="","",DATE(YEAR($A852),MONTH($A852)+IF(AND(IFERROR(N(INDEX(Übersicht!$M$15:$M$22,MATCH($B852,Übersicht!$A$15:$A$22,0))),0)&gt;1,DAY($A852)&gt;=IFERROR(N(INDEX(Übersicht!$M$15:$M$22,MATCH($B852,Übersicht!$A$15:$A$22,0))),0)),1,0),1))</f>
        <v/>
      </c>
    </row>
    <row r="853">
      <c r="A853" s="92" t="n"/>
      <c r="B853" s="55" t="n"/>
      <c r="C853" s="55" t="n"/>
      <c r="D853" s="55" t="n"/>
      <c r="E853" s="93" t="n"/>
      <c r="F853" s="94" t="n"/>
      <c r="G853" s="94" t="n"/>
      <c r="H853" s="94" t="n"/>
      <c r="I853" s="94" t="n"/>
      <c r="J853" s="55" t="n"/>
      <c r="K853" s="95" t="n"/>
      <c r="L853" s="116">
        <f>IF($A853="","",DATE(YEAR($A853),MONTH($A853)+IF(AND(IFERROR(N(INDEX(Übersicht!$M$15:$M$22,MATCH($B853,Übersicht!$A$15:$A$22,0))),0)&gt;1,DAY($A853)&gt;=IFERROR(N(INDEX(Übersicht!$M$15:$M$22,MATCH($B853,Übersicht!$A$15:$A$22,0))),0)),1,0),1))</f>
        <v/>
      </c>
    </row>
    <row r="854">
      <c r="A854" s="92" t="n"/>
      <c r="B854" s="55" t="n"/>
      <c r="C854" s="55" t="n"/>
      <c r="D854" s="55" t="n"/>
      <c r="E854" s="93" t="n"/>
      <c r="F854" s="94" t="n"/>
      <c r="G854" s="94" t="n"/>
      <c r="H854" s="94" t="n"/>
      <c r="I854" s="94" t="n"/>
      <c r="J854" s="55" t="n"/>
      <c r="K854" s="95" t="n"/>
      <c r="L854" s="116">
        <f>IF($A854="","",DATE(YEAR($A854),MONTH($A854)+IF(AND(IFERROR(N(INDEX(Übersicht!$M$15:$M$22,MATCH($B854,Übersicht!$A$15:$A$22,0))),0)&gt;1,DAY($A854)&gt;=IFERROR(N(INDEX(Übersicht!$M$15:$M$22,MATCH($B854,Übersicht!$A$15:$A$22,0))),0)),1,0),1))</f>
        <v/>
      </c>
    </row>
    <row r="855">
      <c r="A855" s="92" t="n"/>
      <c r="B855" s="55" t="n"/>
      <c r="C855" s="55" t="n"/>
      <c r="D855" s="55" t="n"/>
      <c r="E855" s="93" t="n"/>
      <c r="F855" s="94" t="n"/>
      <c r="G855" s="94" t="n"/>
      <c r="H855" s="94" t="n"/>
      <c r="I855" s="94" t="n"/>
      <c r="J855" s="55" t="n"/>
      <c r="K855" s="95" t="n"/>
      <c r="L855" s="116">
        <f>IF($A855="","",DATE(YEAR($A855),MONTH($A855)+IF(AND(IFERROR(N(INDEX(Übersicht!$M$15:$M$22,MATCH($B855,Übersicht!$A$15:$A$22,0))),0)&gt;1,DAY($A855)&gt;=IFERROR(N(INDEX(Übersicht!$M$15:$M$22,MATCH($B855,Übersicht!$A$15:$A$22,0))),0)),1,0),1))</f>
        <v/>
      </c>
    </row>
    <row r="856">
      <c r="A856" s="92" t="n"/>
      <c r="B856" s="55" t="n"/>
      <c r="C856" s="55" t="n"/>
      <c r="D856" s="55" t="n"/>
      <c r="E856" s="93" t="n"/>
      <c r="F856" s="94" t="n"/>
      <c r="G856" s="94" t="n"/>
      <c r="H856" s="94" t="n"/>
      <c r="I856" s="94" t="n"/>
      <c r="J856" s="55" t="n"/>
      <c r="K856" s="95" t="n"/>
      <c r="L856" s="116">
        <f>IF($A856="","",DATE(YEAR($A856),MONTH($A856)+IF(AND(IFERROR(N(INDEX(Übersicht!$M$15:$M$22,MATCH($B856,Übersicht!$A$15:$A$22,0))),0)&gt;1,DAY($A856)&gt;=IFERROR(N(INDEX(Übersicht!$M$15:$M$22,MATCH($B856,Übersicht!$A$15:$A$22,0))),0)),1,0),1))</f>
        <v/>
      </c>
    </row>
    <row r="857">
      <c r="A857" s="92" t="n"/>
      <c r="B857" s="55" t="n"/>
      <c r="C857" s="55" t="n"/>
      <c r="D857" s="55" t="n"/>
      <c r="E857" s="93" t="n"/>
      <c r="F857" s="94" t="n"/>
      <c r="G857" s="94" t="n"/>
      <c r="H857" s="94" t="n"/>
      <c r="I857" s="94" t="n"/>
      <c r="J857" s="55" t="n"/>
      <c r="K857" s="95" t="n"/>
      <c r="L857" s="116">
        <f>IF($A857="","",DATE(YEAR($A857),MONTH($A857)+IF(AND(IFERROR(N(INDEX(Übersicht!$M$15:$M$22,MATCH($B857,Übersicht!$A$15:$A$22,0))),0)&gt;1,DAY($A857)&gt;=IFERROR(N(INDEX(Übersicht!$M$15:$M$22,MATCH($B857,Übersicht!$A$15:$A$22,0))),0)),1,0),1))</f>
        <v/>
      </c>
    </row>
    <row r="858">
      <c r="A858" s="92" t="n"/>
      <c r="B858" s="55" t="n"/>
      <c r="C858" s="55" t="n"/>
      <c r="D858" s="55" t="n"/>
      <c r="E858" s="93" t="n"/>
      <c r="F858" s="94" t="n"/>
      <c r="G858" s="94" t="n"/>
      <c r="H858" s="94" t="n"/>
      <c r="I858" s="94" t="n"/>
      <c r="J858" s="55" t="n"/>
      <c r="K858" s="95" t="n"/>
      <c r="L858" s="116">
        <f>IF($A858="","",DATE(YEAR($A858),MONTH($A858)+IF(AND(IFERROR(N(INDEX(Übersicht!$M$15:$M$22,MATCH($B858,Übersicht!$A$15:$A$22,0))),0)&gt;1,DAY($A858)&gt;=IFERROR(N(INDEX(Übersicht!$M$15:$M$22,MATCH($B858,Übersicht!$A$15:$A$22,0))),0)),1,0),1))</f>
        <v/>
      </c>
    </row>
    <row r="859">
      <c r="A859" s="92" t="n"/>
      <c r="B859" s="55" t="n"/>
      <c r="C859" s="55" t="n"/>
      <c r="D859" s="55" t="n"/>
      <c r="E859" s="93" t="n"/>
      <c r="F859" s="94" t="n"/>
      <c r="G859" s="94" t="n"/>
      <c r="H859" s="94" t="n"/>
      <c r="I859" s="94" t="n"/>
      <c r="J859" s="55" t="n"/>
      <c r="K859" s="95" t="n"/>
      <c r="L859" s="116">
        <f>IF($A859="","",DATE(YEAR($A859),MONTH($A859)+IF(AND(IFERROR(N(INDEX(Übersicht!$M$15:$M$22,MATCH($B859,Übersicht!$A$15:$A$22,0))),0)&gt;1,DAY($A859)&gt;=IFERROR(N(INDEX(Übersicht!$M$15:$M$22,MATCH($B859,Übersicht!$A$15:$A$22,0))),0)),1,0),1))</f>
        <v/>
      </c>
    </row>
    <row r="860">
      <c r="A860" s="92" t="n"/>
      <c r="B860" s="55" t="n"/>
      <c r="C860" s="55" t="n"/>
      <c r="D860" s="55" t="n"/>
      <c r="E860" s="93" t="n"/>
      <c r="F860" s="94" t="n"/>
      <c r="G860" s="94" t="n"/>
      <c r="H860" s="94" t="n"/>
      <c r="I860" s="94" t="n"/>
      <c r="J860" s="55" t="n"/>
      <c r="K860" s="95" t="n"/>
      <c r="L860" s="116">
        <f>IF($A860="","",DATE(YEAR($A860),MONTH($A860)+IF(AND(IFERROR(N(INDEX(Übersicht!$M$15:$M$22,MATCH($B860,Übersicht!$A$15:$A$22,0))),0)&gt;1,DAY($A860)&gt;=IFERROR(N(INDEX(Übersicht!$M$15:$M$22,MATCH($B860,Übersicht!$A$15:$A$22,0))),0)),1,0),1))</f>
        <v/>
      </c>
    </row>
    <row r="861">
      <c r="A861" s="92" t="n"/>
      <c r="B861" s="55" t="n"/>
      <c r="C861" s="55" t="n"/>
      <c r="D861" s="55" t="n"/>
      <c r="E861" s="93" t="n"/>
      <c r="F861" s="94" t="n"/>
      <c r="G861" s="94" t="n"/>
      <c r="H861" s="94" t="n"/>
      <c r="I861" s="94" t="n"/>
      <c r="J861" s="55" t="n"/>
      <c r="K861" s="95" t="n"/>
      <c r="L861" s="116">
        <f>IF($A861="","",DATE(YEAR($A861),MONTH($A861)+IF(AND(IFERROR(N(INDEX(Übersicht!$M$15:$M$22,MATCH($B861,Übersicht!$A$15:$A$22,0))),0)&gt;1,DAY($A861)&gt;=IFERROR(N(INDEX(Übersicht!$M$15:$M$22,MATCH($B861,Übersicht!$A$15:$A$22,0))),0)),1,0),1))</f>
        <v/>
      </c>
    </row>
    <row r="862">
      <c r="A862" s="92" t="n"/>
      <c r="B862" s="55" t="n"/>
      <c r="C862" s="55" t="n"/>
      <c r="D862" s="55" t="n"/>
      <c r="E862" s="93" t="n"/>
      <c r="F862" s="94" t="n"/>
      <c r="G862" s="94" t="n"/>
      <c r="H862" s="94" t="n"/>
      <c r="I862" s="94" t="n"/>
      <c r="J862" s="55" t="n"/>
      <c r="K862" s="95" t="n"/>
      <c r="L862" s="116">
        <f>IF($A862="","",DATE(YEAR($A862),MONTH($A862)+IF(AND(IFERROR(N(INDEX(Übersicht!$M$15:$M$22,MATCH($B862,Übersicht!$A$15:$A$22,0))),0)&gt;1,DAY($A862)&gt;=IFERROR(N(INDEX(Übersicht!$M$15:$M$22,MATCH($B862,Übersicht!$A$15:$A$22,0))),0)),1,0),1))</f>
        <v/>
      </c>
    </row>
    <row r="863">
      <c r="A863" s="92" t="n"/>
      <c r="B863" s="55" t="n"/>
      <c r="C863" s="55" t="n"/>
      <c r="D863" s="55" t="n"/>
      <c r="E863" s="93" t="n"/>
      <c r="F863" s="94" t="n"/>
      <c r="G863" s="94" t="n"/>
      <c r="H863" s="94" t="n"/>
      <c r="I863" s="94" t="n"/>
      <c r="J863" s="55" t="n"/>
      <c r="K863" s="95" t="n"/>
      <c r="L863" s="116">
        <f>IF($A863="","",DATE(YEAR($A863),MONTH($A863)+IF(AND(IFERROR(N(INDEX(Übersicht!$M$15:$M$22,MATCH($B863,Übersicht!$A$15:$A$22,0))),0)&gt;1,DAY($A863)&gt;=IFERROR(N(INDEX(Übersicht!$M$15:$M$22,MATCH($B863,Übersicht!$A$15:$A$22,0))),0)),1,0),1))</f>
        <v/>
      </c>
    </row>
    <row r="864">
      <c r="A864" s="92" t="n"/>
      <c r="B864" s="55" t="n"/>
      <c r="C864" s="55" t="n"/>
      <c r="D864" s="55" t="n"/>
      <c r="E864" s="93" t="n"/>
      <c r="F864" s="94" t="n"/>
      <c r="G864" s="94" t="n"/>
      <c r="H864" s="94" t="n"/>
      <c r="I864" s="94" t="n"/>
      <c r="J864" s="55" t="n"/>
      <c r="K864" s="95" t="n"/>
      <c r="L864" s="116">
        <f>IF($A864="","",DATE(YEAR($A864),MONTH($A864)+IF(AND(IFERROR(N(INDEX(Übersicht!$M$15:$M$22,MATCH($B864,Übersicht!$A$15:$A$22,0))),0)&gt;1,DAY($A864)&gt;=IFERROR(N(INDEX(Übersicht!$M$15:$M$22,MATCH($B864,Übersicht!$A$15:$A$22,0))),0)),1,0),1))</f>
        <v/>
      </c>
    </row>
    <row r="865">
      <c r="A865" s="92" t="n"/>
      <c r="B865" s="55" t="n"/>
      <c r="C865" s="55" t="n"/>
      <c r="D865" s="55" t="n"/>
      <c r="E865" s="93" t="n"/>
      <c r="F865" s="94" t="n"/>
      <c r="G865" s="94" t="n"/>
      <c r="H865" s="94" t="n"/>
      <c r="I865" s="94" t="n"/>
      <c r="J865" s="55" t="n"/>
      <c r="K865" s="95" t="n"/>
      <c r="L865" s="116">
        <f>IF($A865="","",DATE(YEAR($A865),MONTH($A865)+IF(AND(IFERROR(N(INDEX(Übersicht!$M$15:$M$22,MATCH($B865,Übersicht!$A$15:$A$22,0))),0)&gt;1,DAY($A865)&gt;=IFERROR(N(INDEX(Übersicht!$M$15:$M$22,MATCH($B865,Übersicht!$A$15:$A$22,0))),0)),1,0),1))</f>
        <v/>
      </c>
    </row>
    <row r="866">
      <c r="A866" s="92" t="n"/>
      <c r="B866" s="55" t="n"/>
      <c r="C866" s="55" t="n"/>
      <c r="D866" s="55" t="n"/>
      <c r="E866" s="93" t="n"/>
      <c r="F866" s="94" t="n"/>
      <c r="G866" s="94" t="n"/>
      <c r="H866" s="94" t="n"/>
      <c r="I866" s="94" t="n"/>
      <c r="J866" s="55" t="n"/>
      <c r="K866" s="95" t="n"/>
      <c r="L866" s="116">
        <f>IF($A866="","",DATE(YEAR($A866),MONTH($A866)+IF(AND(IFERROR(N(INDEX(Übersicht!$M$15:$M$22,MATCH($B866,Übersicht!$A$15:$A$22,0))),0)&gt;1,DAY($A866)&gt;=IFERROR(N(INDEX(Übersicht!$M$15:$M$22,MATCH($B866,Übersicht!$A$15:$A$22,0))),0)),1,0),1))</f>
        <v/>
      </c>
    </row>
    <row r="867">
      <c r="A867" s="92" t="n"/>
      <c r="B867" s="55" t="n"/>
      <c r="C867" s="55" t="n"/>
      <c r="D867" s="55" t="n"/>
      <c r="E867" s="93" t="n"/>
      <c r="F867" s="94" t="n"/>
      <c r="G867" s="94" t="n"/>
      <c r="H867" s="94" t="n"/>
      <c r="I867" s="94" t="n"/>
      <c r="J867" s="55" t="n"/>
      <c r="K867" s="95" t="n"/>
      <c r="L867" s="116">
        <f>IF($A867="","",DATE(YEAR($A867),MONTH($A867)+IF(AND(IFERROR(N(INDEX(Übersicht!$M$15:$M$22,MATCH($B867,Übersicht!$A$15:$A$22,0))),0)&gt;1,DAY($A867)&gt;=IFERROR(N(INDEX(Übersicht!$M$15:$M$22,MATCH($B867,Übersicht!$A$15:$A$22,0))),0)),1,0),1))</f>
        <v/>
      </c>
    </row>
    <row r="868">
      <c r="A868" s="92" t="n"/>
      <c r="B868" s="55" t="n"/>
      <c r="C868" s="55" t="n"/>
      <c r="D868" s="55" t="n"/>
      <c r="E868" s="93" t="n"/>
      <c r="F868" s="94" t="n"/>
      <c r="G868" s="94" t="n"/>
      <c r="H868" s="94" t="n"/>
      <c r="I868" s="94" t="n"/>
      <c r="J868" s="55" t="n"/>
      <c r="K868" s="95" t="n"/>
      <c r="L868" s="116">
        <f>IF($A868="","",DATE(YEAR($A868),MONTH($A868)+IF(AND(IFERROR(N(INDEX(Übersicht!$M$15:$M$22,MATCH($B868,Übersicht!$A$15:$A$22,0))),0)&gt;1,DAY($A868)&gt;=IFERROR(N(INDEX(Übersicht!$M$15:$M$22,MATCH($B868,Übersicht!$A$15:$A$22,0))),0)),1,0),1))</f>
        <v/>
      </c>
    </row>
    <row r="869">
      <c r="A869" s="92" t="n"/>
      <c r="B869" s="55" t="n"/>
      <c r="C869" s="55" t="n"/>
      <c r="D869" s="55" t="n"/>
      <c r="E869" s="93" t="n"/>
      <c r="F869" s="94" t="n"/>
      <c r="G869" s="94" t="n"/>
      <c r="H869" s="94" t="n"/>
      <c r="I869" s="94" t="n"/>
      <c r="J869" s="55" t="n"/>
      <c r="K869" s="95" t="n"/>
      <c r="L869" s="116">
        <f>IF($A869="","",DATE(YEAR($A869),MONTH($A869)+IF(AND(IFERROR(N(INDEX(Übersicht!$M$15:$M$22,MATCH($B869,Übersicht!$A$15:$A$22,0))),0)&gt;1,DAY($A869)&gt;=IFERROR(N(INDEX(Übersicht!$M$15:$M$22,MATCH($B869,Übersicht!$A$15:$A$22,0))),0)),1,0),1))</f>
        <v/>
      </c>
    </row>
    <row r="870">
      <c r="A870" s="92" t="n"/>
      <c r="B870" s="55" t="n"/>
      <c r="C870" s="55" t="n"/>
      <c r="D870" s="55" t="n"/>
      <c r="E870" s="93" t="n"/>
      <c r="F870" s="94" t="n"/>
      <c r="G870" s="94" t="n"/>
      <c r="H870" s="94" t="n"/>
      <c r="I870" s="94" t="n"/>
      <c r="J870" s="55" t="n"/>
      <c r="K870" s="95" t="n"/>
      <c r="L870" s="116">
        <f>IF($A870="","",DATE(YEAR($A870),MONTH($A870)+IF(AND(IFERROR(N(INDEX(Übersicht!$M$15:$M$22,MATCH($B870,Übersicht!$A$15:$A$22,0))),0)&gt;1,DAY($A870)&gt;=IFERROR(N(INDEX(Übersicht!$M$15:$M$22,MATCH($B870,Übersicht!$A$15:$A$22,0))),0)),1,0),1))</f>
        <v/>
      </c>
    </row>
    <row r="871">
      <c r="A871" s="92" t="n"/>
      <c r="B871" s="55" t="n"/>
      <c r="C871" s="55" t="n"/>
      <c r="D871" s="55" t="n"/>
      <c r="E871" s="93" t="n"/>
      <c r="F871" s="94" t="n"/>
      <c r="G871" s="94" t="n"/>
      <c r="H871" s="94" t="n"/>
      <c r="I871" s="94" t="n"/>
      <c r="J871" s="55" t="n"/>
      <c r="K871" s="95" t="n"/>
      <c r="L871" s="116">
        <f>IF($A871="","",DATE(YEAR($A871),MONTH($A871)+IF(AND(IFERROR(N(INDEX(Übersicht!$M$15:$M$22,MATCH($B871,Übersicht!$A$15:$A$22,0))),0)&gt;1,DAY($A871)&gt;=IFERROR(N(INDEX(Übersicht!$M$15:$M$22,MATCH($B871,Übersicht!$A$15:$A$22,0))),0)),1,0),1))</f>
        <v/>
      </c>
    </row>
    <row r="872">
      <c r="A872" s="92" t="n"/>
      <c r="B872" s="55" t="n"/>
      <c r="C872" s="55" t="n"/>
      <c r="D872" s="55" t="n"/>
      <c r="E872" s="93" t="n"/>
      <c r="F872" s="94" t="n"/>
      <c r="G872" s="94" t="n"/>
      <c r="H872" s="94" t="n"/>
      <c r="I872" s="94" t="n"/>
      <c r="J872" s="55" t="n"/>
      <c r="K872" s="95" t="n"/>
      <c r="L872" s="116">
        <f>IF($A872="","",DATE(YEAR($A872),MONTH($A872)+IF(AND(IFERROR(N(INDEX(Übersicht!$M$15:$M$22,MATCH($B872,Übersicht!$A$15:$A$22,0))),0)&gt;1,DAY($A872)&gt;=IFERROR(N(INDEX(Übersicht!$M$15:$M$22,MATCH($B872,Übersicht!$A$15:$A$22,0))),0)),1,0),1))</f>
        <v/>
      </c>
    </row>
    <row r="873">
      <c r="A873" s="92" t="n"/>
      <c r="B873" s="55" t="n"/>
      <c r="C873" s="55" t="n"/>
      <c r="D873" s="55" t="n"/>
      <c r="E873" s="93" t="n"/>
      <c r="F873" s="94" t="n"/>
      <c r="G873" s="94" t="n"/>
      <c r="H873" s="94" t="n"/>
      <c r="I873" s="94" t="n"/>
      <c r="J873" s="55" t="n"/>
      <c r="K873" s="95" t="n"/>
      <c r="L873" s="116">
        <f>IF($A873="","",DATE(YEAR($A873),MONTH($A873)+IF(AND(IFERROR(N(INDEX(Übersicht!$M$15:$M$22,MATCH($B873,Übersicht!$A$15:$A$22,0))),0)&gt;1,DAY($A873)&gt;=IFERROR(N(INDEX(Übersicht!$M$15:$M$22,MATCH($B873,Übersicht!$A$15:$A$22,0))),0)),1,0),1))</f>
        <v/>
      </c>
    </row>
    <row r="874">
      <c r="A874" s="92" t="n"/>
      <c r="B874" s="55" t="n"/>
      <c r="C874" s="55" t="n"/>
      <c r="D874" s="55" t="n"/>
      <c r="E874" s="93" t="n"/>
      <c r="F874" s="94" t="n"/>
      <c r="G874" s="94" t="n"/>
      <c r="H874" s="94" t="n"/>
      <c r="I874" s="94" t="n"/>
      <c r="J874" s="55" t="n"/>
      <c r="K874" s="95" t="n"/>
      <c r="L874" s="116">
        <f>IF($A874="","",DATE(YEAR($A874),MONTH($A874)+IF(AND(IFERROR(N(INDEX(Übersicht!$M$15:$M$22,MATCH($B874,Übersicht!$A$15:$A$22,0))),0)&gt;1,DAY($A874)&gt;=IFERROR(N(INDEX(Übersicht!$M$15:$M$22,MATCH($B874,Übersicht!$A$15:$A$22,0))),0)),1,0),1))</f>
        <v/>
      </c>
    </row>
    <row r="875">
      <c r="A875" s="92" t="n"/>
      <c r="B875" s="55" t="n"/>
      <c r="C875" s="55" t="n"/>
      <c r="D875" s="55" t="n"/>
      <c r="E875" s="93" t="n"/>
      <c r="F875" s="94" t="n"/>
      <c r="G875" s="94" t="n"/>
      <c r="H875" s="94" t="n"/>
      <c r="I875" s="94" t="n"/>
      <c r="J875" s="55" t="n"/>
      <c r="K875" s="95" t="n"/>
      <c r="L875" s="116">
        <f>IF($A875="","",DATE(YEAR($A875),MONTH($A875)+IF(AND(IFERROR(N(INDEX(Übersicht!$M$15:$M$22,MATCH($B875,Übersicht!$A$15:$A$22,0))),0)&gt;1,DAY($A875)&gt;=IFERROR(N(INDEX(Übersicht!$M$15:$M$22,MATCH($B875,Übersicht!$A$15:$A$22,0))),0)),1,0),1))</f>
        <v/>
      </c>
    </row>
    <row r="876">
      <c r="A876" s="92" t="n"/>
      <c r="B876" s="55" t="n"/>
      <c r="C876" s="55" t="n"/>
      <c r="D876" s="55" t="n"/>
      <c r="E876" s="93" t="n"/>
      <c r="F876" s="94" t="n"/>
      <c r="G876" s="94" t="n"/>
      <c r="H876" s="94" t="n"/>
      <c r="I876" s="94" t="n"/>
      <c r="J876" s="55" t="n"/>
      <c r="K876" s="95" t="n"/>
      <c r="L876" s="116">
        <f>IF($A876="","",DATE(YEAR($A876),MONTH($A876)+IF(AND(IFERROR(N(INDEX(Übersicht!$M$15:$M$22,MATCH($B876,Übersicht!$A$15:$A$22,0))),0)&gt;1,DAY($A876)&gt;=IFERROR(N(INDEX(Übersicht!$M$15:$M$22,MATCH($B876,Übersicht!$A$15:$A$22,0))),0)),1,0),1))</f>
        <v/>
      </c>
    </row>
    <row r="877">
      <c r="A877" s="92" t="n"/>
      <c r="B877" s="55" t="n"/>
      <c r="C877" s="55" t="n"/>
      <c r="D877" s="55" t="n"/>
      <c r="E877" s="93" t="n"/>
      <c r="F877" s="94" t="n"/>
      <c r="G877" s="94" t="n"/>
      <c r="H877" s="94" t="n"/>
      <c r="I877" s="94" t="n"/>
      <c r="J877" s="55" t="n"/>
      <c r="K877" s="95" t="n"/>
      <c r="L877" s="116">
        <f>IF($A877="","",DATE(YEAR($A877),MONTH($A877)+IF(AND(IFERROR(N(INDEX(Übersicht!$M$15:$M$22,MATCH($B877,Übersicht!$A$15:$A$22,0))),0)&gt;1,DAY($A877)&gt;=IFERROR(N(INDEX(Übersicht!$M$15:$M$22,MATCH($B877,Übersicht!$A$15:$A$22,0))),0)),1,0),1))</f>
        <v/>
      </c>
    </row>
    <row r="878">
      <c r="A878" s="92" t="n"/>
      <c r="B878" s="55" t="n"/>
      <c r="C878" s="55" t="n"/>
      <c r="D878" s="55" t="n"/>
      <c r="E878" s="93" t="n"/>
      <c r="F878" s="94" t="n"/>
      <c r="G878" s="94" t="n"/>
      <c r="H878" s="94" t="n"/>
      <c r="I878" s="94" t="n"/>
      <c r="J878" s="55" t="n"/>
      <c r="K878" s="95" t="n"/>
      <c r="L878" s="116">
        <f>IF($A878="","",DATE(YEAR($A878),MONTH($A878)+IF(AND(IFERROR(N(INDEX(Übersicht!$M$15:$M$22,MATCH($B878,Übersicht!$A$15:$A$22,0))),0)&gt;1,DAY($A878)&gt;=IFERROR(N(INDEX(Übersicht!$M$15:$M$22,MATCH($B878,Übersicht!$A$15:$A$22,0))),0)),1,0),1))</f>
        <v/>
      </c>
    </row>
    <row r="879">
      <c r="A879" s="92" t="n"/>
      <c r="B879" s="55" t="n"/>
      <c r="C879" s="55" t="n"/>
      <c r="D879" s="55" t="n"/>
      <c r="E879" s="93" t="n"/>
      <c r="F879" s="94" t="n"/>
      <c r="G879" s="94" t="n"/>
      <c r="H879" s="94" t="n"/>
      <c r="I879" s="94" t="n"/>
      <c r="J879" s="55" t="n"/>
      <c r="K879" s="95" t="n"/>
      <c r="L879" s="116">
        <f>IF($A879="","",DATE(YEAR($A879),MONTH($A879)+IF(AND(IFERROR(N(INDEX(Übersicht!$M$15:$M$22,MATCH($B879,Übersicht!$A$15:$A$22,0))),0)&gt;1,DAY($A879)&gt;=IFERROR(N(INDEX(Übersicht!$M$15:$M$22,MATCH($B879,Übersicht!$A$15:$A$22,0))),0)),1,0),1))</f>
        <v/>
      </c>
    </row>
    <row r="880">
      <c r="A880" s="92" t="n"/>
      <c r="B880" s="55" t="n"/>
      <c r="C880" s="55" t="n"/>
      <c r="D880" s="55" t="n"/>
      <c r="E880" s="93" t="n"/>
      <c r="F880" s="94" t="n"/>
      <c r="G880" s="94" t="n"/>
      <c r="H880" s="94" t="n"/>
      <c r="I880" s="94" t="n"/>
      <c r="J880" s="55" t="n"/>
      <c r="K880" s="95" t="n"/>
      <c r="L880" s="116">
        <f>IF($A880="","",DATE(YEAR($A880),MONTH($A880)+IF(AND(IFERROR(N(INDEX(Übersicht!$M$15:$M$22,MATCH($B880,Übersicht!$A$15:$A$22,0))),0)&gt;1,DAY($A880)&gt;=IFERROR(N(INDEX(Übersicht!$M$15:$M$22,MATCH($B880,Übersicht!$A$15:$A$22,0))),0)),1,0),1))</f>
        <v/>
      </c>
    </row>
    <row r="881">
      <c r="A881" s="92" t="n"/>
      <c r="B881" s="55" t="n"/>
      <c r="C881" s="55" t="n"/>
      <c r="D881" s="55" t="n"/>
      <c r="E881" s="93" t="n"/>
      <c r="F881" s="94" t="n"/>
      <c r="G881" s="94" t="n"/>
      <c r="H881" s="94" t="n"/>
      <c r="I881" s="94" t="n"/>
      <c r="J881" s="55" t="n"/>
      <c r="K881" s="95" t="n"/>
      <c r="L881" s="116">
        <f>IF($A881="","",DATE(YEAR($A881),MONTH($A881)+IF(AND(IFERROR(N(INDEX(Übersicht!$M$15:$M$22,MATCH($B881,Übersicht!$A$15:$A$22,0))),0)&gt;1,DAY($A881)&gt;=IFERROR(N(INDEX(Übersicht!$M$15:$M$22,MATCH($B881,Übersicht!$A$15:$A$22,0))),0)),1,0),1))</f>
        <v/>
      </c>
    </row>
    <row r="882">
      <c r="A882" s="92" t="n"/>
      <c r="B882" s="55" t="n"/>
      <c r="C882" s="55" t="n"/>
      <c r="D882" s="55" t="n"/>
      <c r="E882" s="93" t="n"/>
      <c r="F882" s="94" t="n"/>
      <c r="G882" s="94" t="n"/>
      <c r="H882" s="94" t="n"/>
      <c r="I882" s="94" t="n"/>
      <c r="J882" s="55" t="n"/>
      <c r="K882" s="95" t="n"/>
      <c r="L882" s="116">
        <f>IF($A882="","",DATE(YEAR($A882),MONTH($A882)+IF(AND(IFERROR(N(INDEX(Übersicht!$M$15:$M$22,MATCH($B882,Übersicht!$A$15:$A$22,0))),0)&gt;1,DAY($A882)&gt;=IFERROR(N(INDEX(Übersicht!$M$15:$M$22,MATCH($B882,Übersicht!$A$15:$A$22,0))),0)),1,0),1))</f>
        <v/>
      </c>
    </row>
    <row r="883">
      <c r="A883" s="92" t="n"/>
      <c r="B883" s="55" t="n"/>
      <c r="C883" s="55" t="n"/>
      <c r="D883" s="55" t="n"/>
      <c r="E883" s="93" t="n"/>
      <c r="F883" s="94" t="n"/>
      <c r="G883" s="94" t="n"/>
      <c r="H883" s="94" t="n"/>
      <c r="I883" s="94" t="n"/>
      <c r="J883" s="55" t="n"/>
      <c r="K883" s="95" t="n"/>
      <c r="L883" s="116">
        <f>IF($A883="","",DATE(YEAR($A883),MONTH($A883)+IF(AND(IFERROR(N(INDEX(Übersicht!$M$15:$M$22,MATCH($B883,Übersicht!$A$15:$A$22,0))),0)&gt;1,DAY($A883)&gt;=IFERROR(N(INDEX(Übersicht!$M$15:$M$22,MATCH($B883,Übersicht!$A$15:$A$22,0))),0)),1,0),1))</f>
        <v/>
      </c>
    </row>
    <row r="884">
      <c r="A884" s="92" t="n"/>
      <c r="B884" s="55" t="n"/>
      <c r="C884" s="55" t="n"/>
      <c r="D884" s="55" t="n"/>
      <c r="E884" s="93" t="n"/>
      <c r="F884" s="94" t="n"/>
      <c r="G884" s="94" t="n"/>
      <c r="H884" s="94" t="n"/>
      <c r="I884" s="94" t="n"/>
      <c r="J884" s="55" t="n"/>
      <c r="K884" s="95" t="n"/>
      <c r="L884" s="116">
        <f>IF($A884="","",DATE(YEAR($A884),MONTH($A884)+IF(AND(IFERROR(N(INDEX(Übersicht!$M$15:$M$22,MATCH($B884,Übersicht!$A$15:$A$22,0))),0)&gt;1,DAY($A884)&gt;=IFERROR(N(INDEX(Übersicht!$M$15:$M$22,MATCH($B884,Übersicht!$A$15:$A$22,0))),0)),1,0),1))</f>
        <v/>
      </c>
    </row>
    <row r="885">
      <c r="A885" s="92" t="n"/>
      <c r="B885" s="55" t="n"/>
      <c r="C885" s="55" t="n"/>
      <c r="D885" s="55" t="n"/>
      <c r="E885" s="93" t="n"/>
      <c r="F885" s="94" t="n"/>
      <c r="G885" s="94" t="n"/>
      <c r="H885" s="94" t="n"/>
      <c r="I885" s="94" t="n"/>
      <c r="J885" s="55" t="n"/>
      <c r="K885" s="95" t="n"/>
      <c r="L885" s="116">
        <f>IF($A885="","",DATE(YEAR($A885),MONTH($A885)+IF(AND(IFERROR(N(INDEX(Übersicht!$M$15:$M$22,MATCH($B885,Übersicht!$A$15:$A$22,0))),0)&gt;1,DAY($A885)&gt;=IFERROR(N(INDEX(Übersicht!$M$15:$M$22,MATCH($B885,Übersicht!$A$15:$A$22,0))),0)),1,0),1))</f>
        <v/>
      </c>
    </row>
    <row r="886">
      <c r="A886" s="92" t="n"/>
      <c r="B886" s="55" t="n"/>
      <c r="C886" s="55" t="n"/>
      <c r="D886" s="55" t="n"/>
      <c r="E886" s="93" t="n"/>
      <c r="F886" s="94" t="n"/>
      <c r="G886" s="94" t="n"/>
      <c r="H886" s="94" t="n"/>
      <c r="I886" s="94" t="n"/>
      <c r="J886" s="55" t="n"/>
      <c r="K886" s="95" t="n"/>
      <c r="L886" s="116">
        <f>IF($A886="","",DATE(YEAR($A886),MONTH($A886)+IF(AND(IFERROR(N(INDEX(Übersicht!$M$15:$M$22,MATCH($B886,Übersicht!$A$15:$A$22,0))),0)&gt;1,DAY($A886)&gt;=IFERROR(N(INDEX(Übersicht!$M$15:$M$22,MATCH($B886,Übersicht!$A$15:$A$22,0))),0)),1,0),1))</f>
        <v/>
      </c>
    </row>
    <row r="887">
      <c r="A887" s="92" t="n"/>
      <c r="B887" s="55" t="n"/>
      <c r="C887" s="55" t="n"/>
      <c r="D887" s="55" t="n"/>
      <c r="E887" s="93" t="n"/>
      <c r="F887" s="94" t="n"/>
      <c r="G887" s="94" t="n"/>
      <c r="H887" s="94" t="n"/>
      <c r="I887" s="94" t="n"/>
      <c r="J887" s="55" t="n"/>
      <c r="K887" s="95" t="n"/>
      <c r="L887" s="116">
        <f>IF($A887="","",DATE(YEAR($A887),MONTH($A887)+IF(AND(IFERROR(N(INDEX(Übersicht!$M$15:$M$22,MATCH($B887,Übersicht!$A$15:$A$22,0))),0)&gt;1,DAY($A887)&gt;=IFERROR(N(INDEX(Übersicht!$M$15:$M$22,MATCH($B887,Übersicht!$A$15:$A$22,0))),0)),1,0),1))</f>
        <v/>
      </c>
    </row>
    <row r="888">
      <c r="A888" s="92" t="n"/>
      <c r="B888" s="55" t="n"/>
      <c r="C888" s="55" t="n"/>
      <c r="D888" s="55" t="n"/>
      <c r="E888" s="93" t="n"/>
      <c r="F888" s="94" t="n"/>
      <c r="G888" s="94" t="n"/>
      <c r="H888" s="94" t="n"/>
      <c r="I888" s="94" t="n"/>
      <c r="J888" s="55" t="n"/>
      <c r="K888" s="95" t="n"/>
      <c r="L888" s="116">
        <f>IF($A888="","",DATE(YEAR($A888),MONTH($A888)+IF(AND(IFERROR(N(INDEX(Übersicht!$M$15:$M$22,MATCH($B888,Übersicht!$A$15:$A$22,0))),0)&gt;1,DAY($A888)&gt;=IFERROR(N(INDEX(Übersicht!$M$15:$M$22,MATCH($B888,Übersicht!$A$15:$A$22,0))),0)),1,0),1))</f>
        <v/>
      </c>
    </row>
    <row r="889">
      <c r="A889" s="92" t="n"/>
      <c r="B889" s="55" t="n"/>
      <c r="C889" s="55" t="n"/>
      <c r="D889" s="55" t="n"/>
      <c r="E889" s="93" t="n"/>
      <c r="F889" s="94" t="n"/>
      <c r="G889" s="94" t="n"/>
      <c r="H889" s="94" t="n"/>
      <c r="I889" s="94" t="n"/>
      <c r="J889" s="55" t="n"/>
      <c r="K889" s="95" t="n"/>
      <c r="L889" s="116">
        <f>IF($A889="","",DATE(YEAR($A889),MONTH($A889)+IF(AND(IFERROR(N(INDEX(Übersicht!$M$15:$M$22,MATCH($B889,Übersicht!$A$15:$A$22,0))),0)&gt;1,DAY($A889)&gt;=IFERROR(N(INDEX(Übersicht!$M$15:$M$22,MATCH($B889,Übersicht!$A$15:$A$22,0))),0)),1,0),1))</f>
        <v/>
      </c>
    </row>
    <row r="890">
      <c r="A890" s="92" t="n"/>
      <c r="B890" s="55" t="n"/>
      <c r="C890" s="55" t="n"/>
      <c r="D890" s="55" t="n"/>
      <c r="E890" s="93" t="n"/>
      <c r="F890" s="94" t="n"/>
      <c r="G890" s="94" t="n"/>
      <c r="H890" s="94" t="n"/>
      <c r="I890" s="94" t="n"/>
      <c r="J890" s="55" t="n"/>
      <c r="K890" s="95" t="n"/>
      <c r="L890" s="116">
        <f>IF($A890="","",DATE(YEAR($A890),MONTH($A890)+IF(AND(IFERROR(N(INDEX(Übersicht!$M$15:$M$22,MATCH($B890,Übersicht!$A$15:$A$22,0))),0)&gt;1,DAY($A890)&gt;=IFERROR(N(INDEX(Übersicht!$M$15:$M$22,MATCH($B890,Übersicht!$A$15:$A$22,0))),0)),1,0),1))</f>
        <v/>
      </c>
    </row>
    <row r="891">
      <c r="A891" s="92" t="n"/>
      <c r="B891" s="55" t="n"/>
      <c r="C891" s="55" t="n"/>
      <c r="D891" s="55" t="n"/>
      <c r="E891" s="93" t="n"/>
      <c r="F891" s="94" t="n"/>
      <c r="G891" s="94" t="n"/>
      <c r="H891" s="94" t="n"/>
      <c r="I891" s="94" t="n"/>
      <c r="J891" s="55" t="n"/>
      <c r="K891" s="95" t="n"/>
      <c r="L891" s="116">
        <f>IF($A891="","",DATE(YEAR($A891),MONTH($A891)+IF(AND(IFERROR(N(INDEX(Übersicht!$M$15:$M$22,MATCH($B891,Übersicht!$A$15:$A$22,0))),0)&gt;1,DAY($A891)&gt;=IFERROR(N(INDEX(Übersicht!$M$15:$M$22,MATCH($B891,Übersicht!$A$15:$A$22,0))),0)),1,0),1))</f>
        <v/>
      </c>
    </row>
    <row r="892">
      <c r="A892" s="92" t="n"/>
      <c r="B892" s="55" t="n"/>
      <c r="C892" s="55" t="n"/>
      <c r="D892" s="55" t="n"/>
      <c r="E892" s="93" t="n"/>
      <c r="F892" s="94" t="n"/>
      <c r="G892" s="94" t="n"/>
      <c r="H892" s="94" t="n"/>
      <c r="I892" s="94" t="n"/>
      <c r="J892" s="55" t="n"/>
      <c r="K892" s="95" t="n"/>
      <c r="L892" s="116">
        <f>IF($A892="","",DATE(YEAR($A892),MONTH($A892)+IF(AND(IFERROR(N(INDEX(Übersicht!$M$15:$M$22,MATCH($B892,Übersicht!$A$15:$A$22,0))),0)&gt;1,DAY($A892)&gt;=IFERROR(N(INDEX(Übersicht!$M$15:$M$22,MATCH($B892,Übersicht!$A$15:$A$22,0))),0)),1,0),1))</f>
        <v/>
      </c>
    </row>
    <row r="893">
      <c r="A893" s="92" t="n"/>
      <c r="B893" s="55" t="n"/>
      <c r="C893" s="55" t="n"/>
      <c r="D893" s="55" t="n"/>
      <c r="E893" s="93" t="n"/>
      <c r="F893" s="94" t="n"/>
      <c r="G893" s="94" t="n"/>
      <c r="H893" s="94" t="n"/>
      <c r="I893" s="94" t="n"/>
      <c r="J893" s="55" t="n"/>
      <c r="K893" s="95" t="n"/>
      <c r="L893" s="116">
        <f>IF($A893="","",DATE(YEAR($A893),MONTH($A893)+IF(AND(IFERROR(N(INDEX(Übersicht!$M$15:$M$22,MATCH($B893,Übersicht!$A$15:$A$22,0))),0)&gt;1,DAY($A893)&gt;=IFERROR(N(INDEX(Übersicht!$M$15:$M$22,MATCH($B893,Übersicht!$A$15:$A$22,0))),0)),1,0),1))</f>
        <v/>
      </c>
    </row>
    <row r="894">
      <c r="A894" s="92" t="n"/>
      <c r="B894" s="55" t="n"/>
      <c r="C894" s="55" t="n"/>
      <c r="D894" s="55" t="n"/>
      <c r="E894" s="93" t="n"/>
      <c r="F894" s="94" t="n"/>
      <c r="G894" s="94" t="n"/>
      <c r="H894" s="94" t="n"/>
      <c r="I894" s="94" t="n"/>
      <c r="J894" s="55" t="n"/>
      <c r="K894" s="95" t="n"/>
      <c r="L894" s="116">
        <f>IF($A894="","",DATE(YEAR($A894),MONTH($A894)+IF(AND(IFERROR(N(INDEX(Übersicht!$M$15:$M$22,MATCH($B894,Übersicht!$A$15:$A$22,0))),0)&gt;1,DAY($A894)&gt;=IFERROR(N(INDEX(Übersicht!$M$15:$M$22,MATCH($B894,Übersicht!$A$15:$A$22,0))),0)),1,0),1))</f>
        <v/>
      </c>
    </row>
    <row r="895">
      <c r="A895" s="92" t="n"/>
      <c r="B895" s="55" t="n"/>
      <c r="C895" s="55" t="n"/>
      <c r="D895" s="55" t="n"/>
      <c r="E895" s="93" t="n"/>
      <c r="F895" s="94" t="n"/>
      <c r="G895" s="94" t="n"/>
      <c r="H895" s="94" t="n"/>
      <c r="I895" s="94" t="n"/>
      <c r="J895" s="55" t="n"/>
      <c r="K895" s="95" t="n"/>
      <c r="L895" s="116">
        <f>IF($A895="","",DATE(YEAR($A895),MONTH($A895)+IF(AND(IFERROR(N(INDEX(Übersicht!$M$15:$M$22,MATCH($B895,Übersicht!$A$15:$A$22,0))),0)&gt;1,DAY($A895)&gt;=IFERROR(N(INDEX(Übersicht!$M$15:$M$22,MATCH($B895,Übersicht!$A$15:$A$22,0))),0)),1,0),1))</f>
        <v/>
      </c>
    </row>
    <row r="896">
      <c r="A896" s="92" t="n"/>
      <c r="B896" s="55" t="n"/>
      <c r="C896" s="55" t="n"/>
      <c r="D896" s="55" t="n"/>
      <c r="E896" s="93" t="n"/>
      <c r="F896" s="94" t="n"/>
      <c r="G896" s="94" t="n"/>
      <c r="H896" s="94" t="n"/>
      <c r="I896" s="94" t="n"/>
      <c r="J896" s="55" t="n"/>
      <c r="K896" s="95" t="n"/>
      <c r="L896" s="116">
        <f>IF($A896="","",DATE(YEAR($A896),MONTH($A896)+IF(AND(IFERROR(N(INDEX(Übersicht!$M$15:$M$22,MATCH($B896,Übersicht!$A$15:$A$22,0))),0)&gt;1,DAY($A896)&gt;=IFERROR(N(INDEX(Übersicht!$M$15:$M$22,MATCH($B896,Übersicht!$A$15:$A$22,0))),0)),1,0),1))</f>
        <v/>
      </c>
    </row>
    <row r="897">
      <c r="A897" s="92" t="n"/>
      <c r="B897" s="55" t="n"/>
      <c r="C897" s="55" t="n"/>
      <c r="D897" s="55" t="n"/>
      <c r="E897" s="93" t="n"/>
      <c r="F897" s="94" t="n"/>
      <c r="G897" s="94" t="n"/>
      <c r="H897" s="94" t="n"/>
      <c r="I897" s="94" t="n"/>
      <c r="J897" s="55" t="n"/>
      <c r="K897" s="95" t="n"/>
      <c r="L897" s="116">
        <f>IF($A897="","",DATE(YEAR($A897),MONTH($A897)+IF(AND(IFERROR(N(INDEX(Übersicht!$M$15:$M$22,MATCH($B897,Übersicht!$A$15:$A$22,0))),0)&gt;1,DAY($A897)&gt;=IFERROR(N(INDEX(Übersicht!$M$15:$M$22,MATCH($B897,Übersicht!$A$15:$A$22,0))),0)),1,0),1))</f>
        <v/>
      </c>
    </row>
    <row r="898">
      <c r="A898" s="92" t="n"/>
      <c r="B898" s="55" t="n"/>
      <c r="C898" s="55" t="n"/>
      <c r="D898" s="55" t="n"/>
      <c r="E898" s="93" t="n"/>
      <c r="F898" s="94" t="n"/>
      <c r="G898" s="94" t="n"/>
      <c r="H898" s="94" t="n"/>
      <c r="I898" s="94" t="n"/>
      <c r="J898" s="55" t="n"/>
      <c r="K898" s="95" t="n"/>
      <c r="L898" s="116">
        <f>IF($A898="","",DATE(YEAR($A898),MONTH($A898)+IF(AND(IFERROR(N(INDEX(Übersicht!$M$15:$M$22,MATCH($B898,Übersicht!$A$15:$A$22,0))),0)&gt;1,DAY($A898)&gt;=IFERROR(N(INDEX(Übersicht!$M$15:$M$22,MATCH($B898,Übersicht!$A$15:$A$22,0))),0)),1,0),1))</f>
        <v/>
      </c>
    </row>
    <row r="899">
      <c r="A899" s="92" t="n"/>
      <c r="B899" s="55" t="n"/>
      <c r="C899" s="55" t="n"/>
      <c r="D899" s="55" t="n"/>
      <c r="E899" s="93" t="n"/>
      <c r="F899" s="94" t="n"/>
      <c r="G899" s="94" t="n"/>
      <c r="H899" s="94" t="n"/>
      <c r="I899" s="94" t="n"/>
      <c r="J899" s="55" t="n"/>
      <c r="K899" s="95" t="n"/>
      <c r="L899" s="116">
        <f>IF($A899="","",DATE(YEAR($A899),MONTH($A899)+IF(AND(IFERROR(N(INDEX(Übersicht!$M$15:$M$22,MATCH($B899,Übersicht!$A$15:$A$22,0))),0)&gt;1,DAY($A899)&gt;=IFERROR(N(INDEX(Übersicht!$M$15:$M$22,MATCH($B899,Übersicht!$A$15:$A$22,0))),0)),1,0),1))</f>
        <v/>
      </c>
    </row>
    <row r="900">
      <c r="A900" s="92" t="n"/>
      <c r="B900" s="55" t="n"/>
      <c r="C900" s="55" t="n"/>
      <c r="D900" s="55" t="n"/>
      <c r="E900" s="93" t="n"/>
      <c r="F900" s="94" t="n"/>
      <c r="G900" s="94" t="n"/>
      <c r="H900" s="94" t="n"/>
      <c r="I900" s="94" t="n"/>
      <c r="J900" s="55" t="n"/>
      <c r="K900" s="95" t="n"/>
      <c r="L900" s="116">
        <f>IF($A900="","",DATE(YEAR($A900),MONTH($A900)+IF(AND(IFERROR(N(INDEX(Übersicht!$M$15:$M$22,MATCH($B900,Übersicht!$A$15:$A$22,0))),0)&gt;1,DAY($A900)&gt;=IFERROR(N(INDEX(Übersicht!$M$15:$M$22,MATCH($B900,Übersicht!$A$15:$A$22,0))),0)),1,0),1))</f>
        <v/>
      </c>
    </row>
    <row r="901">
      <c r="A901" s="92" t="n"/>
      <c r="B901" s="55" t="n"/>
      <c r="C901" s="55" t="n"/>
      <c r="D901" s="55" t="n"/>
      <c r="E901" s="93" t="n"/>
      <c r="F901" s="94" t="n"/>
      <c r="G901" s="94" t="n"/>
      <c r="H901" s="94" t="n"/>
      <c r="I901" s="94" t="n"/>
      <c r="J901" s="55" t="n"/>
      <c r="K901" s="95" t="n"/>
      <c r="L901" s="116">
        <f>IF($A901="","",DATE(YEAR($A901),MONTH($A901)+IF(AND(IFERROR(N(INDEX(Übersicht!$M$15:$M$22,MATCH($B901,Übersicht!$A$15:$A$22,0))),0)&gt;1,DAY($A901)&gt;=IFERROR(N(INDEX(Übersicht!$M$15:$M$22,MATCH($B901,Übersicht!$A$15:$A$22,0))),0)),1,0),1))</f>
        <v/>
      </c>
    </row>
    <row r="902">
      <c r="A902" s="92" t="n"/>
      <c r="B902" s="55" t="n"/>
      <c r="C902" s="55" t="n"/>
      <c r="D902" s="55" t="n"/>
      <c r="E902" s="93" t="n"/>
      <c r="F902" s="94" t="n"/>
      <c r="G902" s="94" t="n"/>
      <c r="H902" s="94" t="n"/>
      <c r="I902" s="94" t="n"/>
      <c r="J902" s="55" t="n"/>
      <c r="K902" s="95" t="n"/>
      <c r="L902" s="116">
        <f>IF($A902="","",DATE(YEAR($A902),MONTH($A902)+IF(AND(IFERROR(N(INDEX(Übersicht!$M$15:$M$22,MATCH($B902,Übersicht!$A$15:$A$22,0))),0)&gt;1,DAY($A902)&gt;=IFERROR(N(INDEX(Übersicht!$M$15:$M$22,MATCH($B902,Übersicht!$A$15:$A$22,0))),0)),1,0),1))</f>
        <v/>
      </c>
    </row>
    <row r="903">
      <c r="A903" s="92" t="n"/>
      <c r="B903" s="55" t="n"/>
      <c r="C903" s="55" t="n"/>
      <c r="D903" s="55" t="n"/>
      <c r="E903" s="93" t="n"/>
      <c r="F903" s="94" t="n"/>
      <c r="G903" s="94" t="n"/>
      <c r="H903" s="94" t="n"/>
      <c r="I903" s="94" t="n"/>
      <c r="J903" s="55" t="n"/>
      <c r="K903" s="95" t="n"/>
      <c r="L903" s="116">
        <f>IF($A903="","",DATE(YEAR($A903),MONTH($A903)+IF(AND(IFERROR(N(INDEX(Übersicht!$M$15:$M$22,MATCH($B903,Übersicht!$A$15:$A$22,0))),0)&gt;1,DAY($A903)&gt;=IFERROR(N(INDEX(Übersicht!$M$15:$M$22,MATCH($B903,Übersicht!$A$15:$A$22,0))),0)),1,0),1))</f>
        <v/>
      </c>
    </row>
    <row r="904">
      <c r="A904" s="92" t="n"/>
      <c r="B904" s="55" t="n"/>
      <c r="C904" s="55" t="n"/>
      <c r="D904" s="55" t="n"/>
      <c r="E904" s="93" t="n"/>
      <c r="F904" s="94" t="n"/>
      <c r="G904" s="94" t="n"/>
      <c r="H904" s="94" t="n"/>
      <c r="I904" s="94" t="n"/>
      <c r="J904" s="55" t="n"/>
      <c r="K904" s="95" t="n"/>
      <c r="L904" s="116">
        <f>IF($A904="","",DATE(YEAR($A904),MONTH($A904)+IF(AND(IFERROR(N(INDEX(Übersicht!$M$15:$M$22,MATCH($B904,Übersicht!$A$15:$A$22,0))),0)&gt;1,DAY($A904)&gt;=IFERROR(N(INDEX(Übersicht!$M$15:$M$22,MATCH($B904,Übersicht!$A$15:$A$22,0))),0)),1,0),1))</f>
        <v/>
      </c>
    </row>
    <row r="905">
      <c r="A905" s="92" t="n"/>
      <c r="B905" s="55" t="n"/>
      <c r="C905" s="55" t="n"/>
      <c r="D905" s="55" t="n"/>
      <c r="E905" s="93" t="n"/>
      <c r="F905" s="94" t="n"/>
      <c r="G905" s="94" t="n"/>
      <c r="H905" s="94" t="n"/>
      <c r="I905" s="94" t="n"/>
      <c r="J905" s="55" t="n"/>
      <c r="K905" s="95" t="n"/>
      <c r="L905" s="116">
        <f>IF($A905="","",DATE(YEAR($A905),MONTH($A905)+IF(AND(IFERROR(N(INDEX(Übersicht!$M$15:$M$22,MATCH($B905,Übersicht!$A$15:$A$22,0))),0)&gt;1,DAY($A905)&gt;=IFERROR(N(INDEX(Übersicht!$M$15:$M$22,MATCH($B905,Übersicht!$A$15:$A$22,0))),0)),1,0),1))</f>
        <v/>
      </c>
    </row>
    <row r="906">
      <c r="A906" s="92" t="n"/>
      <c r="B906" s="55" t="n"/>
      <c r="C906" s="55" t="n"/>
      <c r="D906" s="55" t="n"/>
      <c r="E906" s="93" t="n"/>
      <c r="F906" s="94" t="n"/>
      <c r="G906" s="94" t="n"/>
      <c r="H906" s="94" t="n"/>
      <c r="I906" s="94" t="n"/>
      <c r="J906" s="55" t="n"/>
      <c r="K906" s="95" t="n"/>
      <c r="L906" s="116">
        <f>IF($A906="","",DATE(YEAR($A906),MONTH($A906)+IF(AND(IFERROR(N(INDEX(Übersicht!$M$15:$M$22,MATCH($B906,Übersicht!$A$15:$A$22,0))),0)&gt;1,DAY($A906)&gt;=IFERROR(N(INDEX(Übersicht!$M$15:$M$22,MATCH($B906,Übersicht!$A$15:$A$22,0))),0)),1,0),1))</f>
        <v/>
      </c>
    </row>
    <row r="907">
      <c r="A907" s="92" t="n"/>
      <c r="B907" s="55" t="n"/>
      <c r="C907" s="55" t="n"/>
      <c r="D907" s="55" t="n"/>
      <c r="E907" s="93" t="n"/>
      <c r="F907" s="94" t="n"/>
      <c r="G907" s="94" t="n"/>
      <c r="H907" s="94" t="n"/>
      <c r="I907" s="94" t="n"/>
      <c r="J907" s="55" t="n"/>
      <c r="K907" s="95" t="n"/>
      <c r="L907" s="116">
        <f>IF($A907="","",DATE(YEAR($A907),MONTH($A907)+IF(AND(IFERROR(N(INDEX(Übersicht!$M$15:$M$22,MATCH($B907,Übersicht!$A$15:$A$22,0))),0)&gt;1,DAY($A907)&gt;=IFERROR(N(INDEX(Übersicht!$M$15:$M$22,MATCH($B907,Übersicht!$A$15:$A$22,0))),0)),1,0),1))</f>
        <v/>
      </c>
    </row>
    <row r="908">
      <c r="A908" s="92" t="n"/>
      <c r="B908" s="55" t="n"/>
      <c r="C908" s="55" t="n"/>
      <c r="D908" s="55" t="n"/>
      <c r="E908" s="93" t="n"/>
      <c r="F908" s="94" t="n"/>
      <c r="G908" s="94" t="n"/>
      <c r="H908" s="94" t="n"/>
      <c r="I908" s="94" t="n"/>
      <c r="J908" s="55" t="n"/>
      <c r="K908" s="95" t="n"/>
      <c r="L908" s="116">
        <f>IF($A908="","",DATE(YEAR($A908),MONTH($A908)+IF(AND(IFERROR(N(INDEX(Übersicht!$M$15:$M$22,MATCH($B908,Übersicht!$A$15:$A$22,0))),0)&gt;1,DAY($A908)&gt;=IFERROR(N(INDEX(Übersicht!$M$15:$M$22,MATCH($B908,Übersicht!$A$15:$A$22,0))),0)),1,0),1))</f>
        <v/>
      </c>
    </row>
    <row r="909">
      <c r="A909" s="92" t="n"/>
      <c r="B909" s="55" t="n"/>
      <c r="C909" s="55" t="n"/>
      <c r="D909" s="55" t="n"/>
      <c r="E909" s="93" t="n"/>
      <c r="F909" s="94" t="n"/>
      <c r="G909" s="94" t="n"/>
      <c r="H909" s="94" t="n"/>
      <c r="I909" s="94" t="n"/>
      <c r="J909" s="55" t="n"/>
      <c r="K909" s="95" t="n"/>
      <c r="L909" s="116">
        <f>IF($A909="","",DATE(YEAR($A909),MONTH($A909)+IF(AND(IFERROR(N(INDEX(Übersicht!$M$15:$M$22,MATCH($B909,Übersicht!$A$15:$A$22,0))),0)&gt;1,DAY($A909)&gt;=IFERROR(N(INDEX(Übersicht!$M$15:$M$22,MATCH($B909,Übersicht!$A$15:$A$22,0))),0)),1,0),1))</f>
        <v/>
      </c>
    </row>
    <row r="910">
      <c r="A910" s="92" t="n"/>
      <c r="B910" s="55" t="n"/>
      <c r="C910" s="55" t="n"/>
      <c r="D910" s="55" t="n"/>
      <c r="E910" s="93" t="n"/>
      <c r="F910" s="94" t="n"/>
      <c r="G910" s="94" t="n"/>
      <c r="H910" s="94" t="n"/>
      <c r="I910" s="94" t="n"/>
      <c r="J910" s="55" t="n"/>
      <c r="K910" s="95" t="n"/>
      <c r="L910" s="116">
        <f>IF($A910="","",DATE(YEAR($A910),MONTH($A910)+IF(AND(IFERROR(N(INDEX(Übersicht!$M$15:$M$22,MATCH($B910,Übersicht!$A$15:$A$22,0))),0)&gt;1,DAY($A910)&gt;=IFERROR(N(INDEX(Übersicht!$M$15:$M$22,MATCH($B910,Übersicht!$A$15:$A$22,0))),0)),1,0),1))</f>
        <v/>
      </c>
    </row>
    <row r="911">
      <c r="A911" s="92" t="n"/>
      <c r="B911" s="55" t="n"/>
      <c r="C911" s="55" t="n"/>
      <c r="D911" s="55" t="n"/>
      <c r="E911" s="93" t="n"/>
      <c r="F911" s="94" t="n"/>
      <c r="G911" s="94" t="n"/>
      <c r="H911" s="94" t="n"/>
      <c r="I911" s="94" t="n"/>
      <c r="J911" s="55" t="n"/>
      <c r="K911" s="95" t="n"/>
      <c r="L911" s="116">
        <f>IF($A911="","",DATE(YEAR($A911),MONTH($A911)+IF(AND(IFERROR(N(INDEX(Übersicht!$M$15:$M$22,MATCH($B911,Übersicht!$A$15:$A$22,0))),0)&gt;1,DAY($A911)&gt;=IFERROR(N(INDEX(Übersicht!$M$15:$M$22,MATCH($B911,Übersicht!$A$15:$A$22,0))),0)),1,0),1))</f>
        <v/>
      </c>
    </row>
    <row r="912">
      <c r="A912" s="92" t="n"/>
      <c r="B912" s="55" t="n"/>
      <c r="C912" s="55" t="n"/>
      <c r="D912" s="55" t="n"/>
      <c r="E912" s="93" t="n"/>
      <c r="F912" s="94" t="n"/>
      <c r="G912" s="94" t="n"/>
      <c r="H912" s="94" t="n"/>
      <c r="I912" s="94" t="n"/>
      <c r="J912" s="55" t="n"/>
      <c r="K912" s="95" t="n"/>
      <c r="L912" s="116">
        <f>IF($A912="","",DATE(YEAR($A912),MONTH($A912)+IF(AND(IFERROR(N(INDEX(Übersicht!$M$15:$M$22,MATCH($B912,Übersicht!$A$15:$A$22,0))),0)&gt;1,DAY($A912)&gt;=IFERROR(N(INDEX(Übersicht!$M$15:$M$22,MATCH($B912,Übersicht!$A$15:$A$22,0))),0)),1,0),1))</f>
        <v/>
      </c>
    </row>
    <row r="913">
      <c r="A913" s="92" t="n"/>
      <c r="B913" s="55" t="n"/>
      <c r="C913" s="55" t="n"/>
      <c r="D913" s="55" t="n"/>
      <c r="E913" s="93" t="n"/>
      <c r="F913" s="94" t="n"/>
      <c r="G913" s="94" t="n"/>
      <c r="H913" s="94" t="n"/>
      <c r="I913" s="94" t="n"/>
      <c r="J913" s="55" t="n"/>
      <c r="K913" s="95" t="n"/>
      <c r="L913" s="116">
        <f>IF($A913="","",DATE(YEAR($A913),MONTH($A913)+IF(AND(IFERROR(N(INDEX(Übersicht!$M$15:$M$22,MATCH($B913,Übersicht!$A$15:$A$22,0))),0)&gt;1,DAY($A913)&gt;=IFERROR(N(INDEX(Übersicht!$M$15:$M$22,MATCH($B913,Übersicht!$A$15:$A$22,0))),0)),1,0),1))</f>
        <v/>
      </c>
    </row>
    <row r="914">
      <c r="A914" s="92" t="n"/>
      <c r="B914" s="55" t="n"/>
      <c r="C914" s="55" t="n"/>
      <c r="D914" s="55" t="n"/>
      <c r="E914" s="93" t="n"/>
      <c r="F914" s="94" t="n"/>
      <c r="G914" s="94" t="n"/>
      <c r="H914" s="94" t="n"/>
      <c r="I914" s="94" t="n"/>
      <c r="J914" s="55" t="n"/>
      <c r="K914" s="95" t="n"/>
      <c r="L914" s="116">
        <f>IF($A914="","",DATE(YEAR($A914),MONTH($A914)+IF(AND(IFERROR(N(INDEX(Übersicht!$M$15:$M$22,MATCH($B914,Übersicht!$A$15:$A$22,0))),0)&gt;1,DAY($A914)&gt;=IFERROR(N(INDEX(Übersicht!$M$15:$M$22,MATCH($B914,Übersicht!$A$15:$A$22,0))),0)),1,0),1))</f>
        <v/>
      </c>
    </row>
    <row r="915">
      <c r="A915" s="92" t="n"/>
      <c r="B915" s="55" t="n"/>
      <c r="C915" s="55" t="n"/>
      <c r="D915" s="55" t="n"/>
      <c r="E915" s="93" t="n"/>
      <c r="F915" s="94" t="n"/>
      <c r="G915" s="94" t="n"/>
      <c r="H915" s="94" t="n"/>
      <c r="I915" s="94" t="n"/>
      <c r="J915" s="55" t="n"/>
      <c r="K915" s="95" t="n"/>
      <c r="L915" s="116">
        <f>IF($A915="","",DATE(YEAR($A915),MONTH($A915)+IF(AND(IFERROR(N(INDEX(Übersicht!$M$15:$M$22,MATCH($B915,Übersicht!$A$15:$A$22,0))),0)&gt;1,DAY($A915)&gt;=IFERROR(N(INDEX(Übersicht!$M$15:$M$22,MATCH($B915,Übersicht!$A$15:$A$22,0))),0)),1,0),1))</f>
        <v/>
      </c>
    </row>
    <row r="916">
      <c r="A916" s="92" t="n"/>
      <c r="B916" s="55" t="n"/>
      <c r="C916" s="55" t="n"/>
      <c r="D916" s="55" t="n"/>
      <c r="E916" s="93" t="n"/>
      <c r="F916" s="94" t="n"/>
      <c r="G916" s="94" t="n"/>
      <c r="H916" s="94" t="n"/>
      <c r="I916" s="94" t="n"/>
      <c r="J916" s="55" t="n"/>
      <c r="K916" s="95" t="n"/>
      <c r="L916" s="116">
        <f>IF($A916="","",DATE(YEAR($A916),MONTH($A916)+IF(AND(IFERROR(N(INDEX(Übersicht!$M$15:$M$22,MATCH($B916,Übersicht!$A$15:$A$22,0))),0)&gt;1,DAY($A916)&gt;=IFERROR(N(INDEX(Übersicht!$M$15:$M$22,MATCH($B916,Übersicht!$A$15:$A$22,0))),0)),1,0),1))</f>
        <v/>
      </c>
    </row>
    <row r="917">
      <c r="A917" s="92" t="n"/>
      <c r="B917" s="55" t="n"/>
      <c r="C917" s="55" t="n"/>
      <c r="D917" s="55" t="n"/>
      <c r="E917" s="93" t="n"/>
      <c r="F917" s="94" t="n"/>
      <c r="G917" s="94" t="n"/>
      <c r="H917" s="94" t="n"/>
      <c r="I917" s="94" t="n"/>
      <c r="J917" s="55" t="n"/>
      <c r="K917" s="95" t="n"/>
      <c r="L917" s="116">
        <f>IF($A917="","",DATE(YEAR($A917),MONTH($A917)+IF(AND(IFERROR(N(INDEX(Übersicht!$M$15:$M$22,MATCH($B917,Übersicht!$A$15:$A$22,0))),0)&gt;1,DAY($A917)&gt;=IFERROR(N(INDEX(Übersicht!$M$15:$M$22,MATCH($B917,Übersicht!$A$15:$A$22,0))),0)),1,0),1))</f>
        <v/>
      </c>
    </row>
    <row r="918">
      <c r="A918" s="92" t="n"/>
      <c r="B918" s="55" t="n"/>
      <c r="C918" s="55" t="n"/>
      <c r="D918" s="55" t="n"/>
      <c r="E918" s="93" t="n"/>
      <c r="F918" s="94" t="n"/>
      <c r="G918" s="94" t="n"/>
      <c r="H918" s="94" t="n"/>
      <c r="I918" s="94" t="n"/>
      <c r="J918" s="55" t="n"/>
      <c r="K918" s="95" t="n"/>
      <c r="L918" s="116">
        <f>IF($A918="","",DATE(YEAR($A918),MONTH($A918)+IF(AND(IFERROR(N(INDEX(Übersicht!$M$15:$M$22,MATCH($B918,Übersicht!$A$15:$A$22,0))),0)&gt;1,DAY($A918)&gt;=IFERROR(N(INDEX(Übersicht!$M$15:$M$22,MATCH($B918,Übersicht!$A$15:$A$22,0))),0)),1,0),1))</f>
        <v/>
      </c>
    </row>
    <row r="919">
      <c r="A919" s="92" t="n"/>
      <c r="B919" s="55" t="n"/>
      <c r="C919" s="55" t="n"/>
      <c r="D919" s="55" t="n"/>
      <c r="E919" s="93" t="n"/>
      <c r="F919" s="94" t="n"/>
      <c r="G919" s="94" t="n"/>
      <c r="H919" s="94" t="n"/>
      <c r="I919" s="94" t="n"/>
      <c r="J919" s="55" t="n"/>
      <c r="K919" s="95" t="n"/>
      <c r="L919" s="116">
        <f>IF($A919="","",DATE(YEAR($A919),MONTH($A919)+IF(AND(IFERROR(N(INDEX(Übersicht!$M$15:$M$22,MATCH($B919,Übersicht!$A$15:$A$22,0))),0)&gt;1,DAY($A919)&gt;=IFERROR(N(INDEX(Übersicht!$M$15:$M$22,MATCH($B919,Übersicht!$A$15:$A$22,0))),0)),1,0),1))</f>
        <v/>
      </c>
    </row>
    <row r="920">
      <c r="A920" s="92" t="n"/>
      <c r="B920" s="55" t="n"/>
      <c r="C920" s="55" t="n"/>
      <c r="D920" s="55" t="n"/>
      <c r="E920" s="93" t="n"/>
      <c r="F920" s="94" t="n"/>
      <c r="G920" s="94" t="n"/>
      <c r="H920" s="94" t="n"/>
      <c r="I920" s="94" t="n"/>
      <c r="J920" s="55" t="n"/>
      <c r="K920" s="95" t="n"/>
      <c r="L920" s="116">
        <f>IF($A920="","",DATE(YEAR($A920),MONTH($A920)+IF(AND(IFERROR(N(INDEX(Übersicht!$M$15:$M$22,MATCH($B920,Übersicht!$A$15:$A$22,0))),0)&gt;1,DAY($A920)&gt;=IFERROR(N(INDEX(Übersicht!$M$15:$M$22,MATCH($B920,Übersicht!$A$15:$A$22,0))),0)),1,0),1))</f>
        <v/>
      </c>
    </row>
    <row r="921">
      <c r="A921" s="92" t="n"/>
      <c r="B921" s="55" t="n"/>
      <c r="C921" s="55" t="n"/>
      <c r="D921" s="55" t="n"/>
      <c r="E921" s="93" t="n"/>
      <c r="F921" s="94" t="n"/>
      <c r="G921" s="94" t="n"/>
      <c r="H921" s="94" t="n"/>
      <c r="I921" s="94" t="n"/>
      <c r="J921" s="55" t="n"/>
      <c r="K921" s="95" t="n"/>
      <c r="L921" s="116">
        <f>IF($A921="","",DATE(YEAR($A921),MONTH($A921)+IF(AND(IFERROR(N(INDEX(Übersicht!$M$15:$M$22,MATCH($B921,Übersicht!$A$15:$A$22,0))),0)&gt;1,DAY($A921)&gt;=IFERROR(N(INDEX(Übersicht!$M$15:$M$22,MATCH($B921,Übersicht!$A$15:$A$22,0))),0)),1,0),1))</f>
        <v/>
      </c>
    </row>
    <row r="922">
      <c r="A922" s="92" t="n"/>
      <c r="B922" s="55" t="n"/>
      <c r="C922" s="55" t="n"/>
      <c r="D922" s="55" t="n"/>
      <c r="E922" s="93" t="n"/>
      <c r="F922" s="94" t="n"/>
      <c r="G922" s="94" t="n"/>
      <c r="H922" s="94" t="n"/>
      <c r="I922" s="94" t="n"/>
      <c r="J922" s="55" t="n"/>
      <c r="K922" s="95" t="n"/>
      <c r="L922" s="116">
        <f>IF($A922="","",DATE(YEAR($A922),MONTH($A922)+IF(AND(IFERROR(N(INDEX(Übersicht!$M$15:$M$22,MATCH($B922,Übersicht!$A$15:$A$22,0))),0)&gt;1,DAY($A922)&gt;=IFERROR(N(INDEX(Übersicht!$M$15:$M$22,MATCH($B922,Übersicht!$A$15:$A$22,0))),0)),1,0),1))</f>
        <v/>
      </c>
    </row>
    <row r="923">
      <c r="A923" s="92" t="n"/>
      <c r="B923" s="55" t="n"/>
      <c r="C923" s="55" t="n"/>
      <c r="D923" s="55" t="n"/>
      <c r="E923" s="93" t="n"/>
      <c r="F923" s="94" t="n"/>
      <c r="G923" s="94" t="n"/>
      <c r="H923" s="94" t="n"/>
      <c r="I923" s="94" t="n"/>
      <c r="J923" s="55" t="n"/>
      <c r="K923" s="95" t="n"/>
      <c r="L923" s="116">
        <f>IF($A923="","",DATE(YEAR($A923),MONTH($A923)+IF(AND(IFERROR(N(INDEX(Übersicht!$M$15:$M$22,MATCH($B923,Übersicht!$A$15:$A$22,0))),0)&gt;1,DAY($A923)&gt;=IFERROR(N(INDEX(Übersicht!$M$15:$M$22,MATCH($B923,Übersicht!$A$15:$A$22,0))),0)),1,0),1))</f>
        <v/>
      </c>
    </row>
    <row r="924">
      <c r="A924" s="92" t="n"/>
      <c r="B924" s="55" t="n"/>
      <c r="C924" s="55" t="n"/>
      <c r="D924" s="55" t="n"/>
      <c r="E924" s="93" t="n"/>
      <c r="F924" s="94" t="n"/>
      <c r="G924" s="94" t="n"/>
      <c r="H924" s="94" t="n"/>
      <c r="I924" s="94" t="n"/>
      <c r="J924" s="55" t="n"/>
      <c r="K924" s="95" t="n"/>
      <c r="L924" s="116">
        <f>IF($A924="","",DATE(YEAR($A924),MONTH($A924)+IF(AND(IFERROR(N(INDEX(Übersicht!$M$15:$M$22,MATCH($B924,Übersicht!$A$15:$A$22,0))),0)&gt;1,DAY($A924)&gt;=IFERROR(N(INDEX(Übersicht!$M$15:$M$22,MATCH($B924,Übersicht!$A$15:$A$22,0))),0)),1,0),1))</f>
        <v/>
      </c>
    </row>
    <row r="925">
      <c r="A925" s="92" t="n"/>
      <c r="B925" s="55" t="n"/>
      <c r="C925" s="55" t="n"/>
      <c r="D925" s="55" t="n"/>
      <c r="E925" s="93" t="n"/>
      <c r="F925" s="94" t="n"/>
      <c r="G925" s="94" t="n"/>
      <c r="H925" s="94" t="n"/>
      <c r="I925" s="94" t="n"/>
      <c r="J925" s="55" t="n"/>
      <c r="K925" s="95" t="n"/>
      <c r="L925" s="116">
        <f>IF($A925="","",DATE(YEAR($A925),MONTH($A925)+IF(AND(IFERROR(N(INDEX(Übersicht!$M$15:$M$22,MATCH($B925,Übersicht!$A$15:$A$22,0))),0)&gt;1,DAY($A925)&gt;=IFERROR(N(INDEX(Übersicht!$M$15:$M$22,MATCH($B925,Übersicht!$A$15:$A$22,0))),0)),1,0),1))</f>
        <v/>
      </c>
    </row>
    <row r="926">
      <c r="A926" s="92" t="n"/>
      <c r="B926" s="55" t="n"/>
      <c r="C926" s="55" t="n"/>
      <c r="D926" s="55" t="n"/>
      <c r="E926" s="93" t="n"/>
      <c r="F926" s="94" t="n"/>
      <c r="G926" s="94" t="n"/>
      <c r="H926" s="94" t="n"/>
      <c r="I926" s="94" t="n"/>
      <c r="J926" s="55" t="n"/>
      <c r="K926" s="95" t="n"/>
      <c r="L926" s="116">
        <f>IF($A926="","",DATE(YEAR($A926),MONTH($A926)+IF(AND(IFERROR(N(INDEX(Übersicht!$M$15:$M$22,MATCH($B926,Übersicht!$A$15:$A$22,0))),0)&gt;1,DAY($A926)&gt;=IFERROR(N(INDEX(Übersicht!$M$15:$M$22,MATCH($B926,Übersicht!$A$15:$A$22,0))),0)),1,0),1))</f>
        <v/>
      </c>
    </row>
    <row r="927">
      <c r="A927" s="92" t="n"/>
      <c r="B927" s="55" t="n"/>
      <c r="C927" s="55" t="n"/>
      <c r="D927" s="55" t="n"/>
      <c r="E927" s="93" t="n"/>
      <c r="F927" s="94" t="n"/>
      <c r="G927" s="94" t="n"/>
      <c r="H927" s="94" t="n"/>
      <c r="I927" s="94" t="n"/>
      <c r="J927" s="55" t="n"/>
      <c r="K927" s="95" t="n"/>
      <c r="L927" s="116">
        <f>IF($A927="","",DATE(YEAR($A927),MONTH($A927)+IF(AND(IFERROR(N(INDEX(Übersicht!$M$15:$M$22,MATCH($B927,Übersicht!$A$15:$A$22,0))),0)&gt;1,DAY($A927)&gt;=IFERROR(N(INDEX(Übersicht!$M$15:$M$22,MATCH($B927,Übersicht!$A$15:$A$22,0))),0)),1,0),1))</f>
        <v/>
      </c>
    </row>
    <row r="928">
      <c r="A928" s="92" t="n"/>
      <c r="B928" s="55" t="n"/>
      <c r="C928" s="55" t="n"/>
      <c r="D928" s="55" t="n"/>
      <c r="E928" s="93" t="n"/>
      <c r="F928" s="94" t="n"/>
      <c r="G928" s="94" t="n"/>
      <c r="H928" s="94" t="n"/>
      <c r="I928" s="94" t="n"/>
      <c r="J928" s="55" t="n"/>
      <c r="K928" s="95" t="n"/>
      <c r="L928" s="116">
        <f>IF($A928="","",DATE(YEAR($A928),MONTH($A928)+IF(AND(IFERROR(N(INDEX(Übersicht!$M$15:$M$22,MATCH($B928,Übersicht!$A$15:$A$22,0))),0)&gt;1,DAY($A928)&gt;=IFERROR(N(INDEX(Übersicht!$M$15:$M$22,MATCH($B928,Übersicht!$A$15:$A$22,0))),0)),1,0),1))</f>
        <v/>
      </c>
    </row>
    <row r="929">
      <c r="A929" s="92" t="n"/>
      <c r="B929" s="55" t="n"/>
      <c r="C929" s="55" t="n"/>
      <c r="D929" s="55" t="n"/>
      <c r="E929" s="93" t="n"/>
      <c r="F929" s="94" t="n"/>
      <c r="G929" s="94" t="n"/>
      <c r="H929" s="94" t="n"/>
      <c r="I929" s="94" t="n"/>
      <c r="J929" s="55" t="n"/>
      <c r="K929" s="95" t="n"/>
      <c r="L929" s="116">
        <f>IF($A929="","",DATE(YEAR($A929),MONTH($A929)+IF(AND(IFERROR(N(INDEX(Übersicht!$M$15:$M$22,MATCH($B929,Übersicht!$A$15:$A$22,0))),0)&gt;1,DAY($A929)&gt;=IFERROR(N(INDEX(Übersicht!$M$15:$M$22,MATCH($B929,Übersicht!$A$15:$A$22,0))),0)),1,0),1))</f>
        <v/>
      </c>
    </row>
    <row r="930">
      <c r="A930" s="92" t="n"/>
      <c r="B930" s="55" t="n"/>
      <c r="C930" s="55" t="n"/>
      <c r="D930" s="55" t="n"/>
      <c r="E930" s="93" t="n"/>
      <c r="F930" s="94" t="n"/>
      <c r="G930" s="94" t="n"/>
      <c r="H930" s="94" t="n"/>
      <c r="I930" s="94" t="n"/>
      <c r="J930" s="55" t="n"/>
      <c r="K930" s="95" t="n"/>
      <c r="L930" s="116">
        <f>IF($A930="","",DATE(YEAR($A930),MONTH($A930)+IF(AND(IFERROR(N(INDEX(Übersicht!$M$15:$M$22,MATCH($B930,Übersicht!$A$15:$A$22,0))),0)&gt;1,DAY($A930)&gt;=IFERROR(N(INDEX(Übersicht!$M$15:$M$22,MATCH($B930,Übersicht!$A$15:$A$22,0))),0)),1,0),1))</f>
        <v/>
      </c>
    </row>
    <row r="931">
      <c r="A931" s="92" t="n"/>
      <c r="B931" s="55" t="n"/>
      <c r="C931" s="55" t="n"/>
      <c r="D931" s="55" t="n"/>
      <c r="E931" s="93" t="n"/>
      <c r="F931" s="94" t="n"/>
      <c r="G931" s="94" t="n"/>
      <c r="H931" s="94" t="n"/>
      <c r="I931" s="94" t="n"/>
      <c r="J931" s="55" t="n"/>
      <c r="K931" s="95" t="n"/>
      <c r="L931" s="116">
        <f>IF($A931="","",DATE(YEAR($A931),MONTH($A931)+IF(AND(IFERROR(N(INDEX(Übersicht!$M$15:$M$22,MATCH($B931,Übersicht!$A$15:$A$22,0))),0)&gt;1,DAY($A931)&gt;=IFERROR(N(INDEX(Übersicht!$M$15:$M$22,MATCH($B931,Übersicht!$A$15:$A$22,0))),0)),1,0),1))</f>
        <v/>
      </c>
    </row>
    <row r="932">
      <c r="A932" s="92" t="n"/>
      <c r="B932" s="55" t="n"/>
      <c r="C932" s="55" t="n"/>
      <c r="D932" s="55" t="n"/>
      <c r="E932" s="93" t="n"/>
      <c r="F932" s="94" t="n"/>
      <c r="G932" s="94" t="n"/>
      <c r="H932" s="94" t="n"/>
      <c r="I932" s="94" t="n"/>
      <c r="J932" s="55" t="n"/>
      <c r="K932" s="95" t="n"/>
      <c r="L932" s="116">
        <f>IF($A932="","",DATE(YEAR($A932),MONTH($A932)+IF(AND(IFERROR(N(INDEX(Übersicht!$M$15:$M$22,MATCH($B932,Übersicht!$A$15:$A$22,0))),0)&gt;1,DAY($A932)&gt;=IFERROR(N(INDEX(Übersicht!$M$15:$M$22,MATCH($B932,Übersicht!$A$15:$A$22,0))),0)),1,0),1))</f>
        <v/>
      </c>
    </row>
    <row r="933">
      <c r="A933" s="92" t="n"/>
      <c r="B933" s="55" t="n"/>
      <c r="C933" s="55" t="n"/>
      <c r="D933" s="55" t="n"/>
      <c r="E933" s="93" t="n"/>
      <c r="F933" s="94" t="n"/>
      <c r="G933" s="94" t="n"/>
      <c r="H933" s="94" t="n"/>
      <c r="I933" s="94" t="n"/>
      <c r="J933" s="55" t="n"/>
      <c r="K933" s="95" t="n"/>
      <c r="L933" s="116">
        <f>IF($A933="","",DATE(YEAR($A933),MONTH($A933)+IF(AND(IFERROR(N(INDEX(Übersicht!$M$15:$M$22,MATCH($B933,Übersicht!$A$15:$A$22,0))),0)&gt;1,DAY($A933)&gt;=IFERROR(N(INDEX(Übersicht!$M$15:$M$22,MATCH($B933,Übersicht!$A$15:$A$22,0))),0)),1,0),1))</f>
        <v/>
      </c>
    </row>
    <row r="934">
      <c r="A934" s="92" t="n"/>
      <c r="B934" s="55" t="n"/>
      <c r="C934" s="55" t="n"/>
      <c r="D934" s="55" t="n"/>
      <c r="E934" s="93" t="n"/>
      <c r="F934" s="94" t="n"/>
      <c r="G934" s="94" t="n"/>
      <c r="H934" s="94" t="n"/>
      <c r="I934" s="94" t="n"/>
      <c r="J934" s="55" t="n"/>
      <c r="K934" s="95" t="n"/>
      <c r="L934" s="116">
        <f>IF($A934="","",DATE(YEAR($A934),MONTH($A934)+IF(AND(IFERROR(N(INDEX(Übersicht!$M$15:$M$22,MATCH($B934,Übersicht!$A$15:$A$22,0))),0)&gt;1,DAY($A934)&gt;=IFERROR(N(INDEX(Übersicht!$M$15:$M$22,MATCH($B934,Übersicht!$A$15:$A$22,0))),0)),1,0),1))</f>
        <v/>
      </c>
    </row>
    <row r="935">
      <c r="A935" s="92" t="n"/>
      <c r="B935" s="55" t="n"/>
      <c r="C935" s="55" t="n"/>
      <c r="D935" s="55" t="n"/>
      <c r="E935" s="93" t="n"/>
      <c r="F935" s="94" t="n"/>
      <c r="G935" s="94" t="n"/>
      <c r="H935" s="94" t="n"/>
      <c r="I935" s="94" t="n"/>
      <c r="J935" s="55" t="n"/>
      <c r="K935" s="95" t="n"/>
      <c r="L935" s="116">
        <f>IF($A935="","",DATE(YEAR($A935),MONTH($A935)+IF(AND(IFERROR(N(INDEX(Übersicht!$M$15:$M$22,MATCH($B935,Übersicht!$A$15:$A$22,0))),0)&gt;1,DAY($A935)&gt;=IFERROR(N(INDEX(Übersicht!$M$15:$M$22,MATCH($B935,Übersicht!$A$15:$A$22,0))),0)),1,0),1))</f>
        <v/>
      </c>
    </row>
    <row r="936">
      <c r="A936" s="92" t="n"/>
      <c r="B936" s="55" t="n"/>
      <c r="C936" s="55" t="n"/>
      <c r="D936" s="55" t="n"/>
      <c r="E936" s="93" t="n"/>
      <c r="F936" s="94" t="n"/>
      <c r="G936" s="94" t="n"/>
      <c r="H936" s="94" t="n"/>
      <c r="I936" s="94" t="n"/>
      <c r="J936" s="55" t="n"/>
      <c r="K936" s="95" t="n"/>
      <c r="L936" s="116">
        <f>IF($A936="","",DATE(YEAR($A936),MONTH($A936)+IF(AND(IFERROR(N(INDEX(Übersicht!$M$15:$M$22,MATCH($B936,Übersicht!$A$15:$A$22,0))),0)&gt;1,DAY($A936)&gt;=IFERROR(N(INDEX(Übersicht!$M$15:$M$22,MATCH($B936,Übersicht!$A$15:$A$22,0))),0)),1,0),1))</f>
        <v/>
      </c>
    </row>
    <row r="937">
      <c r="A937" s="92" t="n"/>
      <c r="B937" s="55" t="n"/>
      <c r="C937" s="55" t="n"/>
      <c r="D937" s="55" t="n"/>
      <c r="E937" s="93" t="n"/>
      <c r="F937" s="94" t="n"/>
      <c r="G937" s="94" t="n"/>
      <c r="H937" s="94" t="n"/>
      <c r="I937" s="94" t="n"/>
      <c r="J937" s="55" t="n"/>
      <c r="K937" s="95" t="n"/>
      <c r="L937" s="116">
        <f>IF($A937="","",DATE(YEAR($A937),MONTH($A937)+IF(AND(IFERROR(N(INDEX(Übersicht!$M$15:$M$22,MATCH($B937,Übersicht!$A$15:$A$22,0))),0)&gt;1,DAY($A937)&gt;=IFERROR(N(INDEX(Übersicht!$M$15:$M$22,MATCH($B937,Übersicht!$A$15:$A$22,0))),0)),1,0),1))</f>
        <v/>
      </c>
    </row>
    <row r="938">
      <c r="A938" s="92" t="n"/>
      <c r="B938" s="55" t="n"/>
      <c r="C938" s="55" t="n"/>
      <c r="D938" s="55" t="n"/>
      <c r="E938" s="93" t="n"/>
      <c r="F938" s="94" t="n"/>
      <c r="G938" s="94" t="n"/>
      <c r="H938" s="94" t="n"/>
      <c r="I938" s="94" t="n"/>
      <c r="J938" s="55" t="n"/>
      <c r="K938" s="95" t="n"/>
      <c r="L938" s="116">
        <f>IF($A938="","",DATE(YEAR($A938),MONTH($A938)+IF(AND(IFERROR(N(INDEX(Übersicht!$M$15:$M$22,MATCH($B938,Übersicht!$A$15:$A$22,0))),0)&gt;1,DAY($A938)&gt;=IFERROR(N(INDEX(Übersicht!$M$15:$M$22,MATCH($B938,Übersicht!$A$15:$A$22,0))),0)),1,0),1))</f>
        <v/>
      </c>
    </row>
    <row r="939">
      <c r="A939" s="92" t="n"/>
      <c r="B939" s="55" t="n"/>
      <c r="C939" s="55" t="n"/>
      <c r="D939" s="55" t="n"/>
      <c r="E939" s="93" t="n"/>
      <c r="F939" s="94" t="n"/>
      <c r="G939" s="94" t="n"/>
      <c r="H939" s="94" t="n"/>
      <c r="I939" s="94" t="n"/>
      <c r="J939" s="55" t="n"/>
      <c r="K939" s="95" t="n"/>
      <c r="L939" s="116">
        <f>IF($A939="","",DATE(YEAR($A939),MONTH($A939)+IF(AND(IFERROR(N(INDEX(Übersicht!$M$15:$M$22,MATCH($B939,Übersicht!$A$15:$A$22,0))),0)&gt;1,DAY($A939)&gt;=IFERROR(N(INDEX(Übersicht!$M$15:$M$22,MATCH($B939,Übersicht!$A$15:$A$22,0))),0)),1,0),1))</f>
        <v/>
      </c>
    </row>
    <row r="940">
      <c r="A940" s="92" t="n"/>
      <c r="B940" s="55" t="n"/>
      <c r="C940" s="55" t="n"/>
      <c r="D940" s="55" t="n"/>
      <c r="E940" s="93" t="n"/>
      <c r="F940" s="94" t="n"/>
      <c r="G940" s="94" t="n"/>
      <c r="H940" s="94" t="n"/>
      <c r="I940" s="94" t="n"/>
      <c r="J940" s="55" t="n"/>
      <c r="K940" s="95" t="n"/>
      <c r="L940" s="116">
        <f>IF($A940="","",DATE(YEAR($A940),MONTH($A940)+IF(AND(IFERROR(N(INDEX(Übersicht!$M$15:$M$22,MATCH($B940,Übersicht!$A$15:$A$22,0))),0)&gt;1,DAY($A940)&gt;=IFERROR(N(INDEX(Übersicht!$M$15:$M$22,MATCH($B940,Übersicht!$A$15:$A$22,0))),0)),1,0),1))</f>
        <v/>
      </c>
    </row>
    <row r="941">
      <c r="A941" s="92" t="n"/>
      <c r="B941" s="55" t="n"/>
      <c r="C941" s="55" t="n"/>
      <c r="D941" s="55" t="n"/>
      <c r="E941" s="93" t="n"/>
      <c r="F941" s="94" t="n"/>
      <c r="G941" s="94" t="n"/>
      <c r="H941" s="94" t="n"/>
      <c r="I941" s="94" t="n"/>
      <c r="J941" s="55" t="n"/>
      <c r="K941" s="95" t="n"/>
      <c r="L941" s="116">
        <f>IF($A941="","",DATE(YEAR($A941),MONTH($A941)+IF(AND(IFERROR(N(INDEX(Übersicht!$M$15:$M$22,MATCH($B941,Übersicht!$A$15:$A$22,0))),0)&gt;1,DAY($A941)&gt;=IFERROR(N(INDEX(Übersicht!$M$15:$M$22,MATCH($B941,Übersicht!$A$15:$A$22,0))),0)),1,0),1))</f>
        <v/>
      </c>
    </row>
    <row r="942">
      <c r="A942" s="92" t="n"/>
      <c r="B942" s="55" t="n"/>
      <c r="C942" s="55" t="n"/>
      <c r="D942" s="55" t="n"/>
      <c r="E942" s="93" t="n"/>
      <c r="F942" s="94" t="n"/>
      <c r="G942" s="94" t="n"/>
      <c r="H942" s="94" t="n"/>
      <c r="I942" s="94" t="n"/>
      <c r="J942" s="55" t="n"/>
      <c r="K942" s="95" t="n"/>
      <c r="L942" s="116">
        <f>IF($A942="","",DATE(YEAR($A942),MONTH($A942)+IF(AND(IFERROR(N(INDEX(Übersicht!$M$15:$M$22,MATCH($B942,Übersicht!$A$15:$A$22,0))),0)&gt;1,DAY($A942)&gt;=IFERROR(N(INDEX(Übersicht!$M$15:$M$22,MATCH($B942,Übersicht!$A$15:$A$22,0))),0)),1,0),1))</f>
        <v/>
      </c>
    </row>
    <row r="943">
      <c r="A943" s="92" t="n"/>
      <c r="B943" s="55" t="n"/>
      <c r="C943" s="55" t="n"/>
      <c r="D943" s="55" t="n"/>
      <c r="E943" s="93" t="n"/>
      <c r="F943" s="94" t="n"/>
      <c r="G943" s="94" t="n"/>
      <c r="H943" s="94" t="n"/>
      <c r="I943" s="94" t="n"/>
      <c r="J943" s="55" t="n"/>
      <c r="K943" s="95" t="n"/>
      <c r="L943" s="116">
        <f>IF($A943="","",DATE(YEAR($A943),MONTH($A943)+IF(AND(IFERROR(N(INDEX(Übersicht!$M$15:$M$22,MATCH($B943,Übersicht!$A$15:$A$22,0))),0)&gt;1,DAY($A943)&gt;=IFERROR(N(INDEX(Übersicht!$M$15:$M$22,MATCH($B943,Übersicht!$A$15:$A$22,0))),0)),1,0),1))</f>
        <v/>
      </c>
    </row>
    <row r="944">
      <c r="A944" s="92" t="n"/>
      <c r="B944" s="55" t="n"/>
      <c r="C944" s="55" t="n"/>
      <c r="D944" s="55" t="n"/>
      <c r="E944" s="93" t="n"/>
      <c r="F944" s="94" t="n"/>
      <c r="G944" s="94" t="n"/>
      <c r="H944" s="94" t="n"/>
      <c r="I944" s="94" t="n"/>
      <c r="J944" s="55" t="n"/>
      <c r="K944" s="95" t="n"/>
      <c r="L944" s="116">
        <f>IF($A944="","",DATE(YEAR($A944),MONTH($A944)+IF(AND(IFERROR(N(INDEX(Übersicht!$M$15:$M$22,MATCH($B944,Übersicht!$A$15:$A$22,0))),0)&gt;1,DAY($A944)&gt;=IFERROR(N(INDEX(Übersicht!$M$15:$M$22,MATCH($B944,Übersicht!$A$15:$A$22,0))),0)),1,0),1))</f>
        <v/>
      </c>
    </row>
    <row r="945">
      <c r="A945" s="92" t="n"/>
      <c r="B945" s="55" t="n"/>
      <c r="C945" s="55" t="n"/>
      <c r="D945" s="55" t="n"/>
      <c r="E945" s="93" t="n"/>
      <c r="F945" s="94" t="n"/>
      <c r="G945" s="94" t="n"/>
      <c r="H945" s="94" t="n"/>
      <c r="I945" s="94" t="n"/>
      <c r="J945" s="55" t="n"/>
      <c r="K945" s="95" t="n"/>
      <c r="L945" s="116">
        <f>IF($A945="","",DATE(YEAR($A945),MONTH($A945)+IF(AND(IFERROR(N(INDEX(Übersicht!$M$15:$M$22,MATCH($B945,Übersicht!$A$15:$A$22,0))),0)&gt;1,DAY($A945)&gt;=IFERROR(N(INDEX(Übersicht!$M$15:$M$22,MATCH($B945,Übersicht!$A$15:$A$22,0))),0)),1,0),1))</f>
        <v/>
      </c>
    </row>
    <row r="946">
      <c r="A946" s="92" t="n"/>
      <c r="B946" s="55" t="n"/>
      <c r="C946" s="55" t="n"/>
      <c r="D946" s="55" t="n"/>
      <c r="E946" s="93" t="n"/>
      <c r="F946" s="94" t="n"/>
      <c r="G946" s="94" t="n"/>
      <c r="H946" s="94" t="n"/>
      <c r="I946" s="94" t="n"/>
      <c r="J946" s="55" t="n"/>
      <c r="K946" s="95" t="n"/>
      <c r="L946" s="116">
        <f>IF($A946="","",DATE(YEAR($A946),MONTH($A946)+IF(AND(IFERROR(N(INDEX(Übersicht!$M$15:$M$22,MATCH($B946,Übersicht!$A$15:$A$22,0))),0)&gt;1,DAY($A946)&gt;=IFERROR(N(INDEX(Übersicht!$M$15:$M$22,MATCH($B946,Übersicht!$A$15:$A$22,0))),0)),1,0),1))</f>
        <v/>
      </c>
    </row>
    <row r="947">
      <c r="A947" s="92" t="n"/>
      <c r="B947" s="55" t="n"/>
      <c r="C947" s="55" t="n"/>
      <c r="D947" s="55" t="n"/>
      <c r="E947" s="93" t="n"/>
      <c r="F947" s="94" t="n"/>
      <c r="G947" s="94" t="n"/>
      <c r="H947" s="94" t="n"/>
      <c r="I947" s="94" t="n"/>
      <c r="J947" s="55" t="n"/>
      <c r="K947" s="95" t="n"/>
      <c r="L947" s="116">
        <f>IF($A947="","",DATE(YEAR($A947),MONTH($A947)+IF(AND(IFERROR(N(INDEX(Übersicht!$M$15:$M$22,MATCH($B947,Übersicht!$A$15:$A$22,0))),0)&gt;1,DAY($A947)&gt;=IFERROR(N(INDEX(Übersicht!$M$15:$M$22,MATCH($B947,Übersicht!$A$15:$A$22,0))),0)),1,0),1))</f>
        <v/>
      </c>
    </row>
    <row r="948">
      <c r="A948" s="92" t="n"/>
      <c r="B948" s="55" t="n"/>
      <c r="C948" s="55" t="n"/>
      <c r="D948" s="55" t="n"/>
      <c r="E948" s="93" t="n"/>
      <c r="F948" s="94" t="n"/>
      <c r="G948" s="94" t="n"/>
      <c r="H948" s="94" t="n"/>
      <c r="I948" s="94" t="n"/>
      <c r="J948" s="55" t="n"/>
      <c r="K948" s="95" t="n"/>
      <c r="L948" s="116">
        <f>IF($A948="","",DATE(YEAR($A948),MONTH($A948)+IF(AND(IFERROR(N(INDEX(Übersicht!$M$15:$M$22,MATCH($B948,Übersicht!$A$15:$A$22,0))),0)&gt;1,DAY($A948)&gt;=IFERROR(N(INDEX(Übersicht!$M$15:$M$22,MATCH($B948,Übersicht!$A$15:$A$22,0))),0)),1,0),1))</f>
        <v/>
      </c>
    </row>
    <row r="949">
      <c r="A949" s="92" t="n"/>
      <c r="B949" s="55" t="n"/>
      <c r="C949" s="55" t="n"/>
      <c r="D949" s="55" t="n"/>
      <c r="E949" s="93" t="n"/>
      <c r="F949" s="94" t="n"/>
      <c r="G949" s="94" t="n"/>
      <c r="H949" s="94" t="n"/>
      <c r="I949" s="94" t="n"/>
      <c r="J949" s="55" t="n"/>
      <c r="K949" s="95" t="n"/>
      <c r="L949" s="116">
        <f>IF($A949="","",DATE(YEAR($A949),MONTH($A949)+IF(AND(IFERROR(N(INDEX(Übersicht!$M$15:$M$22,MATCH($B949,Übersicht!$A$15:$A$22,0))),0)&gt;1,DAY($A949)&gt;=IFERROR(N(INDEX(Übersicht!$M$15:$M$22,MATCH($B949,Übersicht!$A$15:$A$22,0))),0)),1,0),1))</f>
        <v/>
      </c>
    </row>
    <row r="950">
      <c r="A950" s="92" t="n"/>
      <c r="B950" s="55" t="n"/>
      <c r="C950" s="55" t="n"/>
      <c r="D950" s="55" t="n"/>
      <c r="E950" s="93" t="n"/>
      <c r="F950" s="94" t="n"/>
      <c r="G950" s="94" t="n"/>
      <c r="H950" s="94" t="n"/>
      <c r="I950" s="94" t="n"/>
      <c r="J950" s="55" t="n"/>
      <c r="K950" s="95" t="n"/>
      <c r="L950" s="116">
        <f>IF($A950="","",DATE(YEAR($A950),MONTH($A950)+IF(AND(IFERROR(N(INDEX(Übersicht!$M$15:$M$22,MATCH($B950,Übersicht!$A$15:$A$22,0))),0)&gt;1,DAY($A950)&gt;=IFERROR(N(INDEX(Übersicht!$M$15:$M$22,MATCH($B950,Übersicht!$A$15:$A$22,0))),0)),1,0),1))</f>
        <v/>
      </c>
    </row>
    <row r="951">
      <c r="A951" s="92" t="n"/>
      <c r="B951" s="55" t="n"/>
      <c r="C951" s="55" t="n"/>
      <c r="D951" s="55" t="n"/>
      <c r="E951" s="93" t="n"/>
      <c r="F951" s="94" t="n"/>
      <c r="G951" s="94" t="n"/>
      <c r="H951" s="94" t="n"/>
      <c r="I951" s="94" t="n"/>
      <c r="J951" s="55" t="n"/>
      <c r="K951" s="95" t="n"/>
      <c r="L951" s="116">
        <f>IF($A951="","",DATE(YEAR($A951),MONTH($A951)+IF(AND(IFERROR(N(INDEX(Übersicht!$M$15:$M$22,MATCH($B951,Übersicht!$A$15:$A$22,0))),0)&gt;1,DAY($A951)&gt;=IFERROR(N(INDEX(Übersicht!$M$15:$M$22,MATCH($B951,Übersicht!$A$15:$A$22,0))),0)),1,0),1))</f>
        <v/>
      </c>
    </row>
    <row r="952">
      <c r="A952" s="92" t="n"/>
      <c r="B952" s="55" t="n"/>
      <c r="C952" s="55" t="n"/>
      <c r="D952" s="55" t="n"/>
      <c r="E952" s="93" t="n"/>
      <c r="F952" s="94" t="n"/>
      <c r="G952" s="94" t="n"/>
      <c r="H952" s="94" t="n"/>
      <c r="I952" s="94" t="n"/>
      <c r="J952" s="55" t="n"/>
      <c r="K952" s="95" t="n"/>
      <c r="L952" s="116">
        <f>IF($A952="","",DATE(YEAR($A952),MONTH($A952)+IF(AND(IFERROR(N(INDEX(Übersicht!$M$15:$M$22,MATCH($B952,Übersicht!$A$15:$A$22,0))),0)&gt;1,DAY($A952)&gt;=IFERROR(N(INDEX(Übersicht!$M$15:$M$22,MATCH($B952,Übersicht!$A$15:$A$22,0))),0)),1,0),1))</f>
        <v/>
      </c>
    </row>
    <row r="953">
      <c r="A953" s="92" t="n"/>
      <c r="B953" s="55" t="n"/>
      <c r="C953" s="55" t="n"/>
      <c r="D953" s="55" t="n"/>
      <c r="E953" s="93" t="n"/>
      <c r="F953" s="94" t="n"/>
      <c r="G953" s="94" t="n"/>
      <c r="H953" s="94" t="n"/>
      <c r="I953" s="94" t="n"/>
      <c r="J953" s="55" t="n"/>
      <c r="K953" s="95" t="n"/>
      <c r="L953" s="116">
        <f>IF($A953="","",DATE(YEAR($A953),MONTH($A953)+IF(AND(IFERROR(N(INDEX(Übersicht!$M$15:$M$22,MATCH($B953,Übersicht!$A$15:$A$22,0))),0)&gt;1,DAY($A953)&gt;=IFERROR(N(INDEX(Übersicht!$M$15:$M$22,MATCH($B953,Übersicht!$A$15:$A$22,0))),0)),1,0),1))</f>
        <v/>
      </c>
    </row>
    <row r="954">
      <c r="A954" s="92" t="n"/>
      <c r="B954" s="55" t="n"/>
      <c r="C954" s="55" t="n"/>
      <c r="D954" s="55" t="n"/>
      <c r="E954" s="93" t="n"/>
      <c r="F954" s="94" t="n"/>
      <c r="G954" s="94" t="n"/>
      <c r="H954" s="94" t="n"/>
      <c r="I954" s="94" t="n"/>
      <c r="J954" s="55" t="n"/>
      <c r="K954" s="95" t="n"/>
      <c r="L954" s="116">
        <f>IF($A954="","",DATE(YEAR($A954),MONTH($A954)+IF(AND(IFERROR(N(INDEX(Übersicht!$M$15:$M$22,MATCH($B954,Übersicht!$A$15:$A$22,0))),0)&gt;1,DAY($A954)&gt;=IFERROR(N(INDEX(Übersicht!$M$15:$M$22,MATCH($B954,Übersicht!$A$15:$A$22,0))),0)),1,0),1))</f>
        <v/>
      </c>
    </row>
    <row r="955">
      <c r="A955" s="92" t="n"/>
      <c r="B955" s="55" t="n"/>
      <c r="C955" s="55" t="n"/>
      <c r="D955" s="55" t="n"/>
      <c r="E955" s="93" t="n"/>
      <c r="F955" s="94" t="n"/>
      <c r="G955" s="94" t="n"/>
      <c r="H955" s="94" t="n"/>
      <c r="I955" s="94" t="n"/>
      <c r="J955" s="55" t="n"/>
      <c r="K955" s="95" t="n"/>
      <c r="L955" s="116">
        <f>IF($A955="","",DATE(YEAR($A955),MONTH($A955)+IF(AND(IFERROR(N(INDEX(Übersicht!$M$15:$M$22,MATCH($B955,Übersicht!$A$15:$A$22,0))),0)&gt;1,DAY($A955)&gt;=IFERROR(N(INDEX(Übersicht!$M$15:$M$22,MATCH($B955,Übersicht!$A$15:$A$22,0))),0)),1,0),1))</f>
        <v/>
      </c>
    </row>
    <row r="956">
      <c r="A956" s="92" t="n"/>
      <c r="B956" s="55" t="n"/>
      <c r="C956" s="55" t="n"/>
      <c r="D956" s="55" t="n"/>
      <c r="E956" s="93" t="n"/>
      <c r="F956" s="94" t="n"/>
      <c r="G956" s="94" t="n"/>
      <c r="H956" s="94" t="n"/>
      <c r="I956" s="94" t="n"/>
      <c r="J956" s="55" t="n"/>
      <c r="K956" s="95" t="n"/>
      <c r="L956" s="116">
        <f>IF($A956="","",DATE(YEAR($A956),MONTH($A956)+IF(AND(IFERROR(N(INDEX(Übersicht!$M$15:$M$22,MATCH($B956,Übersicht!$A$15:$A$22,0))),0)&gt;1,DAY($A956)&gt;=IFERROR(N(INDEX(Übersicht!$M$15:$M$22,MATCH($B956,Übersicht!$A$15:$A$22,0))),0)),1,0),1))</f>
        <v/>
      </c>
    </row>
    <row r="957">
      <c r="A957" s="92" t="n"/>
      <c r="B957" s="55" t="n"/>
      <c r="C957" s="55" t="n"/>
      <c r="D957" s="55" t="n"/>
      <c r="E957" s="93" t="n"/>
      <c r="F957" s="94" t="n"/>
      <c r="G957" s="94" t="n"/>
      <c r="H957" s="94" t="n"/>
      <c r="I957" s="94" t="n"/>
      <c r="J957" s="55" t="n"/>
      <c r="K957" s="95" t="n"/>
      <c r="L957" s="116">
        <f>IF($A957="","",DATE(YEAR($A957),MONTH($A957)+IF(AND(IFERROR(N(INDEX(Übersicht!$M$15:$M$22,MATCH($B957,Übersicht!$A$15:$A$22,0))),0)&gt;1,DAY($A957)&gt;=IFERROR(N(INDEX(Übersicht!$M$15:$M$22,MATCH($B957,Übersicht!$A$15:$A$22,0))),0)),1,0),1))</f>
        <v/>
      </c>
    </row>
    <row r="958">
      <c r="A958" s="92" t="n"/>
      <c r="B958" s="55" t="n"/>
      <c r="C958" s="55" t="n"/>
      <c r="D958" s="55" t="n"/>
      <c r="E958" s="93" t="n"/>
      <c r="F958" s="94" t="n"/>
      <c r="G958" s="94" t="n"/>
      <c r="H958" s="94" t="n"/>
      <c r="I958" s="94" t="n"/>
      <c r="J958" s="55" t="n"/>
      <c r="K958" s="95" t="n"/>
      <c r="L958" s="116">
        <f>IF($A958="","",DATE(YEAR($A958),MONTH($A958)+IF(AND(IFERROR(N(INDEX(Übersicht!$M$15:$M$22,MATCH($B958,Übersicht!$A$15:$A$22,0))),0)&gt;1,DAY($A958)&gt;=IFERROR(N(INDEX(Übersicht!$M$15:$M$22,MATCH($B958,Übersicht!$A$15:$A$22,0))),0)),1,0),1))</f>
        <v/>
      </c>
    </row>
    <row r="959">
      <c r="A959" s="92" t="n"/>
      <c r="B959" s="55" t="n"/>
      <c r="C959" s="55" t="n"/>
      <c r="D959" s="55" t="n"/>
      <c r="E959" s="93" t="n"/>
      <c r="F959" s="94" t="n"/>
      <c r="G959" s="94" t="n"/>
      <c r="H959" s="94" t="n"/>
      <c r="I959" s="94" t="n"/>
      <c r="J959" s="55" t="n"/>
      <c r="K959" s="95" t="n"/>
      <c r="L959" s="116">
        <f>IF($A959="","",DATE(YEAR($A959),MONTH($A959)+IF(AND(IFERROR(N(INDEX(Übersicht!$M$15:$M$22,MATCH($B959,Übersicht!$A$15:$A$22,0))),0)&gt;1,DAY($A959)&gt;=IFERROR(N(INDEX(Übersicht!$M$15:$M$22,MATCH($B959,Übersicht!$A$15:$A$22,0))),0)),1,0),1))</f>
        <v/>
      </c>
    </row>
    <row r="960">
      <c r="A960" s="92" t="n"/>
      <c r="B960" s="55" t="n"/>
      <c r="C960" s="55" t="n"/>
      <c r="D960" s="55" t="n"/>
      <c r="E960" s="93" t="n"/>
      <c r="F960" s="94" t="n"/>
      <c r="G960" s="94" t="n"/>
      <c r="H960" s="94" t="n"/>
      <c r="I960" s="94" t="n"/>
      <c r="J960" s="55" t="n"/>
      <c r="K960" s="95" t="n"/>
      <c r="L960" s="116">
        <f>IF($A960="","",DATE(YEAR($A960),MONTH($A960)+IF(AND(IFERROR(N(INDEX(Übersicht!$M$15:$M$22,MATCH($B960,Übersicht!$A$15:$A$22,0))),0)&gt;1,DAY($A960)&gt;=IFERROR(N(INDEX(Übersicht!$M$15:$M$22,MATCH($B960,Übersicht!$A$15:$A$22,0))),0)),1,0),1))</f>
        <v/>
      </c>
    </row>
    <row r="961">
      <c r="A961" s="92" t="n"/>
      <c r="B961" s="55" t="n"/>
      <c r="C961" s="55" t="n"/>
      <c r="D961" s="55" t="n"/>
      <c r="E961" s="93" t="n"/>
      <c r="F961" s="94" t="n"/>
      <c r="G961" s="94" t="n"/>
      <c r="H961" s="94" t="n"/>
      <c r="I961" s="94" t="n"/>
      <c r="J961" s="55" t="n"/>
      <c r="K961" s="95" t="n"/>
      <c r="L961" s="116">
        <f>IF($A961="","",DATE(YEAR($A961),MONTH($A961)+IF(AND(IFERROR(N(INDEX(Übersicht!$M$15:$M$22,MATCH($B961,Übersicht!$A$15:$A$22,0))),0)&gt;1,DAY($A961)&gt;=IFERROR(N(INDEX(Übersicht!$M$15:$M$22,MATCH($B961,Übersicht!$A$15:$A$22,0))),0)),1,0),1))</f>
        <v/>
      </c>
    </row>
    <row r="962">
      <c r="A962" s="92" t="n"/>
      <c r="B962" s="55" t="n"/>
      <c r="C962" s="55" t="n"/>
      <c r="D962" s="55" t="n"/>
      <c r="E962" s="93" t="n"/>
      <c r="F962" s="94" t="n"/>
      <c r="G962" s="94" t="n"/>
      <c r="H962" s="94" t="n"/>
      <c r="I962" s="94" t="n"/>
      <c r="J962" s="55" t="n"/>
      <c r="K962" s="95" t="n"/>
      <c r="L962" s="116">
        <f>IF($A962="","",DATE(YEAR($A962),MONTH($A962)+IF(AND(IFERROR(N(INDEX(Übersicht!$M$15:$M$22,MATCH($B962,Übersicht!$A$15:$A$22,0))),0)&gt;1,DAY($A962)&gt;=IFERROR(N(INDEX(Übersicht!$M$15:$M$22,MATCH($B962,Übersicht!$A$15:$A$22,0))),0)),1,0),1))</f>
        <v/>
      </c>
    </row>
    <row r="963">
      <c r="A963" s="92" t="n"/>
      <c r="B963" s="55" t="n"/>
      <c r="C963" s="55" t="n"/>
      <c r="D963" s="55" t="n"/>
      <c r="E963" s="93" t="n"/>
      <c r="F963" s="94" t="n"/>
      <c r="G963" s="94" t="n"/>
      <c r="H963" s="94" t="n"/>
      <c r="I963" s="94" t="n"/>
      <c r="J963" s="55" t="n"/>
      <c r="K963" s="95" t="n"/>
      <c r="L963" s="116">
        <f>IF($A963="","",DATE(YEAR($A963),MONTH($A963)+IF(AND(IFERROR(N(INDEX(Übersicht!$M$15:$M$22,MATCH($B963,Übersicht!$A$15:$A$22,0))),0)&gt;1,DAY($A963)&gt;=IFERROR(N(INDEX(Übersicht!$M$15:$M$22,MATCH($B963,Übersicht!$A$15:$A$22,0))),0)),1,0),1))</f>
        <v/>
      </c>
    </row>
    <row r="964">
      <c r="A964" s="92" t="n"/>
      <c r="B964" s="55" t="n"/>
      <c r="C964" s="55" t="n"/>
      <c r="D964" s="55" t="n"/>
      <c r="E964" s="93" t="n"/>
      <c r="F964" s="94" t="n"/>
      <c r="G964" s="94" t="n"/>
      <c r="H964" s="94" t="n"/>
      <c r="I964" s="94" t="n"/>
      <c r="J964" s="55" t="n"/>
      <c r="K964" s="95" t="n"/>
      <c r="L964" s="116">
        <f>IF($A964="","",DATE(YEAR($A964),MONTH($A964)+IF(AND(IFERROR(N(INDEX(Übersicht!$M$15:$M$22,MATCH($B964,Übersicht!$A$15:$A$22,0))),0)&gt;1,DAY($A964)&gt;=IFERROR(N(INDEX(Übersicht!$M$15:$M$22,MATCH($B964,Übersicht!$A$15:$A$22,0))),0)),1,0),1))</f>
        <v/>
      </c>
    </row>
    <row r="965">
      <c r="A965" s="92" t="n"/>
      <c r="B965" s="55" t="n"/>
      <c r="C965" s="55" t="n"/>
      <c r="D965" s="55" t="n"/>
      <c r="E965" s="93" t="n"/>
      <c r="F965" s="94" t="n"/>
      <c r="G965" s="94" t="n"/>
      <c r="H965" s="94" t="n"/>
      <c r="I965" s="94" t="n"/>
      <c r="J965" s="55" t="n"/>
      <c r="K965" s="95" t="n"/>
      <c r="L965" s="116">
        <f>IF($A965="","",DATE(YEAR($A965),MONTH($A965)+IF(AND(IFERROR(N(INDEX(Übersicht!$M$15:$M$22,MATCH($B965,Übersicht!$A$15:$A$22,0))),0)&gt;1,DAY($A965)&gt;=IFERROR(N(INDEX(Übersicht!$M$15:$M$22,MATCH($B965,Übersicht!$A$15:$A$22,0))),0)),1,0),1))</f>
        <v/>
      </c>
    </row>
    <row r="966">
      <c r="A966" s="92" t="n"/>
      <c r="B966" s="55" t="n"/>
      <c r="C966" s="55" t="n"/>
      <c r="D966" s="55" t="n"/>
      <c r="E966" s="93" t="n"/>
      <c r="F966" s="94" t="n"/>
      <c r="G966" s="94" t="n"/>
      <c r="H966" s="94" t="n"/>
      <c r="I966" s="94" t="n"/>
      <c r="J966" s="55" t="n"/>
      <c r="K966" s="95" t="n"/>
      <c r="L966" s="116">
        <f>IF($A966="","",DATE(YEAR($A966),MONTH($A966)+IF(AND(IFERROR(N(INDEX(Übersicht!$M$15:$M$22,MATCH($B966,Übersicht!$A$15:$A$22,0))),0)&gt;1,DAY($A966)&gt;=IFERROR(N(INDEX(Übersicht!$M$15:$M$22,MATCH($B966,Übersicht!$A$15:$A$22,0))),0)),1,0),1))</f>
        <v/>
      </c>
    </row>
    <row r="967">
      <c r="A967" s="92" t="n"/>
      <c r="B967" s="55" t="n"/>
      <c r="C967" s="55" t="n"/>
      <c r="D967" s="55" t="n"/>
      <c r="E967" s="93" t="n"/>
      <c r="F967" s="94" t="n"/>
      <c r="G967" s="94" t="n"/>
      <c r="H967" s="94" t="n"/>
      <c r="I967" s="94" t="n"/>
      <c r="J967" s="55" t="n"/>
      <c r="K967" s="95" t="n"/>
      <c r="L967" s="116">
        <f>IF($A967="","",DATE(YEAR($A967),MONTH($A967)+IF(AND(IFERROR(N(INDEX(Übersicht!$M$15:$M$22,MATCH($B967,Übersicht!$A$15:$A$22,0))),0)&gt;1,DAY($A967)&gt;=IFERROR(N(INDEX(Übersicht!$M$15:$M$22,MATCH($B967,Übersicht!$A$15:$A$22,0))),0)),1,0),1))</f>
        <v/>
      </c>
    </row>
    <row r="968">
      <c r="A968" s="92" t="n"/>
      <c r="B968" s="55" t="n"/>
      <c r="C968" s="55" t="n"/>
      <c r="D968" s="55" t="n"/>
      <c r="E968" s="93" t="n"/>
      <c r="F968" s="94" t="n"/>
      <c r="G968" s="94" t="n"/>
      <c r="H968" s="94" t="n"/>
      <c r="I968" s="94" t="n"/>
      <c r="J968" s="55" t="n"/>
      <c r="K968" s="95" t="n"/>
      <c r="L968" s="116">
        <f>IF($A968="","",DATE(YEAR($A968),MONTH($A968)+IF(AND(IFERROR(N(INDEX(Übersicht!$M$15:$M$22,MATCH($B968,Übersicht!$A$15:$A$22,0))),0)&gt;1,DAY($A968)&gt;=IFERROR(N(INDEX(Übersicht!$M$15:$M$22,MATCH($B968,Übersicht!$A$15:$A$22,0))),0)),1,0),1))</f>
        <v/>
      </c>
    </row>
    <row r="969">
      <c r="A969" s="92" t="n"/>
      <c r="B969" s="55" t="n"/>
      <c r="C969" s="55" t="n"/>
      <c r="D969" s="55" t="n"/>
      <c r="E969" s="93" t="n"/>
      <c r="F969" s="94" t="n"/>
      <c r="G969" s="94" t="n"/>
      <c r="H969" s="94" t="n"/>
      <c r="I969" s="94" t="n"/>
      <c r="J969" s="55" t="n"/>
      <c r="K969" s="95" t="n"/>
      <c r="L969" s="116">
        <f>IF($A969="","",DATE(YEAR($A969),MONTH($A969)+IF(AND(IFERROR(N(INDEX(Übersicht!$M$15:$M$22,MATCH($B969,Übersicht!$A$15:$A$22,0))),0)&gt;1,DAY($A969)&gt;=IFERROR(N(INDEX(Übersicht!$M$15:$M$22,MATCH($B969,Übersicht!$A$15:$A$22,0))),0)),1,0),1))</f>
        <v/>
      </c>
    </row>
    <row r="970">
      <c r="A970" s="92" t="n"/>
      <c r="B970" s="55" t="n"/>
      <c r="C970" s="55" t="n"/>
      <c r="D970" s="55" t="n"/>
      <c r="E970" s="93" t="n"/>
      <c r="F970" s="94" t="n"/>
      <c r="G970" s="94" t="n"/>
      <c r="H970" s="94" t="n"/>
      <c r="I970" s="94" t="n"/>
      <c r="J970" s="55" t="n"/>
      <c r="K970" s="95" t="n"/>
      <c r="L970" s="116">
        <f>IF($A970="","",DATE(YEAR($A970),MONTH($A970)+IF(AND(IFERROR(N(INDEX(Übersicht!$M$15:$M$22,MATCH($B970,Übersicht!$A$15:$A$22,0))),0)&gt;1,DAY($A970)&gt;=IFERROR(N(INDEX(Übersicht!$M$15:$M$22,MATCH($B970,Übersicht!$A$15:$A$22,0))),0)),1,0),1))</f>
        <v/>
      </c>
    </row>
    <row r="971">
      <c r="A971" s="92" t="n"/>
      <c r="B971" s="55" t="n"/>
      <c r="C971" s="55" t="n"/>
      <c r="D971" s="55" t="n"/>
      <c r="E971" s="93" t="n"/>
      <c r="F971" s="94" t="n"/>
      <c r="G971" s="94" t="n"/>
      <c r="H971" s="94" t="n"/>
      <c r="I971" s="94" t="n"/>
      <c r="J971" s="55" t="n"/>
      <c r="K971" s="95" t="n"/>
      <c r="L971" s="116">
        <f>IF($A971="","",DATE(YEAR($A971),MONTH($A971)+IF(AND(IFERROR(N(INDEX(Übersicht!$M$15:$M$22,MATCH($B971,Übersicht!$A$15:$A$22,0))),0)&gt;1,DAY($A971)&gt;=IFERROR(N(INDEX(Übersicht!$M$15:$M$22,MATCH($B971,Übersicht!$A$15:$A$22,0))),0)),1,0),1))</f>
        <v/>
      </c>
    </row>
    <row r="972">
      <c r="A972" s="92" t="n"/>
      <c r="B972" s="55" t="n"/>
      <c r="C972" s="55" t="n"/>
      <c r="D972" s="55" t="n"/>
      <c r="E972" s="93" t="n"/>
      <c r="F972" s="94" t="n"/>
      <c r="G972" s="94" t="n"/>
      <c r="H972" s="94" t="n"/>
      <c r="I972" s="94" t="n"/>
      <c r="J972" s="55" t="n"/>
      <c r="K972" s="95" t="n"/>
      <c r="L972" s="116">
        <f>IF($A972="","",DATE(YEAR($A972),MONTH($A972)+IF(AND(IFERROR(N(INDEX(Übersicht!$M$15:$M$22,MATCH($B972,Übersicht!$A$15:$A$22,0))),0)&gt;1,DAY($A972)&gt;=IFERROR(N(INDEX(Übersicht!$M$15:$M$22,MATCH($B972,Übersicht!$A$15:$A$22,0))),0)),1,0),1))</f>
        <v/>
      </c>
    </row>
    <row r="973">
      <c r="A973" s="92" t="n"/>
      <c r="B973" s="55" t="n"/>
      <c r="C973" s="55" t="n"/>
      <c r="D973" s="55" t="n"/>
      <c r="E973" s="93" t="n"/>
      <c r="F973" s="94" t="n"/>
      <c r="G973" s="94" t="n"/>
      <c r="H973" s="94" t="n"/>
      <c r="I973" s="94" t="n"/>
      <c r="J973" s="55" t="n"/>
      <c r="K973" s="95" t="n"/>
      <c r="L973" s="116">
        <f>IF($A973="","",DATE(YEAR($A973),MONTH($A973)+IF(AND(IFERROR(N(INDEX(Übersicht!$M$15:$M$22,MATCH($B973,Übersicht!$A$15:$A$22,0))),0)&gt;1,DAY($A973)&gt;=IFERROR(N(INDEX(Übersicht!$M$15:$M$22,MATCH($B973,Übersicht!$A$15:$A$22,0))),0)),1,0),1))</f>
        <v/>
      </c>
    </row>
    <row r="974">
      <c r="A974" s="92" t="n"/>
      <c r="B974" s="55" t="n"/>
      <c r="C974" s="55" t="n"/>
      <c r="D974" s="55" t="n"/>
      <c r="E974" s="93" t="n"/>
      <c r="F974" s="94" t="n"/>
      <c r="G974" s="94" t="n"/>
      <c r="H974" s="94" t="n"/>
      <c r="I974" s="94" t="n"/>
      <c r="J974" s="55" t="n"/>
      <c r="K974" s="95" t="n"/>
      <c r="L974" s="116">
        <f>IF($A974="","",DATE(YEAR($A974),MONTH($A974)+IF(AND(IFERROR(N(INDEX(Übersicht!$M$15:$M$22,MATCH($B974,Übersicht!$A$15:$A$22,0))),0)&gt;1,DAY($A974)&gt;=IFERROR(N(INDEX(Übersicht!$M$15:$M$22,MATCH($B974,Übersicht!$A$15:$A$22,0))),0)),1,0),1))</f>
        <v/>
      </c>
    </row>
    <row r="975">
      <c r="A975" s="92" t="n"/>
      <c r="B975" s="55" t="n"/>
      <c r="C975" s="55" t="n"/>
      <c r="D975" s="55" t="n"/>
      <c r="E975" s="93" t="n"/>
      <c r="F975" s="94" t="n"/>
      <c r="G975" s="94" t="n"/>
      <c r="H975" s="94" t="n"/>
      <c r="I975" s="94" t="n"/>
      <c r="J975" s="55" t="n"/>
      <c r="K975" s="95" t="n"/>
      <c r="L975" s="116">
        <f>IF($A975="","",DATE(YEAR($A975),MONTH($A975)+IF(AND(IFERROR(N(INDEX(Übersicht!$M$15:$M$22,MATCH($B975,Übersicht!$A$15:$A$22,0))),0)&gt;1,DAY($A975)&gt;=IFERROR(N(INDEX(Übersicht!$M$15:$M$22,MATCH($B975,Übersicht!$A$15:$A$22,0))),0)),1,0),1))</f>
        <v/>
      </c>
    </row>
    <row r="976">
      <c r="A976" s="92" t="n"/>
      <c r="B976" s="55" t="n"/>
      <c r="C976" s="55" t="n"/>
      <c r="D976" s="55" t="n"/>
      <c r="E976" s="93" t="n"/>
      <c r="F976" s="94" t="n"/>
      <c r="G976" s="94" t="n"/>
      <c r="H976" s="94" t="n"/>
      <c r="I976" s="94" t="n"/>
      <c r="J976" s="55" t="n"/>
      <c r="K976" s="95" t="n"/>
      <c r="L976" s="116">
        <f>IF($A976="","",DATE(YEAR($A976),MONTH($A976)+IF(AND(IFERROR(N(INDEX(Übersicht!$M$15:$M$22,MATCH($B976,Übersicht!$A$15:$A$22,0))),0)&gt;1,DAY($A976)&gt;=IFERROR(N(INDEX(Übersicht!$M$15:$M$22,MATCH($B976,Übersicht!$A$15:$A$22,0))),0)),1,0),1))</f>
        <v/>
      </c>
    </row>
    <row r="977">
      <c r="A977" s="92" t="n"/>
      <c r="B977" s="55" t="n"/>
      <c r="C977" s="55" t="n"/>
      <c r="D977" s="55" t="n"/>
      <c r="E977" s="93" t="n"/>
      <c r="F977" s="94" t="n"/>
      <c r="G977" s="94" t="n"/>
      <c r="H977" s="94" t="n"/>
      <c r="I977" s="94" t="n"/>
      <c r="J977" s="55" t="n"/>
      <c r="K977" s="95" t="n"/>
      <c r="L977" s="116">
        <f>IF($A977="","",DATE(YEAR($A977),MONTH($A977)+IF(AND(IFERROR(N(INDEX(Übersicht!$M$15:$M$22,MATCH($B977,Übersicht!$A$15:$A$22,0))),0)&gt;1,DAY($A977)&gt;=IFERROR(N(INDEX(Übersicht!$M$15:$M$22,MATCH($B977,Übersicht!$A$15:$A$22,0))),0)),1,0),1))</f>
        <v/>
      </c>
    </row>
    <row r="978">
      <c r="A978" s="92" t="n"/>
      <c r="B978" s="55" t="n"/>
      <c r="C978" s="55" t="n"/>
      <c r="D978" s="55" t="n"/>
      <c r="E978" s="93" t="n"/>
      <c r="F978" s="94" t="n"/>
      <c r="G978" s="94" t="n"/>
      <c r="H978" s="94" t="n"/>
      <c r="I978" s="94" t="n"/>
      <c r="J978" s="55" t="n"/>
      <c r="K978" s="95" t="n"/>
      <c r="L978" s="116">
        <f>IF($A978="","",DATE(YEAR($A978),MONTH($A978)+IF(AND(IFERROR(N(INDEX(Übersicht!$M$15:$M$22,MATCH($B978,Übersicht!$A$15:$A$22,0))),0)&gt;1,DAY($A978)&gt;=IFERROR(N(INDEX(Übersicht!$M$15:$M$22,MATCH($B978,Übersicht!$A$15:$A$22,0))),0)),1,0),1))</f>
        <v/>
      </c>
    </row>
    <row r="979">
      <c r="A979" s="92" t="n"/>
      <c r="B979" s="55" t="n"/>
      <c r="C979" s="55" t="n"/>
      <c r="D979" s="55" t="n"/>
      <c r="E979" s="93" t="n"/>
      <c r="F979" s="94" t="n"/>
      <c r="G979" s="94" t="n"/>
      <c r="H979" s="94" t="n"/>
      <c r="I979" s="94" t="n"/>
      <c r="J979" s="55" t="n"/>
      <c r="K979" s="95" t="n"/>
      <c r="L979" s="116">
        <f>IF($A979="","",DATE(YEAR($A979),MONTH($A979)+IF(AND(IFERROR(N(INDEX(Übersicht!$M$15:$M$22,MATCH($B979,Übersicht!$A$15:$A$22,0))),0)&gt;1,DAY($A979)&gt;=IFERROR(N(INDEX(Übersicht!$M$15:$M$22,MATCH($B979,Übersicht!$A$15:$A$22,0))),0)),1,0),1))</f>
        <v/>
      </c>
    </row>
    <row r="980">
      <c r="A980" s="92" t="n"/>
      <c r="B980" s="55" t="n"/>
      <c r="C980" s="55" t="n"/>
      <c r="D980" s="55" t="n"/>
      <c r="E980" s="93" t="n"/>
      <c r="F980" s="94" t="n"/>
      <c r="G980" s="94" t="n"/>
      <c r="H980" s="94" t="n"/>
      <c r="I980" s="94" t="n"/>
      <c r="J980" s="55" t="n"/>
      <c r="K980" s="95" t="n"/>
      <c r="L980" s="116">
        <f>IF($A980="","",DATE(YEAR($A980),MONTH($A980)+IF(AND(IFERROR(N(INDEX(Übersicht!$M$15:$M$22,MATCH($B980,Übersicht!$A$15:$A$22,0))),0)&gt;1,DAY($A980)&gt;=IFERROR(N(INDEX(Übersicht!$M$15:$M$22,MATCH($B980,Übersicht!$A$15:$A$22,0))),0)),1,0),1))</f>
        <v/>
      </c>
    </row>
    <row r="981">
      <c r="A981" s="92" t="n"/>
      <c r="B981" s="55" t="n"/>
      <c r="C981" s="55" t="n"/>
      <c r="D981" s="55" t="n"/>
      <c r="E981" s="93" t="n"/>
      <c r="F981" s="94" t="n"/>
      <c r="G981" s="94" t="n"/>
      <c r="H981" s="94" t="n"/>
      <c r="I981" s="94" t="n"/>
      <c r="J981" s="55" t="n"/>
      <c r="K981" s="95" t="n"/>
      <c r="L981" s="116">
        <f>IF($A981="","",DATE(YEAR($A981),MONTH($A981)+IF(AND(IFERROR(N(INDEX(Übersicht!$M$15:$M$22,MATCH($B981,Übersicht!$A$15:$A$22,0))),0)&gt;1,DAY($A981)&gt;=IFERROR(N(INDEX(Übersicht!$M$15:$M$22,MATCH($B981,Übersicht!$A$15:$A$22,0))),0)),1,0),1))</f>
        <v/>
      </c>
    </row>
    <row r="982">
      <c r="A982" s="92" t="n"/>
      <c r="B982" s="55" t="n"/>
      <c r="C982" s="55" t="n"/>
      <c r="D982" s="55" t="n"/>
      <c r="E982" s="93" t="n"/>
      <c r="F982" s="94" t="n"/>
      <c r="G982" s="94" t="n"/>
      <c r="H982" s="94" t="n"/>
      <c r="I982" s="94" t="n"/>
      <c r="J982" s="55" t="n"/>
      <c r="K982" s="95" t="n"/>
      <c r="L982" s="116">
        <f>IF($A982="","",DATE(YEAR($A982),MONTH($A982)+IF(AND(IFERROR(N(INDEX(Übersicht!$M$15:$M$22,MATCH($B982,Übersicht!$A$15:$A$22,0))),0)&gt;1,DAY($A982)&gt;=IFERROR(N(INDEX(Übersicht!$M$15:$M$22,MATCH($B982,Übersicht!$A$15:$A$22,0))),0)),1,0),1))</f>
        <v/>
      </c>
    </row>
    <row r="983">
      <c r="A983" s="92" t="n"/>
      <c r="B983" s="55" t="n"/>
      <c r="C983" s="55" t="n"/>
      <c r="D983" s="55" t="n"/>
      <c r="E983" s="93" t="n"/>
      <c r="F983" s="94" t="n"/>
      <c r="G983" s="94" t="n"/>
      <c r="H983" s="94" t="n"/>
      <c r="I983" s="94" t="n"/>
      <c r="J983" s="55" t="n"/>
      <c r="K983" s="95" t="n"/>
      <c r="L983" s="116">
        <f>IF($A983="","",DATE(YEAR($A983),MONTH($A983)+IF(AND(IFERROR(N(INDEX(Übersicht!$M$15:$M$22,MATCH($B983,Übersicht!$A$15:$A$22,0))),0)&gt;1,DAY($A983)&gt;=IFERROR(N(INDEX(Übersicht!$M$15:$M$22,MATCH($B983,Übersicht!$A$15:$A$22,0))),0)),1,0),1))</f>
        <v/>
      </c>
    </row>
    <row r="984">
      <c r="A984" s="92" t="n"/>
      <c r="B984" s="55" t="n"/>
      <c r="C984" s="55" t="n"/>
      <c r="D984" s="55" t="n"/>
      <c r="E984" s="93" t="n"/>
      <c r="F984" s="94" t="n"/>
      <c r="G984" s="94" t="n"/>
      <c r="H984" s="94" t="n"/>
      <c r="I984" s="94" t="n"/>
      <c r="J984" s="55" t="n"/>
      <c r="K984" s="95" t="n"/>
      <c r="L984" s="116">
        <f>IF($A984="","",DATE(YEAR($A984),MONTH($A984)+IF(AND(IFERROR(N(INDEX(Übersicht!$M$15:$M$22,MATCH($B984,Übersicht!$A$15:$A$22,0))),0)&gt;1,DAY($A984)&gt;=IFERROR(N(INDEX(Übersicht!$M$15:$M$22,MATCH($B984,Übersicht!$A$15:$A$22,0))),0)),1,0),1))</f>
        <v/>
      </c>
    </row>
    <row r="985">
      <c r="A985" s="92" t="n"/>
      <c r="B985" s="55" t="n"/>
      <c r="C985" s="55" t="n"/>
      <c r="D985" s="55" t="n"/>
      <c r="E985" s="93" t="n"/>
      <c r="F985" s="94" t="n"/>
      <c r="G985" s="94" t="n"/>
      <c r="H985" s="94" t="n"/>
      <c r="I985" s="94" t="n"/>
      <c r="J985" s="55" t="n"/>
      <c r="K985" s="95" t="n"/>
      <c r="L985" s="116">
        <f>IF($A985="","",DATE(YEAR($A985),MONTH($A985)+IF(AND(IFERROR(N(INDEX(Übersicht!$M$15:$M$22,MATCH($B985,Übersicht!$A$15:$A$22,0))),0)&gt;1,DAY($A985)&gt;=IFERROR(N(INDEX(Übersicht!$M$15:$M$22,MATCH($B985,Übersicht!$A$15:$A$22,0))),0)),1,0),1))</f>
        <v/>
      </c>
    </row>
    <row r="986">
      <c r="A986" s="92" t="n"/>
      <c r="B986" s="55" t="n"/>
      <c r="C986" s="55" t="n"/>
      <c r="D986" s="55" t="n"/>
      <c r="E986" s="93" t="n"/>
      <c r="F986" s="94" t="n"/>
      <c r="G986" s="94" t="n"/>
      <c r="H986" s="94" t="n"/>
      <c r="I986" s="94" t="n"/>
      <c r="J986" s="55" t="n"/>
      <c r="K986" s="95" t="n"/>
      <c r="L986" s="116">
        <f>IF($A986="","",DATE(YEAR($A986),MONTH($A986)+IF(AND(IFERROR(N(INDEX(Übersicht!$M$15:$M$22,MATCH($B986,Übersicht!$A$15:$A$22,0))),0)&gt;1,DAY($A986)&gt;=IFERROR(N(INDEX(Übersicht!$M$15:$M$22,MATCH($B986,Übersicht!$A$15:$A$22,0))),0)),1,0),1))</f>
        <v/>
      </c>
    </row>
    <row r="987">
      <c r="A987" s="92" t="n"/>
      <c r="B987" s="55" t="n"/>
      <c r="C987" s="55" t="n"/>
      <c r="D987" s="55" t="n"/>
      <c r="E987" s="93" t="n"/>
      <c r="F987" s="94" t="n"/>
      <c r="G987" s="94" t="n"/>
      <c r="H987" s="94" t="n"/>
      <c r="I987" s="94" t="n"/>
      <c r="J987" s="55" t="n"/>
      <c r="K987" s="95" t="n"/>
      <c r="L987" s="116">
        <f>IF($A987="","",DATE(YEAR($A987),MONTH($A987)+IF(AND(IFERROR(N(INDEX(Übersicht!$M$15:$M$22,MATCH($B987,Übersicht!$A$15:$A$22,0))),0)&gt;1,DAY($A987)&gt;=IFERROR(N(INDEX(Übersicht!$M$15:$M$22,MATCH($B987,Übersicht!$A$15:$A$22,0))),0)),1,0),1))</f>
        <v/>
      </c>
    </row>
    <row r="988">
      <c r="A988" s="92" t="n"/>
      <c r="B988" s="55" t="n"/>
      <c r="C988" s="55" t="n"/>
      <c r="D988" s="55" t="n"/>
      <c r="E988" s="93" t="n"/>
      <c r="F988" s="94" t="n"/>
      <c r="G988" s="94" t="n"/>
      <c r="H988" s="94" t="n"/>
      <c r="I988" s="94" t="n"/>
      <c r="J988" s="55" t="n"/>
      <c r="K988" s="95" t="n"/>
      <c r="L988" s="116">
        <f>IF($A988="","",DATE(YEAR($A988),MONTH($A988)+IF(AND(IFERROR(N(INDEX(Übersicht!$M$15:$M$22,MATCH($B988,Übersicht!$A$15:$A$22,0))),0)&gt;1,DAY($A988)&gt;=IFERROR(N(INDEX(Übersicht!$M$15:$M$22,MATCH($B988,Übersicht!$A$15:$A$22,0))),0)),1,0),1))</f>
        <v/>
      </c>
    </row>
    <row r="989">
      <c r="A989" s="92" t="n"/>
      <c r="B989" s="55" t="n"/>
      <c r="C989" s="55" t="n"/>
      <c r="D989" s="55" t="n"/>
      <c r="E989" s="93" t="n"/>
      <c r="F989" s="94" t="n"/>
      <c r="G989" s="94" t="n"/>
      <c r="H989" s="94" t="n"/>
      <c r="I989" s="94" t="n"/>
      <c r="J989" s="55" t="n"/>
      <c r="K989" s="95" t="n"/>
      <c r="L989" s="116">
        <f>IF($A989="","",DATE(YEAR($A989),MONTH($A989)+IF(AND(IFERROR(N(INDEX(Übersicht!$M$15:$M$22,MATCH($B989,Übersicht!$A$15:$A$22,0))),0)&gt;1,DAY($A989)&gt;=IFERROR(N(INDEX(Übersicht!$M$15:$M$22,MATCH($B989,Übersicht!$A$15:$A$22,0))),0)),1,0),1))</f>
        <v/>
      </c>
    </row>
    <row r="990">
      <c r="A990" s="92" t="n"/>
      <c r="B990" s="55" t="n"/>
      <c r="C990" s="55" t="n"/>
      <c r="D990" s="55" t="n"/>
      <c r="E990" s="93" t="n"/>
      <c r="F990" s="94" t="n"/>
      <c r="G990" s="94" t="n"/>
      <c r="H990" s="94" t="n"/>
      <c r="I990" s="94" t="n"/>
      <c r="J990" s="55" t="n"/>
      <c r="K990" s="95" t="n"/>
      <c r="L990" s="116">
        <f>IF($A990="","",DATE(YEAR($A990),MONTH($A990)+IF(AND(IFERROR(N(INDEX(Übersicht!$M$15:$M$22,MATCH($B990,Übersicht!$A$15:$A$22,0))),0)&gt;1,DAY($A990)&gt;=IFERROR(N(INDEX(Übersicht!$M$15:$M$22,MATCH($B990,Übersicht!$A$15:$A$22,0))),0)),1,0),1))</f>
        <v/>
      </c>
    </row>
    <row r="991">
      <c r="A991" s="92" t="n"/>
      <c r="B991" s="55" t="n"/>
      <c r="C991" s="55" t="n"/>
      <c r="D991" s="55" t="n"/>
      <c r="E991" s="93" t="n"/>
      <c r="F991" s="94" t="n"/>
      <c r="G991" s="94" t="n"/>
      <c r="H991" s="94" t="n"/>
      <c r="I991" s="94" t="n"/>
      <c r="J991" s="55" t="n"/>
      <c r="K991" s="95" t="n"/>
      <c r="L991" s="116">
        <f>IF($A991="","",DATE(YEAR($A991),MONTH($A991)+IF(AND(IFERROR(N(INDEX(Übersicht!$M$15:$M$22,MATCH($B991,Übersicht!$A$15:$A$22,0))),0)&gt;1,DAY($A991)&gt;=IFERROR(N(INDEX(Übersicht!$M$15:$M$22,MATCH($B991,Übersicht!$A$15:$A$22,0))),0)),1,0),1))</f>
        <v/>
      </c>
    </row>
    <row r="992">
      <c r="A992" s="92" t="n"/>
      <c r="B992" s="55" t="n"/>
      <c r="C992" s="55" t="n"/>
      <c r="D992" s="55" t="n"/>
      <c r="E992" s="93" t="n"/>
      <c r="F992" s="94" t="n"/>
      <c r="G992" s="94" t="n"/>
      <c r="H992" s="94" t="n"/>
      <c r="I992" s="94" t="n"/>
      <c r="J992" s="55" t="n"/>
      <c r="K992" s="95" t="n"/>
      <c r="L992" s="116">
        <f>IF($A992="","",DATE(YEAR($A992),MONTH($A992)+IF(AND(IFERROR(N(INDEX(Übersicht!$M$15:$M$22,MATCH($B992,Übersicht!$A$15:$A$22,0))),0)&gt;1,DAY($A992)&gt;=IFERROR(N(INDEX(Übersicht!$M$15:$M$22,MATCH($B992,Übersicht!$A$15:$A$22,0))),0)),1,0),1))</f>
        <v/>
      </c>
    </row>
    <row r="993">
      <c r="A993" s="92" t="n"/>
      <c r="B993" s="55" t="n"/>
      <c r="C993" s="55" t="n"/>
      <c r="D993" s="55" t="n"/>
      <c r="E993" s="93" t="n"/>
      <c r="F993" s="94" t="n"/>
      <c r="G993" s="94" t="n"/>
      <c r="H993" s="94" t="n"/>
      <c r="I993" s="94" t="n"/>
      <c r="J993" s="55" t="n"/>
      <c r="K993" s="95" t="n"/>
      <c r="L993" s="116">
        <f>IF($A993="","",DATE(YEAR($A993),MONTH($A993)+IF(AND(IFERROR(N(INDEX(Übersicht!$M$15:$M$22,MATCH($B993,Übersicht!$A$15:$A$22,0))),0)&gt;1,DAY($A993)&gt;=IFERROR(N(INDEX(Übersicht!$M$15:$M$22,MATCH($B993,Übersicht!$A$15:$A$22,0))),0)),1,0),1))</f>
        <v/>
      </c>
    </row>
    <row r="994">
      <c r="A994" s="92" t="n"/>
      <c r="B994" s="55" t="n"/>
      <c r="C994" s="55" t="n"/>
      <c r="D994" s="55" t="n"/>
      <c r="E994" s="93" t="n"/>
      <c r="F994" s="94" t="n"/>
      <c r="G994" s="94" t="n"/>
      <c r="H994" s="94" t="n"/>
      <c r="I994" s="94" t="n"/>
      <c r="J994" s="55" t="n"/>
      <c r="K994" s="95" t="n"/>
      <c r="L994" s="116">
        <f>IF($A994="","",DATE(YEAR($A994),MONTH($A994)+IF(AND(IFERROR(N(INDEX(Übersicht!$M$15:$M$22,MATCH($B994,Übersicht!$A$15:$A$22,0))),0)&gt;1,DAY($A994)&gt;=IFERROR(N(INDEX(Übersicht!$M$15:$M$22,MATCH($B994,Übersicht!$A$15:$A$22,0))),0)),1,0),1))</f>
        <v/>
      </c>
    </row>
    <row r="995">
      <c r="A995" s="92" t="n"/>
      <c r="B995" s="55" t="n"/>
      <c r="C995" s="55" t="n"/>
      <c r="D995" s="55" t="n"/>
      <c r="E995" s="93" t="n"/>
      <c r="F995" s="94" t="n"/>
      <c r="G995" s="94" t="n"/>
      <c r="H995" s="94" t="n"/>
      <c r="I995" s="94" t="n"/>
      <c r="J995" s="55" t="n"/>
      <c r="K995" s="95" t="n"/>
      <c r="L995" s="116">
        <f>IF($A995="","",DATE(YEAR($A995),MONTH($A995)+IF(AND(IFERROR(N(INDEX(Übersicht!$M$15:$M$22,MATCH($B995,Übersicht!$A$15:$A$22,0))),0)&gt;1,DAY($A995)&gt;=IFERROR(N(INDEX(Übersicht!$M$15:$M$22,MATCH($B995,Übersicht!$A$15:$A$22,0))),0)),1,0),1))</f>
        <v/>
      </c>
    </row>
    <row r="996">
      <c r="A996" s="92" t="n"/>
      <c r="B996" s="55" t="n"/>
      <c r="C996" s="55" t="n"/>
      <c r="D996" s="55" t="n"/>
      <c r="E996" s="93" t="n"/>
      <c r="F996" s="94" t="n"/>
      <c r="G996" s="94" t="n"/>
      <c r="H996" s="94" t="n"/>
      <c r="I996" s="94" t="n"/>
      <c r="J996" s="55" t="n"/>
      <c r="K996" s="95" t="n"/>
      <c r="L996" s="116">
        <f>IF($A996="","",DATE(YEAR($A996),MONTH($A996)+IF(AND(IFERROR(N(INDEX(Übersicht!$M$15:$M$22,MATCH($B996,Übersicht!$A$15:$A$22,0))),0)&gt;1,DAY($A996)&gt;=IFERROR(N(INDEX(Übersicht!$M$15:$M$22,MATCH($B996,Übersicht!$A$15:$A$22,0))),0)),1,0),1))</f>
        <v/>
      </c>
    </row>
    <row r="997">
      <c r="A997" s="92" t="n"/>
      <c r="B997" s="55" t="n"/>
      <c r="C997" s="55" t="n"/>
      <c r="D997" s="55" t="n"/>
      <c r="E997" s="93" t="n"/>
      <c r="F997" s="94" t="n"/>
      <c r="G997" s="94" t="n"/>
      <c r="H997" s="94" t="n"/>
      <c r="I997" s="94" t="n"/>
      <c r="J997" s="55" t="n"/>
      <c r="K997" s="95" t="n"/>
      <c r="L997" s="116">
        <f>IF($A997="","",DATE(YEAR($A997),MONTH($A997)+IF(AND(IFERROR(N(INDEX(Übersicht!$M$15:$M$22,MATCH($B997,Übersicht!$A$15:$A$22,0))),0)&gt;1,DAY($A997)&gt;=IFERROR(N(INDEX(Übersicht!$M$15:$M$22,MATCH($B997,Übersicht!$A$15:$A$22,0))),0)),1,0),1))</f>
        <v/>
      </c>
    </row>
    <row r="998">
      <c r="A998" s="92" t="n"/>
      <c r="B998" s="55" t="n"/>
      <c r="C998" s="55" t="n"/>
      <c r="D998" s="55" t="n"/>
      <c r="E998" s="93" t="n"/>
      <c r="F998" s="94" t="n"/>
      <c r="G998" s="94" t="n"/>
      <c r="H998" s="94" t="n"/>
      <c r="I998" s="94" t="n"/>
      <c r="J998" s="55" t="n"/>
      <c r="K998" s="95" t="n"/>
      <c r="L998" s="116">
        <f>IF($A998="","",DATE(YEAR($A998),MONTH($A998)+IF(AND(IFERROR(N(INDEX(Übersicht!$M$15:$M$22,MATCH($B998,Übersicht!$A$15:$A$22,0))),0)&gt;1,DAY($A998)&gt;=IFERROR(N(INDEX(Übersicht!$M$15:$M$22,MATCH($B998,Übersicht!$A$15:$A$22,0))),0)),1,0),1))</f>
        <v/>
      </c>
    </row>
    <row r="999">
      <c r="A999" s="92" t="n"/>
      <c r="B999" s="55" t="n"/>
      <c r="C999" s="55" t="n"/>
      <c r="D999" s="55" t="n"/>
      <c r="E999" s="93" t="n"/>
      <c r="F999" s="94" t="n"/>
      <c r="G999" s="94" t="n"/>
      <c r="H999" s="94" t="n"/>
      <c r="I999" s="94" t="n"/>
      <c r="J999" s="55" t="n"/>
      <c r="K999" s="95" t="n"/>
      <c r="L999" s="116">
        <f>IF($A999="","",DATE(YEAR($A999),MONTH($A999)+IF(AND(IFERROR(N(INDEX(Übersicht!$M$15:$M$22,MATCH($B999,Übersicht!$A$15:$A$22,0))),0)&gt;1,DAY($A999)&gt;=IFERROR(N(INDEX(Übersicht!$M$15:$M$22,MATCH($B999,Übersicht!$A$15:$A$22,0))),0)),1,0),1))</f>
        <v/>
      </c>
    </row>
    <row r="1000">
      <c r="A1000" s="92" t="n"/>
      <c r="B1000" s="55" t="n"/>
      <c r="C1000" s="55" t="n"/>
      <c r="D1000" s="55" t="n"/>
      <c r="E1000" s="93" t="n"/>
      <c r="F1000" s="94" t="n"/>
      <c r="G1000" s="94" t="n"/>
      <c r="H1000" s="94" t="n"/>
      <c r="I1000" s="94" t="n"/>
      <c r="J1000" s="55" t="n"/>
      <c r="K1000" s="95" t="n"/>
      <c r="L1000" s="116">
        <f>IF($A1000="","",DATE(YEAR($A1000),MONTH($A1000)+IF(AND(IFERROR(N(INDEX(Übersicht!$M$15:$M$22,MATCH($B1000,Übersicht!$A$15:$A$22,0))),0)&gt;1,DAY($A1000)&gt;=IFERROR(N(INDEX(Übersicht!$M$15:$M$22,MATCH($B1000,Übersicht!$A$15:$A$22,0))),0)),1,0),1))</f>
        <v/>
      </c>
    </row>
    <row r="1001">
      <c r="A1001" s="92" t="n"/>
      <c r="B1001" s="55" t="n"/>
      <c r="C1001" s="55" t="n"/>
      <c r="D1001" s="55" t="n"/>
      <c r="E1001" s="93" t="n"/>
      <c r="F1001" s="94" t="n"/>
      <c r="G1001" s="94" t="n"/>
      <c r="H1001" s="94" t="n"/>
      <c r="I1001" s="94" t="n"/>
      <c r="J1001" s="55" t="n"/>
      <c r="K1001" s="95" t="n"/>
      <c r="L1001" s="116">
        <f>IF($A1001="","",DATE(YEAR($A1001),MONTH($A1001)+IF(AND(IFERROR(N(INDEX(Übersicht!$M$15:$M$22,MATCH($B1001,Übersicht!$A$15:$A$22,0))),0)&gt;1,DAY($A1001)&gt;=IFERROR(N(INDEX(Übersicht!$M$15:$M$22,MATCH($B1001,Übersicht!$A$15:$A$22,0))),0)),1,0),1))</f>
        <v/>
      </c>
    </row>
    <row r="1002">
      <c r="A1002" s="92" t="n"/>
      <c r="B1002" s="55" t="n"/>
      <c r="C1002" s="55" t="n"/>
      <c r="D1002" s="55" t="n"/>
      <c r="E1002" s="93" t="n"/>
      <c r="F1002" s="94" t="n"/>
      <c r="G1002" s="94" t="n"/>
      <c r="H1002" s="94" t="n"/>
      <c r="I1002" s="94" t="n"/>
      <c r="J1002" s="55" t="n"/>
      <c r="K1002" s="95" t="n"/>
      <c r="L1002" s="116">
        <f>IF($A1002="","",DATE(YEAR($A1002),MONTH($A1002)+IF(AND(IFERROR(N(INDEX(Übersicht!$M$15:$M$22,MATCH($B1002,Übersicht!$A$15:$A$22,0))),0)&gt;1,DAY($A1002)&gt;=IFERROR(N(INDEX(Übersicht!$M$15:$M$22,MATCH($B1002,Übersicht!$A$15:$A$22,0))),0)),1,0),1))</f>
        <v/>
      </c>
    </row>
    <row r="1003">
      <c r="A1003" s="92" t="n"/>
      <c r="B1003" s="55" t="n"/>
      <c r="C1003" s="55" t="n"/>
      <c r="D1003" s="55" t="n"/>
      <c r="E1003" s="93" t="n"/>
      <c r="F1003" s="94" t="n"/>
      <c r="G1003" s="94" t="n"/>
      <c r="H1003" s="94" t="n"/>
      <c r="I1003" s="94" t="n"/>
      <c r="J1003" s="55" t="n"/>
      <c r="K1003" s="95" t="n"/>
      <c r="L1003" s="116">
        <f>IF($A1003="","",DATE(YEAR($A1003),MONTH($A1003)+IF(AND(IFERROR(N(INDEX(Übersicht!$M$15:$M$22,MATCH($B1003,Übersicht!$A$15:$A$22,0))),0)&gt;1,DAY($A1003)&gt;=IFERROR(N(INDEX(Übersicht!$M$15:$M$22,MATCH($B1003,Übersicht!$A$15:$A$22,0))),0)),1,0),1))</f>
        <v/>
      </c>
    </row>
    <row r="1004">
      <c r="A1004" s="92" t="n"/>
      <c r="B1004" s="55" t="n"/>
      <c r="C1004" s="55" t="n"/>
      <c r="D1004" s="55" t="n"/>
      <c r="E1004" s="93" t="n"/>
      <c r="F1004" s="94" t="n"/>
      <c r="G1004" s="94" t="n"/>
      <c r="H1004" s="94" t="n"/>
      <c r="I1004" s="94" t="n"/>
      <c r="J1004" s="55" t="n"/>
      <c r="K1004" s="95" t="n"/>
      <c r="L1004" s="116">
        <f>IF($A1004="","",DATE(YEAR($A1004),MONTH($A1004)+IF(AND(IFERROR(N(INDEX(Übersicht!$M$15:$M$22,MATCH($B1004,Übersicht!$A$15:$A$22,0))),0)&gt;1,DAY($A1004)&gt;=IFERROR(N(INDEX(Übersicht!$M$15:$M$22,MATCH($B1004,Übersicht!$A$15:$A$22,0))),0)),1,0),1))</f>
        <v/>
      </c>
    </row>
    <row r="1005">
      <c r="A1005" s="92" t="n"/>
      <c r="B1005" s="55" t="n"/>
      <c r="C1005" s="55" t="n"/>
      <c r="D1005" s="55" t="n"/>
      <c r="E1005" s="93" t="n"/>
      <c r="F1005" s="94" t="n"/>
      <c r="G1005" s="94" t="n"/>
      <c r="H1005" s="94" t="n"/>
      <c r="I1005" s="94" t="n"/>
      <c r="J1005" s="55" t="n"/>
      <c r="K1005" s="95" t="n"/>
      <c r="L1005" s="116">
        <f>IF($A1005="","",DATE(YEAR($A1005),MONTH($A1005)+IF(AND(IFERROR(N(INDEX(Übersicht!$M$15:$M$22,MATCH($B1005,Übersicht!$A$15:$A$22,0))),0)&gt;1,DAY($A1005)&gt;=IFERROR(N(INDEX(Übersicht!$M$15:$M$22,MATCH($B1005,Übersicht!$A$15:$A$22,0))),0)),1,0),1))</f>
        <v/>
      </c>
    </row>
    <row r="1006">
      <c r="A1006" s="92" t="n"/>
      <c r="B1006" s="55" t="n"/>
      <c r="C1006" s="55" t="n"/>
      <c r="D1006" s="55" t="n"/>
      <c r="E1006" s="93" t="n"/>
      <c r="F1006" s="94" t="n"/>
      <c r="G1006" s="94" t="n"/>
      <c r="H1006" s="94" t="n"/>
      <c r="I1006" s="94" t="n"/>
      <c r="J1006" s="55" t="n"/>
      <c r="K1006" s="95" t="n"/>
      <c r="L1006" s="116">
        <f>IF($A1006="","",DATE(YEAR($A1006),MONTH($A1006)+IF(AND(IFERROR(N(INDEX(Übersicht!$M$15:$M$22,MATCH($B1006,Übersicht!$A$15:$A$22,0))),0)&gt;1,DAY($A1006)&gt;=IFERROR(N(INDEX(Übersicht!$M$15:$M$22,MATCH($B1006,Übersicht!$A$15:$A$22,0))),0)),1,0),1))</f>
        <v/>
      </c>
    </row>
    <row r="1007">
      <c r="A1007" s="92" t="n"/>
      <c r="B1007" s="55" t="n"/>
      <c r="C1007" s="55" t="n"/>
      <c r="D1007" s="55" t="n"/>
      <c r="E1007" s="93" t="n"/>
      <c r="F1007" s="94" t="n"/>
      <c r="G1007" s="94" t="n"/>
      <c r="H1007" s="94" t="n"/>
      <c r="I1007" s="94" t="n"/>
      <c r="J1007" s="55" t="n"/>
      <c r="K1007" s="95" t="n"/>
      <c r="L1007" s="116">
        <f>IF($A1007="","",DATE(YEAR($A1007),MONTH($A1007)+IF(AND(IFERROR(N(INDEX(Übersicht!$M$15:$M$22,MATCH($B1007,Übersicht!$A$15:$A$22,0))),0)&gt;1,DAY($A1007)&gt;=IFERROR(N(INDEX(Übersicht!$M$15:$M$22,MATCH($B1007,Übersicht!$A$15:$A$22,0))),0)),1,0),1))</f>
        <v/>
      </c>
    </row>
    <row r="1008">
      <c r="A1008" s="92" t="n"/>
      <c r="B1008" s="55" t="n"/>
      <c r="C1008" s="55" t="n"/>
      <c r="D1008" s="55" t="n"/>
      <c r="E1008" s="93" t="n"/>
      <c r="F1008" s="94" t="n"/>
      <c r="G1008" s="94" t="n"/>
      <c r="H1008" s="94" t="n"/>
      <c r="I1008" s="94" t="n"/>
      <c r="J1008" s="55" t="n"/>
      <c r="K1008" s="95" t="n"/>
      <c r="L1008" s="116">
        <f>IF($A1008="","",DATE(YEAR($A1008),MONTH($A1008)+IF(AND(IFERROR(N(INDEX(Übersicht!$M$15:$M$22,MATCH($B1008,Übersicht!$A$15:$A$22,0))),0)&gt;1,DAY($A1008)&gt;=IFERROR(N(INDEX(Übersicht!$M$15:$M$22,MATCH($B1008,Übersicht!$A$15:$A$22,0))),0)),1,0),1))</f>
        <v/>
      </c>
    </row>
    <row r="1009">
      <c r="A1009" s="92" t="n"/>
      <c r="B1009" s="55" t="n"/>
      <c r="C1009" s="55" t="n"/>
      <c r="D1009" s="55" t="n"/>
      <c r="E1009" s="93" t="n"/>
      <c r="F1009" s="94" t="n"/>
      <c r="G1009" s="94" t="n"/>
      <c r="H1009" s="94" t="n"/>
      <c r="I1009" s="94" t="n"/>
      <c r="J1009" s="55" t="n"/>
      <c r="K1009" s="95" t="n"/>
      <c r="L1009" s="116">
        <f>IF($A1009="","",DATE(YEAR($A1009),MONTH($A1009)+IF(AND(IFERROR(N(INDEX(Übersicht!$M$15:$M$22,MATCH($B1009,Übersicht!$A$15:$A$22,0))),0)&gt;1,DAY($A1009)&gt;=IFERROR(N(INDEX(Übersicht!$M$15:$M$22,MATCH($B1009,Übersicht!$A$15:$A$22,0))),0)),1,0),1))</f>
        <v/>
      </c>
    </row>
    <row r="1010">
      <c r="A1010" s="92" t="n"/>
      <c r="B1010" s="55" t="n"/>
      <c r="C1010" s="55" t="n"/>
      <c r="D1010" s="55" t="n"/>
      <c r="E1010" s="93" t="n"/>
      <c r="F1010" s="94" t="n"/>
      <c r="G1010" s="94" t="n"/>
      <c r="H1010" s="94" t="n"/>
      <c r="I1010" s="94" t="n"/>
      <c r="J1010" s="55" t="n"/>
      <c r="K1010" s="95" t="n"/>
      <c r="L1010" s="116">
        <f>IF($A1010="","",DATE(YEAR($A1010),MONTH($A1010)+IF(AND(IFERROR(N(INDEX(Übersicht!$M$15:$M$22,MATCH($B1010,Übersicht!$A$15:$A$22,0))),0)&gt;1,DAY($A1010)&gt;=IFERROR(N(INDEX(Übersicht!$M$15:$M$22,MATCH($B1010,Übersicht!$A$15:$A$22,0))),0)),1,0),1))</f>
        <v/>
      </c>
    </row>
    <row r="1011">
      <c r="A1011" s="92" t="n"/>
      <c r="B1011" s="55" t="n"/>
      <c r="C1011" s="55" t="n"/>
      <c r="D1011" s="55" t="n"/>
      <c r="E1011" s="93" t="n"/>
      <c r="F1011" s="94" t="n"/>
      <c r="G1011" s="94" t="n"/>
      <c r="H1011" s="94" t="n"/>
      <c r="I1011" s="94" t="n"/>
      <c r="J1011" s="55" t="n"/>
      <c r="K1011" s="95" t="n"/>
      <c r="L1011" s="116">
        <f>IF($A1011="","",DATE(YEAR($A1011),MONTH($A1011)+IF(AND(IFERROR(N(INDEX(Übersicht!$M$15:$M$22,MATCH($B1011,Übersicht!$A$15:$A$22,0))),0)&gt;1,DAY($A1011)&gt;=IFERROR(N(INDEX(Übersicht!$M$15:$M$22,MATCH($B1011,Übersicht!$A$15:$A$22,0))),0)),1,0),1))</f>
        <v/>
      </c>
    </row>
    <row r="1012">
      <c r="A1012" s="92" t="n"/>
      <c r="B1012" s="55" t="n"/>
      <c r="C1012" s="55" t="n"/>
      <c r="D1012" s="55" t="n"/>
      <c r="E1012" s="93" t="n"/>
      <c r="F1012" s="94" t="n"/>
      <c r="G1012" s="94" t="n"/>
      <c r="H1012" s="94" t="n"/>
      <c r="I1012" s="94" t="n"/>
      <c r="J1012" s="55" t="n"/>
      <c r="K1012" s="95" t="n"/>
      <c r="L1012" s="116">
        <f>IF($A1012="","",DATE(YEAR($A1012),MONTH($A1012)+IF(AND(IFERROR(N(INDEX(Übersicht!$M$15:$M$22,MATCH($B1012,Übersicht!$A$15:$A$22,0))),0)&gt;1,DAY($A1012)&gt;=IFERROR(N(INDEX(Übersicht!$M$15:$M$22,MATCH($B1012,Übersicht!$A$15:$A$22,0))),0)),1,0),1))</f>
        <v/>
      </c>
    </row>
    <row r="1013">
      <c r="A1013" s="92" t="n"/>
      <c r="B1013" s="55" t="n"/>
      <c r="C1013" s="55" t="n"/>
      <c r="D1013" s="55" t="n"/>
      <c r="E1013" s="93" t="n"/>
      <c r="F1013" s="94" t="n"/>
      <c r="G1013" s="94" t="n"/>
      <c r="H1013" s="94" t="n"/>
      <c r="I1013" s="94" t="n"/>
      <c r="J1013" s="55" t="n"/>
      <c r="K1013" s="95" t="n"/>
      <c r="L1013" s="116">
        <f>IF($A1013="","",DATE(YEAR($A1013),MONTH($A1013)+IF(AND(IFERROR(N(INDEX(Übersicht!$M$15:$M$22,MATCH($B1013,Übersicht!$A$15:$A$22,0))),0)&gt;1,DAY($A1013)&gt;=IFERROR(N(INDEX(Übersicht!$M$15:$M$22,MATCH($B1013,Übersicht!$A$15:$A$22,0))),0)),1,0),1))</f>
        <v/>
      </c>
    </row>
    <row r="1014">
      <c r="A1014" s="92" t="n"/>
      <c r="B1014" s="55" t="n"/>
      <c r="C1014" s="55" t="n"/>
      <c r="D1014" s="55" t="n"/>
      <c r="E1014" s="93" t="n"/>
      <c r="F1014" s="94" t="n"/>
      <c r="G1014" s="94" t="n"/>
      <c r="H1014" s="94" t="n"/>
      <c r="I1014" s="94" t="n"/>
      <c r="J1014" s="55" t="n"/>
      <c r="K1014" s="95" t="n"/>
      <c r="L1014" s="116">
        <f>IF($A1014="","",DATE(YEAR($A1014),MONTH($A1014)+IF(AND(IFERROR(N(INDEX(Übersicht!$M$15:$M$22,MATCH($B1014,Übersicht!$A$15:$A$22,0))),0)&gt;1,DAY($A1014)&gt;=IFERROR(N(INDEX(Übersicht!$M$15:$M$22,MATCH($B1014,Übersicht!$A$15:$A$22,0))),0)),1,0),1))</f>
        <v/>
      </c>
    </row>
    <row r="1015">
      <c r="A1015" s="92" t="n"/>
      <c r="B1015" s="55" t="n"/>
      <c r="C1015" s="55" t="n"/>
      <c r="D1015" s="55" t="n"/>
      <c r="E1015" s="93" t="n"/>
      <c r="F1015" s="94" t="n"/>
      <c r="G1015" s="94" t="n"/>
      <c r="H1015" s="94" t="n"/>
      <c r="I1015" s="94" t="n"/>
      <c r="J1015" s="55" t="n"/>
      <c r="K1015" s="95" t="n"/>
      <c r="L1015" s="116">
        <f>IF($A1015="","",DATE(YEAR($A1015),MONTH($A1015)+IF(AND(IFERROR(N(INDEX(Übersicht!$M$15:$M$22,MATCH($B1015,Übersicht!$A$15:$A$22,0))),0)&gt;1,DAY($A1015)&gt;=IFERROR(N(INDEX(Übersicht!$M$15:$M$22,MATCH($B1015,Übersicht!$A$15:$A$22,0))),0)),1,0),1))</f>
        <v/>
      </c>
    </row>
    <row r="1016">
      <c r="A1016" s="92" t="n"/>
      <c r="B1016" s="55" t="n"/>
      <c r="C1016" s="55" t="n"/>
      <c r="D1016" s="55" t="n"/>
      <c r="E1016" s="93" t="n"/>
      <c r="F1016" s="94" t="n"/>
      <c r="G1016" s="94" t="n"/>
      <c r="H1016" s="94" t="n"/>
      <c r="I1016" s="94" t="n"/>
      <c r="J1016" s="55" t="n"/>
      <c r="K1016" s="95" t="n"/>
      <c r="L1016" s="116">
        <f>IF($A1016="","",DATE(YEAR($A1016),MONTH($A1016)+IF(AND(IFERROR(N(INDEX(Übersicht!$M$15:$M$22,MATCH($B1016,Übersicht!$A$15:$A$22,0))),0)&gt;1,DAY($A1016)&gt;=IFERROR(N(INDEX(Übersicht!$M$15:$M$22,MATCH($B1016,Übersicht!$A$15:$A$22,0))),0)),1,0),1))</f>
        <v/>
      </c>
    </row>
    <row r="1017">
      <c r="A1017" s="92" t="n"/>
      <c r="B1017" s="55" t="n"/>
      <c r="C1017" s="55" t="n"/>
      <c r="D1017" s="55" t="n"/>
      <c r="E1017" s="93" t="n"/>
      <c r="F1017" s="94" t="n"/>
      <c r="G1017" s="94" t="n"/>
      <c r="H1017" s="94" t="n"/>
      <c r="I1017" s="94" t="n"/>
      <c r="J1017" s="55" t="n"/>
      <c r="K1017" s="95" t="n"/>
      <c r="L1017" s="116">
        <f>IF($A1017="","",DATE(YEAR($A1017),MONTH($A1017)+IF(AND(IFERROR(N(INDEX(Übersicht!$M$15:$M$22,MATCH($B1017,Übersicht!$A$15:$A$22,0))),0)&gt;1,DAY($A1017)&gt;=IFERROR(N(INDEX(Übersicht!$M$15:$M$22,MATCH($B1017,Übersicht!$A$15:$A$22,0))),0)),1,0),1))</f>
        <v/>
      </c>
    </row>
    <row r="1018">
      <c r="A1018" s="92" t="n"/>
      <c r="B1018" s="55" t="n"/>
      <c r="C1018" s="55" t="n"/>
      <c r="D1018" s="55" t="n"/>
      <c r="E1018" s="93" t="n"/>
      <c r="F1018" s="94" t="n"/>
      <c r="G1018" s="94" t="n"/>
      <c r="H1018" s="94" t="n"/>
      <c r="I1018" s="94" t="n"/>
      <c r="J1018" s="55" t="n"/>
      <c r="K1018" s="95" t="n"/>
      <c r="L1018" s="116">
        <f>IF($A1018="","",DATE(YEAR($A1018),MONTH($A1018)+IF(AND(IFERROR(N(INDEX(Übersicht!$M$15:$M$22,MATCH($B1018,Übersicht!$A$15:$A$22,0))),0)&gt;1,DAY($A1018)&gt;=IFERROR(N(INDEX(Übersicht!$M$15:$M$22,MATCH($B1018,Übersicht!$A$15:$A$22,0))),0)),1,0),1))</f>
        <v/>
      </c>
    </row>
    <row r="1019">
      <c r="A1019" s="92" t="n"/>
      <c r="B1019" s="55" t="n"/>
      <c r="C1019" s="55" t="n"/>
      <c r="D1019" s="55" t="n"/>
      <c r="E1019" s="93" t="n"/>
      <c r="F1019" s="94" t="n"/>
      <c r="G1019" s="94" t="n"/>
      <c r="H1019" s="94" t="n"/>
      <c r="I1019" s="94" t="n"/>
      <c r="J1019" s="55" t="n"/>
      <c r="K1019" s="95" t="n"/>
      <c r="L1019" s="116">
        <f>IF($A1019="","",DATE(YEAR($A1019),MONTH($A1019)+IF(AND(IFERROR(N(INDEX(Übersicht!$M$15:$M$22,MATCH($B1019,Übersicht!$A$15:$A$22,0))),0)&gt;1,DAY($A1019)&gt;=IFERROR(N(INDEX(Übersicht!$M$15:$M$22,MATCH($B1019,Übersicht!$A$15:$A$22,0))),0)),1,0),1))</f>
        <v/>
      </c>
    </row>
    <row r="1020">
      <c r="A1020" s="92" t="n"/>
      <c r="B1020" s="55" t="n"/>
      <c r="C1020" s="55" t="n"/>
      <c r="D1020" s="55" t="n"/>
      <c r="E1020" s="93" t="n"/>
      <c r="F1020" s="94" t="n"/>
      <c r="G1020" s="94" t="n"/>
      <c r="H1020" s="94" t="n"/>
      <c r="I1020" s="94" t="n"/>
      <c r="J1020" s="55" t="n"/>
      <c r="K1020" s="95" t="n"/>
      <c r="L1020" s="116">
        <f>IF($A1020="","",DATE(YEAR($A1020),MONTH($A1020)+IF(AND(IFERROR(N(INDEX(Übersicht!$M$15:$M$22,MATCH($B1020,Übersicht!$A$15:$A$22,0))),0)&gt;1,DAY($A1020)&gt;=IFERROR(N(INDEX(Übersicht!$M$15:$M$22,MATCH($B1020,Übersicht!$A$15:$A$22,0))),0)),1,0),1))</f>
        <v/>
      </c>
    </row>
    <row r="1021">
      <c r="A1021" s="92" t="n"/>
      <c r="B1021" s="55" t="n"/>
      <c r="C1021" s="55" t="n"/>
      <c r="D1021" s="55" t="n"/>
      <c r="E1021" s="93" t="n"/>
      <c r="F1021" s="94" t="n"/>
      <c r="G1021" s="94" t="n"/>
      <c r="H1021" s="94" t="n"/>
      <c r="I1021" s="94" t="n"/>
      <c r="J1021" s="55" t="n"/>
      <c r="K1021" s="95" t="n"/>
      <c r="L1021" s="116">
        <f>IF($A1021="","",DATE(YEAR($A1021),MONTH($A1021)+IF(AND(IFERROR(N(INDEX(Übersicht!$M$15:$M$22,MATCH($B1021,Übersicht!$A$15:$A$22,0))),0)&gt;1,DAY($A1021)&gt;=IFERROR(N(INDEX(Übersicht!$M$15:$M$22,MATCH($B1021,Übersicht!$A$15:$A$22,0))),0)),1,0),1))</f>
        <v/>
      </c>
    </row>
    <row r="1022">
      <c r="A1022" s="92" t="n"/>
      <c r="B1022" s="55" t="n"/>
      <c r="C1022" s="55" t="n"/>
      <c r="D1022" s="55" t="n"/>
      <c r="E1022" s="93" t="n"/>
      <c r="F1022" s="94" t="n"/>
      <c r="G1022" s="94" t="n"/>
      <c r="H1022" s="94" t="n"/>
      <c r="I1022" s="94" t="n"/>
      <c r="J1022" s="55" t="n"/>
      <c r="K1022" s="95" t="n"/>
      <c r="L1022" s="116">
        <f>IF($A1022="","",DATE(YEAR($A1022),MONTH($A1022)+IF(AND(IFERROR(N(INDEX(Übersicht!$M$15:$M$22,MATCH($B1022,Übersicht!$A$15:$A$22,0))),0)&gt;1,DAY($A1022)&gt;=IFERROR(N(INDEX(Übersicht!$M$15:$M$22,MATCH($B1022,Übersicht!$A$15:$A$22,0))),0)),1,0),1))</f>
        <v/>
      </c>
    </row>
    <row r="1023">
      <c r="A1023" s="92" t="n"/>
      <c r="B1023" s="55" t="n"/>
      <c r="C1023" s="55" t="n"/>
      <c r="D1023" s="55" t="n"/>
      <c r="E1023" s="93" t="n"/>
      <c r="F1023" s="94" t="n"/>
      <c r="G1023" s="94" t="n"/>
      <c r="H1023" s="94" t="n"/>
      <c r="I1023" s="94" t="n"/>
      <c r="J1023" s="55" t="n"/>
      <c r="K1023" s="95" t="n"/>
      <c r="L1023" s="116">
        <f>IF($A1023="","",DATE(YEAR($A1023),MONTH($A1023)+IF(AND(IFERROR(N(INDEX(Übersicht!$M$15:$M$22,MATCH($B1023,Übersicht!$A$15:$A$22,0))),0)&gt;1,DAY($A1023)&gt;=IFERROR(N(INDEX(Übersicht!$M$15:$M$22,MATCH($B1023,Übersicht!$A$15:$A$22,0))),0)),1,0),1))</f>
        <v/>
      </c>
    </row>
    <row r="1024">
      <c r="A1024" s="92" t="n"/>
      <c r="B1024" s="55" t="n"/>
      <c r="C1024" s="55" t="n"/>
      <c r="D1024" s="55" t="n"/>
      <c r="E1024" s="93" t="n"/>
      <c r="F1024" s="94" t="n"/>
      <c r="G1024" s="94" t="n"/>
      <c r="H1024" s="94" t="n"/>
      <c r="I1024" s="94" t="n"/>
      <c r="J1024" s="55" t="n"/>
      <c r="K1024" s="95" t="n"/>
      <c r="L1024" s="116">
        <f>IF($A1024="","",DATE(YEAR($A1024),MONTH($A1024)+IF(AND(IFERROR(N(INDEX(Übersicht!$M$15:$M$22,MATCH($B1024,Übersicht!$A$15:$A$22,0))),0)&gt;1,DAY($A1024)&gt;=IFERROR(N(INDEX(Übersicht!$M$15:$M$22,MATCH($B1024,Übersicht!$A$15:$A$22,0))),0)),1,0),1))</f>
        <v/>
      </c>
    </row>
    <row r="1025">
      <c r="A1025" s="92" t="n"/>
      <c r="B1025" s="55" t="n"/>
      <c r="C1025" s="55" t="n"/>
      <c r="D1025" s="55" t="n"/>
      <c r="E1025" s="93" t="n"/>
      <c r="F1025" s="94" t="n"/>
      <c r="G1025" s="94" t="n"/>
      <c r="H1025" s="94" t="n"/>
      <c r="I1025" s="94" t="n"/>
      <c r="J1025" s="55" t="n"/>
      <c r="K1025" s="95" t="n"/>
      <c r="L1025" s="116">
        <f>IF($A1025="","",DATE(YEAR($A1025),MONTH($A1025)+IF(AND(IFERROR(N(INDEX(Übersicht!$M$15:$M$22,MATCH($B1025,Übersicht!$A$15:$A$22,0))),0)&gt;1,DAY($A1025)&gt;=IFERROR(N(INDEX(Übersicht!$M$15:$M$22,MATCH($B1025,Übersicht!$A$15:$A$22,0))),0)),1,0),1))</f>
        <v/>
      </c>
    </row>
    <row r="1026">
      <c r="A1026" s="92" t="n"/>
      <c r="B1026" s="55" t="n"/>
      <c r="C1026" s="55" t="n"/>
      <c r="D1026" s="55" t="n"/>
      <c r="E1026" s="93" t="n"/>
      <c r="F1026" s="94" t="n"/>
      <c r="G1026" s="94" t="n"/>
      <c r="H1026" s="94" t="n"/>
      <c r="I1026" s="94" t="n"/>
      <c r="J1026" s="55" t="n"/>
      <c r="K1026" s="95" t="n"/>
      <c r="L1026" s="116">
        <f>IF($A1026="","",DATE(YEAR($A1026),MONTH($A1026)+IF(AND(IFERROR(N(INDEX(Übersicht!$M$15:$M$22,MATCH($B1026,Übersicht!$A$15:$A$22,0))),0)&gt;1,DAY($A1026)&gt;=IFERROR(N(INDEX(Übersicht!$M$15:$M$22,MATCH($B1026,Übersicht!$A$15:$A$22,0))),0)),1,0),1))</f>
        <v/>
      </c>
    </row>
    <row r="1027">
      <c r="A1027" s="92" t="n"/>
      <c r="B1027" s="55" t="n"/>
      <c r="C1027" s="55" t="n"/>
      <c r="D1027" s="55" t="n"/>
      <c r="E1027" s="93" t="n"/>
      <c r="F1027" s="94" t="n"/>
      <c r="G1027" s="94" t="n"/>
      <c r="H1027" s="94" t="n"/>
      <c r="I1027" s="94" t="n"/>
      <c r="J1027" s="55" t="n"/>
      <c r="K1027" s="95" t="n"/>
      <c r="L1027" s="116">
        <f>IF($A1027="","",DATE(YEAR($A1027),MONTH($A1027)+IF(AND(IFERROR(N(INDEX(Übersicht!$M$15:$M$22,MATCH($B1027,Übersicht!$A$15:$A$22,0))),0)&gt;1,DAY($A1027)&gt;=IFERROR(N(INDEX(Übersicht!$M$15:$M$22,MATCH($B1027,Übersicht!$A$15:$A$22,0))),0)),1,0),1))</f>
        <v/>
      </c>
    </row>
    <row r="1028">
      <c r="A1028" s="92" t="n"/>
      <c r="B1028" s="55" t="n"/>
      <c r="C1028" s="55" t="n"/>
      <c r="D1028" s="55" t="n"/>
      <c r="E1028" s="93" t="n"/>
      <c r="F1028" s="94" t="n"/>
      <c r="G1028" s="94" t="n"/>
      <c r="H1028" s="94" t="n"/>
      <c r="I1028" s="94" t="n"/>
      <c r="J1028" s="55" t="n"/>
      <c r="K1028" s="95" t="n"/>
      <c r="L1028" s="116">
        <f>IF($A1028="","",DATE(YEAR($A1028),MONTH($A1028)+IF(AND(IFERROR(N(INDEX(Übersicht!$M$15:$M$22,MATCH($B1028,Übersicht!$A$15:$A$22,0))),0)&gt;1,DAY($A1028)&gt;=IFERROR(N(INDEX(Übersicht!$M$15:$M$22,MATCH($B1028,Übersicht!$A$15:$A$22,0))),0)),1,0),1))</f>
        <v/>
      </c>
    </row>
    <row r="1029">
      <c r="A1029" s="92" t="n"/>
      <c r="B1029" s="55" t="n"/>
      <c r="C1029" s="55" t="n"/>
      <c r="D1029" s="55" t="n"/>
      <c r="E1029" s="93" t="n"/>
      <c r="F1029" s="94" t="n"/>
      <c r="G1029" s="94" t="n"/>
      <c r="H1029" s="94" t="n"/>
      <c r="I1029" s="94" t="n"/>
      <c r="J1029" s="55" t="n"/>
      <c r="K1029" s="95" t="n"/>
      <c r="L1029" s="116">
        <f>IF($A1029="","",DATE(YEAR($A1029),MONTH($A1029)+IF(AND(IFERROR(N(INDEX(Übersicht!$M$15:$M$22,MATCH($B1029,Übersicht!$A$15:$A$22,0))),0)&gt;1,DAY($A1029)&gt;=IFERROR(N(INDEX(Übersicht!$M$15:$M$22,MATCH($B1029,Übersicht!$A$15:$A$22,0))),0)),1,0),1))</f>
        <v/>
      </c>
    </row>
    <row r="1030">
      <c r="A1030" s="92" t="n"/>
      <c r="B1030" s="55" t="n"/>
      <c r="C1030" s="55" t="n"/>
      <c r="D1030" s="55" t="n"/>
      <c r="E1030" s="93" t="n"/>
      <c r="F1030" s="94" t="n"/>
      <c r="G1030" s="94" t="n"/>
      <c r="H1030" s="94" t="n"/>
      <c r="I1030" s="94" t="n"/>
      <c r="J1030" s="55" t="n"/>
      <c r="K1030" s="95" t="n"/>
      <c r="L1030" s="116">
        <f>IF($A1030="","",DATE(YEAR($A1030),MONTH($A1030)+IF(AND(IFERROR(N(INDEX(Übersicht!$M$15:$M$22,MATCH($B1030,Übersicht!$A$15:$A$22,0))),0)&gt;1,DAY($A1030)&gt;=IFERROR(N(INDEX(Übersicht!$M$15:$M$22,MATCH($B1030,Übersicht!$A$15:$A$22,0))),0)),1,0),1))</f>
        <v/>
      </c>
    </row>
    <row r="1031">
      <c r="A1031" s="92" t="n"/>
      <c r="B1031" s="55" t="n"/>
      <c r="C1031" s="55" t="n"/>
      <c r="D1031" s="55" t="n"/>
      <c r="E1031" s="93" t="n"/>
      <c r="F1031" s="94" t="n"/>
      <c r="G1031" s="94" t="n"/>
      <c r="H1031" s="94" t="n"/>
      <c r="I1031" s="94" t="n"/>
      <c r="J1031" s="55" t="n"/>
      <c r="K1031" s="95" t="n"/>
      <c r="L1031" s="116">
        <f>IF($A1031="","",DATE(YEAR($A1031),MONTH($A1031)+IF(AND(IFERROR(N(INDEX(Übersicht!$M$15:$M$22,MATCH($B1031,Übersicht!$A$15:$A$22,0))),0)&gt;1,DAY($A1031)&gt;=IFERROR(N(INDEX(Übersicht!$M$15:$M$22,MATCH($B1031,Übersicht!$A$15:$A$22,0))),0)),1,0),1))</f>
        <v/>
      </c>
    </row>
    <row r="1032">
      <c r="A1032" s="92" t="n"/>
      <c r="B1032" s="55" t="n"/>
      <c r="C1032" s="55" t="n"/>
      <c r="D1032" s="55" t="n"/>
      <c r="E1032" s="93" t="n"/>
      <c r="F1032" s="94" t="n"/>
      <c r="G1032" s="94" t="n"/>
      <c r="H1032" s="94" t="n"/>
      <c r="I1032" s="94" t="n"/>
      <c r="J1032" s="55" t="n"/>
      <c r="K1032" s="95" t="n"/>
      <c r="L1032" s="116">
        <f>IF($A1032="","",DATE(YEAR($A1032),MONTH($A1032)+IF(AND(IFERROR(N(INDEX(Übersicht!$M$15:$M$22,MATCH($B1032,Übersicht!$A$15:$A$22,0))),0)&gt;1,DAY($A1032)&gt;=IFERROR(N(INDEX(Übersicht!$M$15:$M$22,MATCH($B1032,Übersicht!$A$15:$A$22,0))),0)),1,0),1))</f>
        <v/>
      </c>
    </row>
    <row r="1033">
      <c r="A1033" s="92" t="n"/>
      <c r="B1033" s="55" t="n"/>
      <c r="C1033" s="55" t="n"/>
      <c r="D1033" s="55" t="n"/>
      <c r="E1033" s="93" t="n"/>
      <c r="F1033" s="94" t="n"/>
      <c r="G1033" s="94" t="n"/>
      <c r="H1033" s="94" t="n"/>
      <c r="I1033" s="94" t="n"/>
      <c r="J1033" s="55" t="n"/>
      <c r="K1033" s="95" t="n"/>
      <c r="L1033" s="116">
        <f>IF($A1033="","",DATE(YEAR($A1033),MONTH($A1033)+IF(AND(IFERROR(N(INDEX(Übersicht!$M$15:$M$22,MATCH($B1033,Übersicht!$A$15:$A$22,0))),0)&gt;1,DAY($A1033)&gt;=IFERROR(N(INDEX(Übersicht!$M$15:$M$22,MATCH($B1033,Übersicht!$A$15:$A$22,0))),0)),1,0),1))</f>
        <v/>
      </c>
    </row>
    <row r="1034">
      <c r="A1034" s="92" t="n"/>
      <c r="B1034" s="55" t="n"/>
      <c r="C1034" s="55" t="n"/>
      <c r="D1034" s="55" t="n"/>
      <c r="E1034" s="93" t="n"/>
      <c r="F1034" s="94" t="n"/>
      <c r="G1034" s="94" t="n"/>
      <c r="H1034" s="94" t="n"/>
      <c r="I1034" s="94" t="n"/>
      <c r="J1034" s="55" t="n"/>
      <c r="K1034" s="95" t="n"/>
      <c r="L1034" s="116">
        <f>IF($A1034="","",DATE(YEAR($A1034),MONTH($A1034)+IF(AND(IFERROR(N(INDEX(Übersicht!$M$15:$M$22,MATCH($B1034,Übersicht!$A$15:$A$22,0))),0)&gt;1,DAY($A1034)&gt;=IFERROR(N(INDEX(Übersicht!$M$15:$M$22,MATCH($B1034,Übersicht!$A$15:$A$22,0))),0)),1,0),1))</f>
        <v/>
      </c>
    </row>
    <row r="1035">
      <c r="A1035" s="92" t="n"/>
      <c r="B1035" s="55" t="n"/>
      <c r="C1035" s="55" t="n"/>
      <c r="D1035" s="55" t="n"/>
      <c r="E1035" s="93" t="n"/>
      <c r="F1035" s="94" t="n"/>
      <c r="G1035" s="94" t="n"/>
      <c r="H1035" s="94" t="n"/>
      <c r="I1035" s="94" t="n"/>
      <c r="J1035" s="55" t="n"/>
      <c r="K1035" s="95" t="n"/>
      <c r="L1035" s="116">
        <f>IF($A1035="","",DATE(YEAR($A1035),MONTH($A1035)+IF(AND(IFERROR(N(INDEX(Übersicht!$M$15:$M$22,MATCH($B1035,Übersicht!$A$15:$A$22,0))),0)&gt;1,DAY($A1035)&gt;=IFERROR(N(INDEX(Übersicht!$M$15:$M$22,MATCH($B1035,Übersicht!$A$15:$A$22,0))),0)),1,0),1))</f>
        <v/>
      </c>
    </row>
    <row r="1036">
      <c r="A1036" s="92" t="n"/>
      <c r="B1036" s="55" t="n"/>
      <c r="C1036" s="55" t="n"/>
      <c r="D1036" s="55" t="n"/>
      <c r="E1036" s="93" t="n"/>
      <c r="F1036" s="94" t="n"/>
      <c r="G1036" s="94" t="n"/>
      <c r="H1036" s="94" t="n"/>
      <c r="I1036" s="94" t="n"/>
      <c r="J1036" s="55" t="n"/>
      <c r="K1036" s="95" t="n"/>
      <c r="L1036" s="116">
        <f>IF($A1036="","",DATE(YEAR($A1036),MONTH($A1036)+IF(AND(IFERROR(N(INDEX(Übersicht!$M$15:$M$22,MATCH($B1036,Übersicht!$A$15:$A$22,0))),0)&gt;1,DAY($A1036)&gt;=IFERROR(N(INDEX(Übersicht!$M$15:$M$22,MATCH($B1036,Übersicht!$A$15:$A$22,0))),0)),1,0),1))</f>
        <v/>
      </c>
    </row>
    <row r="1037">
      <c r="A1037" s="92" t="n"/>
      <c r="B1037" s="55" t="n"/>
      <c r="C1037" s="55" t="n"/>
      <c r="D1037" s="55" t="n"/>
      <c r="E1037" s="93" t="n"/>
      <c r="F1037" s="94" t="n"/>
      <c r="G1037" s="94" t="n"/>
      <c r="H1037" s="94" t="n"/>
      <c r="I1037" s="94" t="n"/>
      <c r="J1037" s="55" t="n"/>
      <c r="K1037" s="95" t="n"/>
      <c r="L1037" s="116">
        <f>IF($A1037="","",DATE(YEAR($A1037),MONTH($A1037)+IF(AND(IFERROR(N(INDEX(Übersicht!$M$15:$M$22,MATCH($B1037,Übersicht!$A$15:$A$22,0))),0)&gt;1,DAY($A1037)&gt;=IFERROR(N(INDEX(Übersicht!$M$15:$M$22,MATCH($B1037,Übersicht!$A$15:$A$22,0))),0)),1,0),1))</f>
        <v/>
      </c>
    </row>
    <row r="1038">
      <c r="A1038" s="92" t="n"/>
      <c r="B1038" s="55" t="n"/>
      <c r="C1038" s="55" t="n"/>
      <c r="D1038" s="55" t="n"/>
      <c r="E1038" s="93" t="n"/>
      <c r="F1038" s="94" t="n"/>
      <c r="G1038" s="94" t="n"/>
      <c r="H1038" s="94" t="n"/>
      <c r="I1038" s="94" t="n"/>
      <c r="J1038" s="55" t="n"/>
      <c r="K1038" s="95" t="n"/>
      <c r="L1038" s="116">
        <f>IF($A1038="","",DATE(YEAR($A1038),MONTH($A1038)+IF(AND(IFERROR(N(INDEX(Übersicht!$M$15:$M$22,MATCH($B1038,Übersicht!$A$15:$A$22,0))),0)&gt;1,DAY($A1038)&gt;=IFERROR(N(INDEX(Übersicht!$M$15:$M$22,MATCH($B1038,Übersicht!$A$15:$A$22,0))),0)),1,0),1))</f>
        <v/>
      </c>
    </row>
    <row r="1039">
      <c r="A1039" s="92" t="n"/>
      <c r="B1039" s="55" t="n"/>
      <c r="C1039" s="55" t="n"/>
      <c r="D1039" s="55" t="n"/>
      <c r="E1039" s="93" t="n"/>
      <c r="F1039" s="94" t="n"/>
      <c r="G1039" s="94" t="n"/>
      <c r="H1039" s="94" t="n"/>
      <c r="I1039" s="94" t="n"/>
      <c r="J1039" s="55" t="n"/>
      <c r="K1039" s="95" t="n"/>
      <c r="L1039" s="116">
        <f>IF($A1039="","",DATE(YEAR($A1039),MONTH($A1039)+IF(AND(IFERROR(N(INDEX(Übersicht!$M$15:$M$22,MATCH($B1039,Übersicht!$A$15:$A$22,0))),0)&gt;1,DAY($A1039)&gt;=IFERROR(N(INDEX(Übersicht!$M$15:$M$22,MATCH($B1039,Übersicht!$A$15:$A$22,0))),0)),1,0),1))</f>
        <v/>
      </c>
    </row>
    <row r="1040">
      <c r="A1040" s="92" t="n"/>
      <c r="B1040" s="55" t="n"/>
      <c r="C1040" s="55" t="n"/>
      <c r="D1040" s="55" t="n"/>
      <c r="E1040" s="93" t="n"/>
      <c r="F1040" s="94" t="n"/>
      <c r="G1040" s="94" t="n"/>
      <c r="H1040" s="94" t="n"/>
      <c r="I1040" s="94" t="n"/>
      <c r="J1040" s="55" t="n"/>
      <c r="K1040" s="95" t="n"/>
      <c r="L1040" s="116">
        <f>IF($A1040="","",DATE(YEAR($A1040),MONTH($A1040)+IF(AND(IFERROR(N(INDEX(Übersicht!$M$15:$M$22,MATCH($B1040,Übersicht!$A$15:$A$22,0))),0)&gt;1,DAY($A1040)&gt;=IFERROR(N(INDEX(Übersicht!$M$15:$M$22,MATCH($B1040,Übersicht!$A$15:$A$22,0))),0)),1,0),1))</f>
        <v/>
      </c>
    </row>
    <row r="1041">
      <c r="A1041" s="92" t="n"/>
      <c r="B1041" s="55" t="n"/>
      <c r="C1041" s="55" t="n"/>
      <c r="D1041" s="55" t="n"/>
      <c r="E1041" s="93" t="n"/>
      <c r="F1041" s="94" t="n"/>
      <c r="G1041" s="94" t="n"/>
      <c r="H1041" s="94" t="n"/>
      <c r="I1041" s="94" t="n"/>
      <c r="J1041" s="55" t="n"/>
      <c r="K1041" s="95" t="n"/>
      <c r="L1041" s="116">
        <f>IF($A1041="","",DATE(YEAR($A1041),MONTH($A1041)+IF(AND(IFERROR(N(INDEX(Übersicht!$M$15:$M$22,MATCH($B1041,Übersicht!$A$15:$A$22,0))),0)&gt;1,DAY($A1041)&gt;=IFERROR(N(INDEX(Übersicht!$M$15:$M$22,MATCH($B1041,Übersicht!$A$15:$A$22,0))),0)),1,0),1))</f>
        <v/>
      </c>
    </row>
    <row r="1042">
      <c r="A1042" s="92" t="n"/>
      <c r="B1042" s="55" t="n"/>
      <c r="C1042" s="55" t="n"/>
      <c r="D1042" s="55" t="n"/>
      <c r="E1042" s="93" t="n"/>
      <c r="F1042" s="94" t="n"/>
      <c r="G1042" s="94" t="n"/>
      <c r="H1042" s="94" t="n"/>
      <c r="I1042" s="94" t="n"/>
      <c r="J1042" s="55" t="n"/>
      <c r="K1042" s="95" t="n"/>
      <c r="L1042" s="116">
        <f>IF($A1042="","",DATE(YEAR($A1042),MONTH($A1042)+IF(AND(IFERROR(N(INDEX(Übersicht!$M$15:$M$22,MATCH($B1042,Übersicht!$A$15:$A$22,0))),0)&gt;1,DAY($A1042)&gt;=IFERROR(N(INDEX(Übersicht!$M$15:$M$22,MATCH($B1042,Übersicht!$A$15:$A$22,0))),0)),1,0),1))</f>
        <v/>
      </c>
    </row>
    <row r="1043">
      <c r="A1043" s="92" t="n"/>
      <c r="B1043" s="55" t="n"/>
      <c r="C1043" s="55" t="n"/>
      <c r="D1043" s="55" t="n"/>
      <c r="E1043" s="93" t="n"/>
      <c r="F1043" s="94" t="n"/>
      <c r="G1043" s="94" t="n"/>
      <c r="H1043" s="94" t="n"/>
      <c r="I1043" s="94" t="n"/>
      <c r="J1043" s="55" t="n"/>
      <c r="K1043" s="95" t="n"/>
      <c r="L1043" s="116">
        <f>IF($A1043="","",DATE(YEAR($A1043),MONTH($A1043)+IF(AND(IFERROR(N(INDEX(Übersicht!$M$15:$M$22,MATCH($B1043,Übersicht!$A$15:$A$22,0))),0)&gt;1,DAY($A1043)&gt;=IFERROR(N(INDEX(Übersicht!$M$15:$M$22,MATCH($B1043,Übersicht!$A$15:$A$22,0))),0)),1,0),1))</f>
        <v/>
      </c>
    </row>
    <row r="1044">
      <c r="A1044" s="92" t="n"/>
      <c r="B1044" s="55" t="n"/>
      <c r="C1044" s="55" t="n"/>
      <c r="D1044" s="55" t="n"/>
      <c r="E1044" s="93" t="n"/>
      <c r="F1044" s="94" t="n"/>
      <c r="G1044" s="94" t="n"/>
      <c r="H1044" s="94" t="n"/>
      <c r="I1044" s="94" t="n"/>
      <c r="J1044" s="55" t="n"/>
      <c r="K1044" s="95" t="n"/>
      <c r="L1044" s="116">
        <f>IF($A1044="","",DATE(YEAR($A1044),MONTH($A1044)+IF(AND(IFERROR(N(INDEX(Übersicht!$M$15:$M$22,MATCH($B1044,Übersicht!$A$15:$A$22,0))),0)&gt;1,DAY($A1044)&gt;=IFERROR(N(INDEX(Übersicht!$M$15:$M$22,MATCH($B1044,Übersicht!$A$15:$A$22,0))),0)),1,0),1))</f>
        <v/>
      </c>
    </row>
    <row r="1045">
      <c r="A1045" s="92" t="n"/>
      <c r="B1045" s="55" t="n"/>
      <c r="C1045" s="55" t="n"/>
      <c r="D1045" s="55" t="n"/>
      <c r="E1045" s="93" t="n"/>
      <c r="F1045" s="94" t="n"/>
      <c r="G1045" s="94" t="n"/>
      <c r="H1045" s="94" t="n"/>
      <c r="I1045" s="94" t="n"/>
      <c r="J1045" s="55" t="n"/>
      <c r="K1045" s="95" t="n"/>
      <c r="L1045" s="116">
        <f>IF($A1045="","",DATE(YEAR($A1045),MONTH($A1045)+IF(AND(IFERROR(N(INDEX(Übersicht!$M$15:$M$22,MATCH($B1045,Übersicht!$A$15:$A$22,0))),0)&gt;1,DAY($A1045)&gt;=IFERROR(N(INDEX(Übersicht!$M$15:$M$22,MATCH($B1045,Übersicht!$A$15:$A$22,0))),0)),1,0),1))</f>
        <v/>
      </c>
    </row>
    <row r="1046">
      <c r="A1046" s="92" t="n"/>
      <c r="B1046" s="55" t="n"/>
      <c r="C1046" s="55" t="n"/>
      <c r="D1046" s="55" t="n"/>
      <c r="E1046" s="93" t="n"/>
      <c r="F1046" s="94" t="n"/>
      <c r="G1046" s="94" t="n"/>
      <c r="H1046" s="94" t="n"/>
      <c r="I1046" s="94" t="n"/>
      <c r="J1046" s="55" t="n"/>
      <c r="K1046" s="95" t="n"/>
      <c r="L1046" s="116">
        <f>IF($A1046="","",DATE(YEAR($A1046),MONTH($A1046)+IF(AND(IFERROR(N(INDEX(Übersicht!$M$15:$M$22,MATCH($B1046,Übersicht!$A$15:$A$22,0))),0)&gt;1,DAY($A1046)&gt;=IFERROR(N(INDEX(Übersicht!$M$15:$M$22,MATCH($B1046,Übersicht!$A$15:$A$22,0))),0)),1,0),1))</f>
        <v/>
      </c>
    </row>
    <row r="1047">
      <c r="A1047" s="92" t="n"/>
      <c r="B1047" s="55" t="n"/>
      <c r="C1047" s="55" t="n"/>
      <c r="D1047" s="55" t="n"/>
      <c r="E1047" s="93" t="n"/>
      <c r="F1047" s="94" t="n"/>
      <c r="G1047" s="94" t="n"/>
      <c r="H1047" s="94" t="n"/>
      <c r="I1047" s="94" t="n"/>
      <c r="J1047" s="55" t="n"/>
      <c r="K1047" s="95" t="n"/>
      <c r="L1047" s="116">
        <f>IF($A1047="","",DATE(YEAR($A1047),MONTH($A1047)+IF(AND(IFERROR(N(INDEX(Übersicht!$M$15:$M$22,MATCH($B1047,Übersicht!$A$15:$A$22,0))),0)&gt;1,DAY($A1047)&gt;=IFERROR(N(INDEX(Übersicht!$M$15:$M$22,MATCH($B1047,Übersicht!$A$15:$A$22,0))),0)),1,0),1))</f>
        <v/>
      </c>
    </row>
    <row r="1048">
      <c r="A1048" s="92" t="n"/>
      <c r="B1048" s="55" t="n"/>
      <c r="C1048" s="55" t="n"/>
      <c r="D1048" s="55" t="n"/>
      <c r="E1048" s="93" t="n"/>
      <c r="F1048" s="94" t="n"/>
      <c r="G1048" s="94" t="n"/>
      <c r="H1048" s="94" t="n"/>
      <c r="I1048" s="94" t="n"/>
      <c r="J1048" s="55" t="n"/>
      <c r="K1048" s="95" t="n"/>
      <c r="L1048" s="116">
        <f>IF($A1048="","",DATE(YEAR($A1048),MONTH($A1048)+IF(AND(IFERROR(N(INDEX(Übersicht!$M$15:$M$22,MATCH($B1048,Übersicht!$A$15:$A$22,0))),0)&gt;1,DAY($A1048)&gt;=IFERROR(N(INDEX(Übersicht!$M$15:$M$22,MATCH($B1048,Übersicht!$A$15:$A$22,0))),0)),1,0),1))</f>
        <v/>
      </c>
    </row>
    <row r="1049">
      <c r="A1049" s="92" t="n"/>
      <c r="B1049" s="55" t="n"/>
      <c r="C1049" s="55" t="n"/>
      <c r="D1049" s="55" t="n"/>
      <c r="E1049" s="93" t="n"/>
      <c r="F1049" s="94" t="n"/>
      <c r="G1049" s="94" t="n"/>
      <c r="H1049" s="94" t="n"/>
      <c r="I1049" s="94" t="n"/>
      <c r="J1049" s="55" t="n"/>
      <c r="K1049" s="95" t="n"/>
      <c r="L1049" s="116">
        <f>IF($A1049="","",DATE(YEAR($A1049),MONTH($A1049)+IF(AND(IFERROR(N(INDEX(Übersicht!$M$15:$M$22,MATCH($B1049,Übersicht!$A$15:$A$22,0))),0)&gt;1,DAY($A1049)&gt;=IFERROR(N(INDEX(Übersicht!$M$15:$M$22,MATCH($B1049,Übersicht!$A$15:$A$22,0))),0)),1,0),1))</f>
        <v/>
      </c>
    </row>
    <row r="1050">
      <c r="A1050" s="92" t="n"/>
      <c r="B1050" s="55" t="n"/>
      <c r="C1050" s="55" t="n"/>
      <c r="D1050" s="55" t="n"/>
      <c r="E1050" s="93" t="n"/>
      <c r="F1050" s="94" t="n"/>
      <c r="G1050" s="94" t="n"/>
      <c r="H1050" s="94" t="n"/>
      <c r="I1050" s="94" t="n"/>
      <c r="J1050" s="55" t="n"/>
      <c r="K1050" s="95" t="n"/>
      <c r="L1050" s="116">
        <f>IF($A1050="","",DATE(YEAR($A1050),MONTH($A1050)+IF(AND(IFERROR(N(INDEX(Übersicht!$M$15:$M$22,MATCH($B1050,Übersicht!$A$15:$A$22,0))),0)&gt;1,DAY($A1050)&gt;=IFERROR(N(INDEX(Übersicht!$M$15:$M$22,MATCH($B1050,Übersicht!$A$15:$A$22,0))),0)),1,0),1))</f>
        <v/>
      </c>
    </row>
    <row r="1051">
      <c r="A1051" s="92" t="n"/>
      <c r="B1051" s="55" t="n"/>
      <c r="C1051" s="55" t="n"/>
      <c r="D1051" s="55" t="n"/>
      <c r="E1051" s="93" t="n"/>
      <c r="F1051" s="94" t="n"/>
      <c r="G1051" s="94" t="n"/>
      <c r="H1051" s="94" t="n"/>
      <c r="I1051" s="94" t="n"/>
      <c r="J1051" s="55" t="n"/>
      <c r="K1051" s="95" t="n"/>
      <c r="L1051" s="116">
        <f>IF($A1051="","",DATE(YEAR($A1051),MONTH($A1051)+IF(AND(IFERROR(N(INDEX(Übersicht!$M$15:$M$22,MATCH($B1051,Übersicht!$A$15:$A$22,0))),0)&gt;1,DAY($A1051)&gt;=IFERROR(N(INDEX(Übersicht!$M$15:$M$22,MATCH($B1051,Übersicht!$A$15:$A$22,0))),0)),1,0),1))</f>
        <v/>
      </c>
    </row>
    <row r="1052">
      <c r="A1052" s="92" t="n"/>
      <c r="B1052" s="55" t="n"/>
      <c r="C1052" s="55" t="n"/>
      <c r="D1052" s="55" t="n"/>
      <c r="E1052" s="93" t="n"/>
      <c r="F1052" s="94" t="n"/>
      <c r="G1052" s="94" t="n"/>
      <c r="H1052" s="94" t="n"/>
      <c r="I1052" s="94" t="n"/>
      <c r="J1052" s="55" t="n"/>
      <c r="K1052" s="95" t="n"/>
      <c r="L1052" s="116">
        <f>IF($A1052="","",DATE(YEAR($A1052),MONTH($A1052)+IF(AND(IFERROR(N(INDEX(Übersicht!$M$15:$M$22,MATCH($B1052,Übersicht!$A$15:$A$22,0))),0)&gt;1,DAY($A1052)&gt;=IFERROR(N(INDEX(Übersicht!$M$15:$M$22,MATCH($B1052,Übersicht!$A$15:$A$22,0))),0)),1,0),1))</f>
        <v/>
      </c>
    </row>
    <row r="1053">
      <c r="A1053" s="92" t="n"/>
      <c r="B1053" s="55" t="n"/>
      <c r="C1053" s="55" t="n"/>
      <c r="D1053" s="55" t="n"/>
      <c r="E1053" s="93" t="n"/>
      <c r="F1053" s="94" t="n"/>
      <c r="G1053" s="94" t="n"/>
      <c r="H1053" s="94" t="n"/>
      <c r="I1053" s="94" t="n"/>
      <c r="J1053" s="55" t="n"/>
      <c r="K1053" s="95" t="n"/>
      <c r="L1053" s="116">
        <f>IF($A1053="","",DATE(YEAR($A1053),MONTH($A1053)+IF(AND(IFERROR(N(INDEX(Übersicht!$M$15:$M$22,MATCH($B1053,Übersicht!$A$15:$A$22,0))),0)&gt;1,DAY($A1053)&gt;=IFERROR(N(INDEX(Übersicht!$M$15:$M$22,MATCH($B1053,Übersicht!$A$15:$A$22,0))),0)),1,0),1))</f>
        <v/>
      </c>
    </row>
    <row r="1054">
      <c r="A1054" s="92" t="n"/>
      <c r="B1054" s="55" t="n"/>
      <c r="C1054" s="55" t="n"/>
      <c r="D1054" s="55" t="n"/>
      <c r="E1054" s="93" t="n"/>
      <c r="F1054" s="94" t="n"/>
      <c r="G1054" s="94" t="n"/>
      <c r="H1054" s="94" t="n"/>
      <c r="I1054" s="94" t="n"/>
      <c r="J1054" s="55" t="n"/>
      <c r="K1054" s="95" t="n"/>
      <c r="L1054" s="116">
        <f>IF($A1054="","",DATE(YEAR($A1054),MONTH($A1054)+IF(AND(IFERROR(N(INDEX(Übersicht!$M$15:$M$22,MATCH($B1054,Übersicht!$A$15:$A$22,0))),0)&gt;1,DAY($A1054)&gt;=IFERROR(N(INDEX(Übersicht!$M$15:$M$22,MATCH($B1054,Übersicht!$A$15:$A$22,0))),0)),1,0),1))</f>
        <v/>
      </c>
    </row>
    <row r="1055">
      <c r="A1055" s="92" t="n"/>
      <c r="B1055" s="55" t="n"/>
      <c r="C1055" s="55" t="n"/>
      <c r="D1055" s="55" t="n"/>
      <c r="E1055" s="93" t="n"/>
      <c r="F1055" s="94" t="n"/>
      <c r="G1055" s="94" t="n"/>
      <c r="H1055" s="94" t="n"/>
      <c r="I1055" s="94" t="n"/>
      <c r="J1055" s="55" t="n"/>
      <c r="K1055" s="95" t="n"/>
      <c r="L1055" s="116">
        <f>IF($A1055="","",DATE(YEAR($A1055),MONTH($A1055)+IF(AND(IFERROR(N(INDEX(Übersicht!$M$15:$M$22,MATCH($B1055,Übersicht!$A$15:$A$22,0))),0)&gt;1,DAY($A1055)&gt;=IFERROR(N(INDEX(Übersicht!$M$15:$M$22,MATCH($B1055,Übersicht!$A$15:$A$22,0))),0)),1,0),1))</f>
        <v/>
      </c>
    </row>
    <row r="1056">
      <c r="A1056" s="92" t="n"/>
      <c r="B1056" s="55" t="n"/>
      <c r="C1056" s="55" t="n"/>
      <c r="D1056" s="55" t="n"/>
      <c r="E1056" s="93" t="n"/>
      <c r="F1056" s="94" t="n"/>
      <c r="G1056" s="94" t="n"/>
      <c r="H1056" s="94" t="n"/>
      <c r="I1056" s="94" t="n"/>
      <c r="J1056" s="55" t="n"/>
      <c r="K1056" s="95" t="n"/>
      <c r="L1056" s="116">
        <f>IF($A1056="","",DATE(YEAR($A1056),MONTH($A1056)+IF(AND(IFERROR(N(INDEX(Übersicht!$M$15:$M$22,MATCH($B1056,Übersicht!$A$15:$A$22,0))),0)&gt;1,DAY($A1056)&gt;=IFERROR(N(INDEX(Übersicht!$M$15:$M$22,MATCH($B1056,Übersicht!$A$15:$A$22,0))),0)),1,0),1))</f>
        <v/>
      </c>
    </row>
    <row r="1057">
      <c r="A1057" s="92" t="n"/>
      <c r="B1057" s="55" t="n"/>
      <c r="C1057" s="55" t="n"/>
      <c r="D1057" s="55" t="n"/>
      <c r="E1057" s="93" t="n"/>
      <c r="F1057" s="94" t="n"/>
      <c r="G1057" s="94" t="n"/>
      <c r="H1057" s="94" t="n"/>
      <c r="I1057" s="94" t="n"/>
      <c r="J1057" s="55" t="n"/>
      <c r="K1057" s="95" t="n"/>
      <c r="L1057" s="116">
        <f>IF($A1057="","",DATE(YEAR($A1057),MONTH($A1057)+IF(AND(IFERROR(N(INDEX(Übersicht!$M$15:$M$22,MATCH($B1057,Übersicht!$A$15:$A$22,0))),0)&gt;1,DAY($A1057)&gt;=IFERROR(N(INDEX(Übersicht!$M$15:$M$22,MATCH($B1057,Übersicht!$A$15:$A$22,0))),0)),1,0),1))</f>
        <v/>
      </c>
    </row>
    <row r="1058">
      <c r="A1058" s="92" t="n"/>
      <c r="B1058" s="55" t="n"/>
      <c r="C1058" s="55" t="n"/>
      <c r="D1058" s="55" t="n"/>
      <c r="E1058" s="93" t="n"/>
      <c r="F1058" s="94" t="n"/>
      <c r="G1058" s="94" t="n"/>
      <c r="H1058" s="94" t="n"/>
      <c r="I1058" s="94" t="n"/>
      <c r="J1058" s="55" t="n"/>
      <c r="K1058" s="95" t="n"/>
      <c r="L1058" s="116">
        <f>IF($A1058="","",DATE(YEAR($A1058),MONTH($A1058)+IF(AND(IFERROR(N(INDEX(Übersicht!$M$15:$M$22,MATCH($B1058,Übersicht!$A$15:$A$22,0))),0)&gt;1,DAY($A1058)&gt;=IFERROR(N(INDEX(Übersicht!$M$15:$M$22,MATCH($B1058,Übersicht!$A$15:$A$22,0))),0)),1,0),1))</f>
        <v/>
      </c>
    </row>
    <row r="1059">
      <c r="A1059" s="92" t="n"/>
      <c r="B1059" s="55" t="n"/>
      <c r="C1059" s="55" t="n"/>
      <c r="D1059" s="55" t="n"/>
      <c r="E1059" s="93" t="n"/>
      <c r="F1059" s="94" t="n"/>
      <c r="G1059" s="94" t="n"/>
      <c r="H1059" s="94" t="n"/>
      <c r="I1059" s="94" t="n"/>
      <c r="J1059" s="55" t="n"/>
      <c r="K1059" s="95" t="n"/>
      <c r="L1059" s="116">
        <f>IF($A1059="","",DATE(YEAR($A1059),MONTH($A1059)+IF(AND(IFERROR(N(INDEX(Übersicht!$M$15:$M$22,MATCH($B1059,Übersicht!$A$15:$A$22,0))),0)&gt;1,DAY($A1059)&gt;=IFERROR(N(INDEX(Übersicht!$M$15:$M$22,MATCH($B1059,Übersicht!$A$15:$A$22,0))),0)),1,0),1))</f>
        <v/>
      </c>
    </row>
    <row r="1060">
      <c r="A1060" s="92" t="n"/>
      <c r="B1060" s="55" t="n"/>
      <c r="C1060" s="55" t="n"/>
      <c r="D1060" s="55" t="n"/>
      <c r="E1060" s="93" t="n"/>
      <c r="F1060" s="94" t="n"/>
      <c r="G1060" s="94" t="n"/>
      <c r="H1060" s="94" t="n"/>
      <c r="I1060" s="94" t="n"/>
      <c r="J1060" s="55" t="n"/>
      <c r="K1060" s="95" t="n"/>
      <c r="L1060" s="116">
        <f>IF($A1060="","",DATE(YEAR($A1060),MONTH($A1060)+IF(AND(IFERROR(N(INDEX(Übersicht!$M$15:$M$22,MATCH($B1060,Übersicht!$A$15:$A$22,0))),0)&gt;1,DAY($A1060)&gt;=IFERROR(N(INDEX(Übersicht!$M$15:$M$22,MATCH($B1060,Übersicht!$A$15:$A$22,0))),0)),1,0),1))</f>
        <v/>
      </c>
    </row>
    <row r="1061">
      <c r="A1061" s="92" t="n"/>
      <c r="B1061" s="55" t="n"/>
      <c r="C1061" s="55" t="n"/>
      <c r="D1061" s="55" t="n"/>
      <c r="E1061" s="93" t="n"/>
      <c r="F1061" s="94" t="n"/>
      <c r="G1061" s="94" t="n"/>
      <c r="H1061" s="94" t="n"/>
      <c r="I1061" s="94" t="n"/>
      <c r="J1061" s="55" t="n"/>
      <c r="K1061" s="95" t="n"/>
      <c r="L1061" s="116">
        <f>IF($A1061="","",DATE(YEAR($A1061),MONTH($A1061)+IF(AND(IFERROR(N(INDEX(Übersicht!$M$15:$M$22,MATCH($B1061,Übersicht!$A$15:$A$22,0))),0)&gt;1,DAY($A1061)&gt;=IFERROR(N(INDEX(Übersicht!$M$15:$M$22,MATCH($B1061,Übersicht!$A$15:$A$22,0))),0)),1,0),1))</f>
        <v/>
      </c>
    </row>
    <row r="1062">
      <c r="A1062" s="92" t="n"/>
      <c r="B1062" s="55" t="n"/>
      <c r="C1062" s="55" t="n"/>
      <c r="D1062" s="55" t="n"/>
      <c r="E1062" s="93" t="n"/>
      <c r="F1062" s="94" t="n"/>
      <c r="G1062" s="94" t="n"/>
      <c r="H1062" s="94" t="n"/>
      <c r="I1062" s="94" t="n"/>
      <c r="J1062" s="55" t="n"/>
      <c r="K1062" s="95" t="n"/>
      <c r="L1062" s="116">
        <f>IF($A1062="","",DATE(YEAR($A1062),MONTH($A1062)+IF(AND(IFERROR(N(INDEX(Übersicht!$M$15:$M$22,MATCH($B1062,Übersicht!$A$15:$A$22,0))),0)&gt;1,DAY($A1062)&gt;=IFERROR(N(INDEX(Übersicht!$M$15:$M$22,MATCH($B1062,Übersicht!$A$15:$A$22,0))),0)),1,0),1))</f>
        <v/>
      </c>
    </row>
    <row r="1063">
      <c r="A1063" s="92" t="n"/>
      <c r="B1063" s="55" t="n"/>
      <c r="C1063" s="55" t="n"/>
      <c r="D1063" s="55" t="n"/>
      <c r="E1063" s="93" t="n"/>
      <c r="F1063" s="94" t="n"/>
      <c r="G1063" s="94" t="n"/>
      <c r="H1063" s="94" t="n"/>
      <c r="I1063" s="94" t="n"/>
      <c r="J1063" s="55" t="n"/>
      <c r="K1063" s="95" t="n"/>
      <c r="L1063" s="116">
        <f>IF($A1063="","",DATE(YEAR($A1063),MONTH($A1063)+IF(AND(IFERROR(N(INDEX(Übersicht!$M$15:$M$22,MATCH($B1063,Übersicht!$A$15:$A$22,0))),0)&gt;1,DAY($A1063)&gt;=IFERROR(N(INDEX(Übersicht!$M$15:$M$22,MATCH($B1063,Übersicht!$A$15:$A$22,0))),0)),1,0),1))</f>
        <v/>
      </c>
    </row>
    <row r="1064">
      <c r="A1064" s="92" t="n"/>
      <c r="B1064" s="55" t="n"/>
      <c r="C1064" s="55" t="n"/>
      <c r="D1064" s="55" t="n"/>
      <c r="E1064" s="93" t="n"/>
      <c r="F1064" s="94" t="n"/>
      <c r="G1064" s="94" t="n"/>
      <c r="H1064" s="94" t="n"/>
      <c r="I1064" s="94" t="n"/>
      <c r="J1064" s="55" t="n"/>
      <c r="K1064" s="95" t="n"/>
      <c r="L1064" s="116">
        <f>IF($A1064="","",DATE(YEAR($A1064),MONTH($A1064)+IF(AND(IFERROR(N(INDEX(Übersicht!$M$15:$M$22,MATCH($B1064,Übersicht!$A$15:$A$22,0))),0)&gt;1,DAY($A1064)&gt;=IFERROR(N(INDEX(Übersicht!$M$15:$M$22,MATCH($B1064,Übersicht!$A$15:$A$22,0))),0)),1,0),1))</f>
        <v/>
      </c>
    </row>
    <row r="1065">
      <c r="A1065" s="92" t="n"/>
      <c r="B1065" s="55" t="n"/>
      <c r="C1065" s="55" t="n"/>
      <c r="D1065" s="55" t="n"/>
      <c r="E1065" s="93" t="n"/>
      <c r="F1065" s="94" t="n"/>
      <c r="G1065" s="94" t="n"/>
      <c r="H1065" s="94" t="n"/>
      <c r="I1065" s="94" t="n"/>
      <c r="J1065" s="55" t="n"/>
      <c r="K1065" s="95" t="n"/>
      <c r="L1065" s="116">
        <f>IF($A1065="","",DATE(YEAR($A1065),MONTH($A1065)+IF(AND(IFERROR(N(INDEX(Übersicht!$M$15:$M$22,MATCH($B1065,Übersicht!$A$15:$A$22,0))),0)&gt;1,DAY($A1065)&gt;=IFERROR(N(INDEX(Übersicht!$M$15:$M$22,MATCH($B1065,Übersicht!$A$15:$A$22,0))),0)),1,0),1))</f>
        <v/>
      </c>
    </row>
    <row r="1066">
      <c r="A1066" s="92" t="n"/>
      <c r="B1066" s="55" t="n"/>
      <c r="C1066" s="55" t="n"/>
      <c r="D1066" s="55" t="n"/>
      <c r="E1066" s="93" t="n"/>
      <c r="F1066" s="94" t="n"/>
      <c r="G1066" s="94" t="n"/>
      <c r="H1066" s="94" t="n"/>
      <c r="I1066" s="94" t="n"/>
      <c r="J1066" s="55" t="n"/>
      <c r="K1066" s="95" t="n"/>
      <c r="L1066" s="116">
        <f>IF($A1066="","",DATE(YEAR($A1066),MONTH($A1066)+IF(AND(IFERROR(N(INDEX(Übersicht!$M$15:$M$22,MATCH($B1066,Übersicht!$A$15:$A$22,0))),0)&gt;1,DAY($A1066)&gt;=IFERROR(N(INDEX(Übersicht!$M$15:$M$22,MATCH($B1066,Übersicht!$A$15:$A$22,0))),0)),1,0),1))</f>
        <v/>
      </c>
    </row>
    <row r="1067">
      <c r="A1067" s="92" t="n"/>
      <c r="B1067" s="55" t="n"/>
      <c r="C1067" s="55" t="n"/>
      <c r="D1067" s="55" t="n"/>
      <c r="E1067" s="93" t="n"/>
      <c r="F1067" s="94" t="n"/>
      <c r="G1067" s="94" t="n"/>
      <c r="H1067" s="94" t="n"/>
      <c r="I1067" s="94" t="n"/>
      <c r="J1067" s="55" t="n"/>
      <c r="K1067" s="95" t="n"/>
      <c r="L1067" s="116">
        <f>IF($A1067="","",DATE(YEAR($A1067),MONTH($A1067)+IF(AND(IFERROR(N(INDEX(Übersicht!$M$15:$M$22,MATCH($B1067,Übersicht!$A$15:$A$22,0))),0)&gt;1,DAY($A1067)&gt;=IFERROR(N(INDEX(Übersicht!$M$15:$M$22,MATCH($B1067,Übersicht!$A$15:$A$22,0))),0)),1,0),1))</f>
        <v/>
      </c>
    </row>
    <row r="1068">
      <c r="A1068" s="92" t="n"/>
      <c r="B1068" s="55" t="n"/>
      <c r="C1068" s="55" t="n"/>
      <c r="D1068" s="55" t="n"/>
      <c r="E1068" s="93" t="n"/>
      <c r="F1068" s="94" t="n"/>
      <c r="G1068" s="94" t="n"/>
      <c r="H1068" s="94" t="n"/>
      <c r="I1068" s="94" t="n"/>
      <c r="J1068" s="55" t="n"/>
      <c r="K1068" s="95" t="n"/>
      <c r="L1068" s="116">
        <f>IF($A1068="","",DATE(YEAR($A1068),MONTH($A1068)+IF(AND(IFERROR(N(INDEX(Übersicht!$M$15:$M$22,MATCH($B1068,Übersicht!$A$15:$A$22,0))),0)&gt;1,DAY($A1068)&gt;=IFERROR(N(INDEX(Übersicht!$M$15:$M$22,MATCH($B1068,Übersicht!$A$15:$A$22,0))),0)),1,0),1))</f>
        <v/>
      </c>
    </row>
    <row r="1069">
      <c r="A1069" s="92" t="n"/>
      <c r="B1069" s="55" t="n"/>
      <c r="C1069" s="55" t="n"/>
      <c r="D1069" s="55" t="n"/>
      <c r="E1069" s="93" t="n"/>
      <c r="F1069" s="94" t="n"/>
      <c r="G1069" s="94" t="n"/>
      <c r="H1069" s="94" t="n"/>
      <c r="I1069" s="94" t="n"/>
      <c r="J1069" s="55" t="n"/>
      <c r="K1069" s="95" t="n"/>
      <c r="L1069" s="116">
        <f>IF($A1069="","",DATE(YEAR($A1069),MONTH($A1069)+IF(AND(IFERROR(N(INDEX(Übersicht!$M$15:$M$22,MATCH($B1069,Übersicht!$A$15:$A$22,0))),0)&gt;1,DAY($A1069)&gt;=IFERROR(N(INDEX(Übersicht!$M$15:$M$22,MATCH($B1069,Übersicht!$A$15:$A$22,0))),0)),1,0),1))</f>
        <v/>
      </c>
    </row>
    <row r="1070">
      <c r="A1070" s="92" t="n"/>
      <c r="B1070" s="55" t="n"/>
      <c r="C1070" s="55" t="n"/>
      <c r="D1070" s="55" t="n"/>
      <c r="E1070" s="93" t="n"/>
      <c r="F1070" s="94" t="n"/>
      <c r="G1070" s="94" t="n"/>
      <c r="H1070" s="94" t="n"/>
      <c r="I1070" s="94" t="n"/>
      <c r="J1070" s="55" t="n"/>
      <c r="K1070" s="95" t="n"/>
      <c r="L1070" s="116">
        <f>IF($A1070="","",DATE(YEAR($A1070),MONTH($A1070)+IF(AND(IFERROR(N(INDEX(Übersicht!$M$15:$M$22,MATCH($B1070,Übersicht!$A$15:$A$22,0))),0)&gt;1,DAY($A1070)&gt;=IFERROR(N(INDEX(Übersicht!$M$15:$M$22,MATCH($B1070,Übersicht!$A$15:$A$22,0))),0)),1,0),1))</f>
        <v/>
      </c>
    </row>
    <row r="1071">
      <c r="A1071" s="92" t="n"/>
      <c r="B1071" s="55" t="n"/>
      <c r="C1071" s="55" t="n"/>
      <c r="D1071" s="55" t="n"/>
      <c r="E1071" s="93" t="n"/>
      <c r="F1071" s="94" t="n"/>
      <c r="G1071" s="94" t="n"/>
      <c r="H1071" s="94" t="n"/>
      <c r="I1071" s="94" t="n"/>
      <c r="J1071" s="55" t="n"/>
      <c r="K1071" s="95" t="n"/>
      <c r="L1071" s="116">
        <f>IF($A1071="","",DATE(YEAR($A1071),MONTH($A1071)+IF(AND(IFERROR(N(INDEX(Übersicht!$M$15:$M$22,MATCH($B1071,Übersicht!$A$15:$A$22,0))),0)&gt;1,DAY($A1071)&gt;=IFERROR(N(INDEX(Übersicht!$M$15:$M$22,MATCH($B1071,Übersicht!$A$15:$A$22,0))),0)),1,0),1))</f>
        <v/>
      </c>
    </row>
    <row r="1072">
      <c r="A1072" s="92" t="n"/>
      <c r="B1072" s="55" t="n"/>
      <c r="C1072" s="55" t="n"/>
      <c r="D1072" s="55" t="n"/>
      <c r="E1072" s="93" t="n"/>
      <c r="F1072" s="94" t="n"/>
      <c r="G1072" s="94" t="n"/>
      <c r="H1072" s="94" t="n"/>
      <c r="I1072" s="94" t="n"/>
      <c r="J1072" s="55" t="n"/>
      <c r="K1072" s="95" t="n"/>
      <c r="L1072" s="116">
        <f>IF($A1072="","",DATE(YEAR($A1072),MONTH($A1072)+IF(AND(IFERROR(N(INDEX(Übersicht!$M$15:$M$22,MATCH($B1072,Übersicht!$A$15:$A$22,0))),0)&gt;1,DAY($A1072)&gt;=IFERROR(N(INDEX(Übersicht!$M$15:$M$22,MATCH($B1072,Übersicht!$A$15:$A$22,0))),0)),1,0),1))</f>
        <v/>
      </c>
    </row>
    <row r="1073">
      <c r="A1073" s="92" t="n"/>
      <c r="B1073" s="55" t="n"/>
      <c r="C1073" s="55" t="n"/>
      <c r="D1073" s="55" t="n"/>
      <c r="E1073" s="93" t="n"/>
      <c r="F1073" s="94" t="n"/>
      <c r="G1073" s="94" t="n"/>
      <c r="H1073" s="94" t="n"/>
      <c r="I1073" s="94" t="n"/>
      <c r="J1073" s="55" t="n"/>
      <c r="K1073" s="95" t="n"/>
      <c r="L1073" s="116">
        <f>IF($A1073="","",DATE(YEAR($A1073),MONTH($A1073)+IF(AND(IFERROR(N(INDEX(Übersicht!$M$15:$M$22,MATCH($B1073,Übersicht!$A$15:$A$22,0))),0)&gt;1,DAY($A1073)&gt;=IFERROR(N(INDEX(Übersicht!$M$15:$M$22,MATCH($B1073,Übersicht!$A$15:$A$22,0))),0)),1,0),1))</f>
        <v/>
      </c>
    </row>
    <row r="1074">
      <c r="A1074" s="92" t="n"/>
      <c r="B1074" s="55" t="n"/>
      <c r="C1074" s="55" t="n"/>
      <c r="D1074" s="55" t="n"/>
      <c r="E1074" s="93" t="n"/>
      <c r="F1074" s="94" t="n"/>
      <c r="G1074" s="94" t="n"/>
      <c r="H1074" s="94" t="n"/>
      <c r="I1074" s="94" t="n"/>
      <c r="J1074" s="55" t="n"/>
      <c r="K1074" s="95" t="n"/>
      <c r="L1074" s="116">
        <f>IF($A1074="","",DATE(YEAR($A1074),MONTH($A1074)+IF(AND(IFERROR(N(INDEX(Übersicht!$M$15:$M$22,MATCH($B1074,Übersicht!$A$15:$A$22,0))),0)&gt;1,DAY($A1074)&gt;=IFERROR(N(INDEX(Übersicht!$M$15:$M$22,MATCH($B1074,Übersicht!$A$15:$A$22,0))),0)),1,0),1))</f>
        <v/>
      </c>
    </row>
    <row r="1075">
      <c r="A1075" s="92" t="n"/>
      <c r="B1075" s="55" t="n"/>
      <c r="C1075" s="55" t="n"/>
      <c r="D1075" s="55" t="n"/>
      <c r="E1075" s="93" t="n"/>
      <c r="F1075" s="94" t="n"/>
      <c r="G1075" s="94" t="n"/>
      <c r="H1075" s="94" t="n"/>
      <c r="I1075" s="94" t="n"/>
      <c r="J1075" s="55" t="n"/>
      <c r="K1075" s="95" t="n"/>
      <c r="L1075" s="116">
        <f>IF($A1075="","",DATE(YEAR($A1075),MONTH($A1075)+IF(AND(IFERROR(N(INDEX(Übersicht!$M$15:$M$22,MATCH($B1075,Übersicht!$A$15:$A$22,0))),0)&gt;1,DAY($A1075)&gt;=IFERROR(N(INDEX(Übersicht!$M$15:$M$22,MATCH($B1075,Übersicht!$A$15:$A$22,0))),0)),1,0),1))</f>
        <v/>
      </c>
    </row>
    <row r="1076">
      <c r="A1076" s="92" t="n"/>
      <c r="B1076" s="55" t="n"/>
      <c r="C1076" s="55" t="n"/>
      <c r="D1076" s="55" t="n"/>
      <c r="E1076" s="93" t="n"/>
      <c r="F1076" s="94" t="n"/>
      <c r="G1076" s="94" t="n"/>
      <c r="H1076" s="94" t="n"/>
      <c r="I1076" s="94" t="n"/>
      <c r="J1076" s="55" t="n"/>
      <c r="K1076" s="95" t="n"/>
      <c r="L1076" s="116">
        <f>IF($A1076="","",DATE(YEAR($A1076),MONTH($A1076)+IF(AND(IFERROR(N(INDEX(Übersicht!$M$15:$M$22,MATCH($B1076,Übersicht!$A$15:$A$22,0))),0)&gt;1,DAY($A1076)&gt;=IFERROR(N(INDEX(Übersicht!$M$15:$M$22,MATCH($B1076,Übersicht!$A$15:$A$22,0))),0)),1,0),1))</f>
        <v/>
      </c>
    </row>
    <row r="1077">
      <c r="A1077" s="92" t="n"/>
      <c r="B1077" s="55" t="n"/>
      <c r="C1077" s="55" t="n"/>
      <c r="D1077" s="55" t="n"/>
      <c r="E1077" s="93" t="n"/>
      <c r="F1077" s="94" t="n"/>
      <c r="G1077" s="94" t="n"/>
      <c r="H1077" s="94" t="n"/>
      <c r="I1077" s="94" t="n"/>
      <c r="J1077" s="55" t="n"/>
      <c r="K1077" s="95" t="n"/>
      <c r="L1077" s="116">
        <f>IF($A1077="","",DATE(YEAR($A1077),MONTH($A1077)+IF(AND(IFERROR(N(INDEX(Übersicht!$M$15:$M$22,MATCH($B1077,Übersicht!$A$15:$A$22,0))),0)&gt;1,DAY($A1077)&gt;=IFERROR(N(INDEX(Übersicht!$M$15:$M$22,MATCH($B1077,Übersicht!$A$15:$A$22,0))),0)),1,0),1))</f>
        <v/>
      </c>
    </row>
    <row r="1078">
      <c r="A1078" s="92" t="n"/>
      <c r="B1078" s="55" t="n"/>
      <c r="C1078" s="55" t="n"/>
      <c r="D1078" s="55" t="n"/>
      <c r="E1078" s="93" t="n"/>
      <c r="F1078" s="94" t="n"/>
      <c r="G1078" s="94" t="n"/>
      <c r="H1078" s="94" t="n"/>
      <c r="I1078" s="94" t="n"/>
      <c r="J1078" s="55" t="n"/>
      <c r="K1078" s="95" t="n"/>
      <c r="L1078" s="116">
        <f>IF($A1078="","",DATE(YEAR($A1078),MONTH($A1078)+IF(AND(IFERROR(N(INDEX(Übersicht!$M$15:$M$22,MATCH($B1078,Übersicht!$A$15:$A$22,0))),0)&gt;1,DAY($A1078)&gt;=IFERROR(N(INDEX(Übersicht!$M$15:$M$22,MATCH($B1078,Übersicht!$A$15:$A$22,0))),0)),1,0),1))</f>
        <v/>
      </c>
    </row>
    <row r="1079">
      <c r="A1079" s="92" t="n"/>
      <c r="B1079" s="55" t="n"/>
      <c r="C1079" s="55" t="n"/>
      <c r="D1079" s="55" t="n"/>
      <c r="E1079" s="93" t="n"/>
      <c r="F1079" s="94" t="n"/>
      <c r="G1079" s="94" t="n"/>
      <c r="H1079" s="94" t="n"/>
      <c r="I1079" s="94" t="n"/>
      <c r="J1079" s="55" t="n"/>
      <c r="K1079" s="95" t="n"/>
      <c r="L1079" s="116">
        <f>IF($A1079="","",DATE(YEAR($A1079),MONTH($A1079)+IF(AND(IFERROR(N(INDEX(Übersicht!$M$15:$M$22,MATCH($B1079,Übersicht!$A$15:$A$22,0))),0)&gt;1,DAY($A1079)&gt;=IFERROR(N(INDEX(Übersicht!$M$15:$M$22,MATCH($B1079,Übersicht!$A$15:$A$22,0))),0)),1,0),1))</f>
        <v/>
      </c>
    </row>
    <row r="1080">
      <c r="A1080" s="92" t="n"/>
      <c r="B1080" s="55" t="n"/>
      <c r="C1080" s="55" t="n"/>
      <c r="D1080" s="55" t="n"/>
      <c r="E1080" s="93" t="n"/>
      <c r="F1080" s="94" t="n"/>
      <c r="G1080" s="94" t="n"/>
      <c r="H1080" s="94" t="n"/>
      <c r="I1080" s="94" t="n"/>
      <c r="J1080" s="55" t="n"/>
      <c r="K1080" s="95" t="n"/>
      <c r="L1080" s="116">
        <f>IF($A1080="","",DATE(YEAR($A1080),MONTH($A1080)+IF(AND(IFERROR(N(INDEX(Übersicht!$M$15:$M$22,MATCH($B1080,Übersicht!$A$15:$A$22,0))),0)&gt;1,DAY($A1080)&gt;=IFERROR(N(INDEX(Übersicht!$M$15:$M$22,MATCH($B1080,Übersicht!$A$15:$A$22,0))),0)),1,0),1))</f>
        <v/>
      </c>
    </row>
    <row r="1081">
      <c r="A1081" s="92" t="n"/>
      <c r="B1081" s="55" t="n"/>
      <c r="C1081" s="55" t="n"/>
      <c r="D1081" s="55" t="n"/>
      <c r="E1081" s="93" t="n"/>
      <c r="F1081" s="94" t="n"/>
      <c r="G1081" s="94" t="n"/>
      <c r="H1081" s="94" t="n"/>
      <c r="I1081" s="94" t="n"/>
      <c r="J1081" s="55" t="n"/>
      <c r="K1081" s="95" t="n"/>
      <c r="L1081" s="116">
        <f>IF($A1081="","",DATE(YEAR($A1081),MONTH($A1081)+IF(AND(IFERROR(N(INDEX(Übersicht!$M$15:$M$22,MATCH($B1081,Übersicht!$A$15:$A$22,0))),0)&gt;1,DAY($A1081)&gt;=IFERROR(N(INDEX(Übersicht!$M$15:$M$22,MATCH($B1081,Übersicht!$A$15:$A$22,0))),0)),1,0),1))</f>
        <v/>
      </c>
    </row>
    <row r="1082">
      <c r="A1082" s="92" t="n"/>
      <c r="B1082" s="55" t="n"/>
      <c r="C1082" s="55" t="n"/>
      <c r="D1082" s="55" t="n"/>
      <c r="E1082" s="93" t="n"/>
      <c r="F1082" s="94" t="n"/>
      <c r="G1082" s="94" t="n"/>
      <c r="H1082" s="94" t="n"/>
      <c r="I1082" s="94" t="n"/>
      <c r="J1082" s="55" t="n"/>
      <c r="K1082" s="95" t="n"/>
      <c r="L1082" s="116">
        <f>IF($A1082="","",DATE(YEAR($A1082),MONTH($A1082)+IF(AND(IFERROR(N(INDEX(Übersicht!$M$15:$M$22,MATCH($B1082,Übersicht!$A$15:$A$22,0))),0)&gt;1,DAY($A1082)&gt;=IFERROR(N(INDEX(Übersicht!$M$15:$M$22,MATCH($B1082,Übersicht!$A$15:$A$22,0))),0)),1,0),1))</f>
        <v/>
      </c>
    </row>
    <row r="1083">
      <c r="A1083" s="92" t="n"/>
      <c r="B1083" s="55" t="n"/>
      <c r="C1083" s="55" t="n"/>
      <c r="D1083" s="55" t="n"/>
      <c r="E1083" s="93" t="n"/>
      <c r="F1083" s="94" t="n"/>
      <c r="G1083" s="94" t="n"/>
      <c r="H1083" s="94" t="n"/>
      <c r="I1083" s="94" t="n"/>
      <c r="J1083" s="55" t="n"/>
      <c r="K1083" s="95" t="n"/>
      <c r="L1083" s="116">
        <f>IF($A1083="","",DATE(YEAR($A1083),MONTH($A1083)+IF(AND(IFERROR(N(INDEX(Übersicht!$M$15:$M$22,MATCH($B1083,Übersicht!$A$15:$A$22,0))),0)&gt;1,DAY($A1083)&gt;=IFERROR(N(INDEX(Übersicht!$M$15:$M$22,MATCH($B1083,Übersicht!$A$15:$A$22,0))),0)),1,0),1))</f>
        <v/>
      </c>
    </row>
    <row r="1084">
      <c r="A1084" s="92" t="n"/>
      <c r="B1084" s="55" t="n"/>
      <c r="C1084" s="55" t="n"/>
      <c r="D1084" s="55" t="n"/>
      <c r="E1084" s="93" t="n"/>
      <c r="F1084" s="94" t="n"/>
      <c r="G1084" s="94" t="n"/>
      <c r="H1084" s="94" t="n"/>
      <c r="I1084" s="94" t="n"/>
      <c r="J1084" s="55" t="n"/>
      <c r="K1084" s="95" t="n"/>
      <c r="L1084" s="116">
        <f>IF($A1084="","",DATE(YEAR($A1084),MONTH($A1084)+IF(AND(IFERROR(N(INDEX(Übersicht!$M$15:$M$22,MATCH($B1084,Übersicht!$A$15:$A$22,0))),0)&gt;1,DAY($A1084)&gt;=IFERROR(N(INDEX(Übersicht!$M$15:$M$22,MATCH($B1084,Übersicht!$A$15:$A$22,0))),0)),1,0),1))</f>
        <v/>
      </c>
    </row>
    <row r="1085">
      <c r="A1085" s="92" t="n"/>
      <c r="B1085" s="55" t="n"/>
      <c r="C1085" s="55" t="n"/>
      <c r="D1085" s="55" t="n"/>
      <c r="E1085" s="93" t="n"/>
      <c r="F1085" s="94" t="n"/>
      <c r="G1085" s="94" t="n"/>
      <c r="H1085" s="94" t="n"/>
      <c r="I1085" s="94" t="n"/>
      <c r="J1085" s="55" t="n"/>
      <c r="K1085" s="95" t="n"/>
      <c r="L1085" s="116">
        <f>IF($A1085="","",DATE(YEAR($A1085),MONTH($A1085)+IF(AND(IFERROR(N(INDEX(Übersicht!$M$15:$M$22,MATCH($B1085,Übersicht!$A$15:$A$22,0))),0)&gt;1,DAY($A1085)&gt;=IFERROR(N(INDEX(Übersicht!$M$15:$M$22,MATCH($B1085,Übersicht!$A$15:$A$22,0))),0)),1,0),1))</f>
        <v/>
      </c>
    </row>
    <row r="1086">
      <c r="A1086" s="92" t="n"/>
      <c r="B1086" s="55" t="n"/>
      <c r="C1086" s="55" t="n"/>
      <c r="D1086" s="55" t="n"/>
      <c r="E1086" s="93" t="n"/>
      <c r="F1086" s="94" t="n"/>
      <c r="G1086" s="94" t="n"/>
      <c r="H1086" s="94" t="n"/>
      <c r="I1086" s="94" t="n"/>
      <c r="J1086" s="55" t="n"/>
      <c r="K1086" s="95" t="n"/>
      <c r="L1086" s="116">
        <f>IF($A1086="","",DATE(YEAR($A1086),MONTH($A1086)+IF(AND(IFERROR(N(INDEX(Übersicht!$M$15:$M$22,MATCH($B1086,Übersicht!$A$15:$A$22,0))),0)&gt;1,DAY($A1086)&gt;=IFERROR(N(INDEX(Übersicht!$M$15:$M$22,MATCH($B1086,Übersicht!$A$15:$A$22,0))),0)),1,0),1))</f>
        <v/>
      </c>
    </row>
    <row r="1087">
      <c r="A1087" s="92" t="n"/>
      <c r="B1087" s="55" t="n"/>
      <c r="C1087" s="55" t="n"/>
      <c r="D1087" s="55" t="n"/>
      <c r="E1087" s="93" t="n"/>
      <c r="F1087" s="94" t="n"/>
      <c r="G1087" s="94" t="n"/>
      <c r="H1087" s="94" t="n"/>
      <c r="I1087" s="94" t="n"/>
      <c r="J1087" s="55" t="n"/>
      <c r="K1087" s="95" t="n"/>
      <c r="L1087" s="116">
        <f>IF($A1087="","",DATE(YEAR($A1087),MONTH($A1087)+IF(AND(IFERROR(N(INDEX(Übersicht!$M$15:$M$22,MATCH($B1087,Übersicht!$A$15:$A$22,0))),0)&gt;1,DAY($A1087)&gt;=IFERROR(N(INDEX(Übersicht!$M$15:$M$22,MATCH($B1087,Übersicht!$A$15:$A$22,0))),0)),1,0),1))</f>
        <v/>
      </c>
    </row>
    <row r="1088">
      <c r="A1088" s="92" t="n"/>
      <c r="B1088" s="55" t="n"/>
      <c r="C1088" s="55" t="n"/>
      <c r="D1088" s="55" t="n"/>
      <c r="E1088" s="93" t="n"/>
      <c r="F1088" s="94" t="n"/>
      <c r="G1088" s="94" t="n"/>
      <c r="H1088" s="94" t="n"/>
      <c r="I1088" s="94" t="n"/>
      <c r="J1088" s="55" t="n"/>
      <c r="K1088" s="95" t="n"/>
      <c r="L1088" s="116">
        <f>IF($A1088="","",DATE(YEAR($A1088),MONTH($A1088)+IF(AND(IFERROR(N(INDEX(Übersicht!$M$15:$M$22,MATCH($B1088,Übersicht!$A$15:$A$22,0))),0)&gt;1,DAY($A1088)&gt;=IFERROR(N(INDEX(Übersicht!$M$15:$M$22,MATCH($B1088,Übersicht!$A$15:$A$22,0))),0)),1,0),1))</f>
        <v/>
      </c>
    </row>
    <row r="1089">
      <c r="A1089" s="92" t="n"/>
      <c r="B1089" s="55" t="n"/>
      <c r="C1089" s="55" t="n"/>
      <c r="D1089" s="55" t="n"/>
      <c r="E1089" s="93" t="n"/>
      <c r="F1089" s="94" t="n"/>
      <c r="G1089" s="94" t="n"/>
      <c r="H1089" s="94" t="n"/>
      <c r="I1089" s="94" t="n"/>
      <c r="J1089" s="55" t="n"/>
      <c r="K1089" s="95" t="n"/>
      <c r="L1089" s="116">
        <f>IF($A1089="","",DATE(YEAR($A1089),MONTH($A1089)+IF(AND(IFERROR(N(INDEX(Übersicht!$M$15:$M$22,MATCH($B1089,Übersicht!$A$15:$A$22,0))),0)&gt;1,DAY($A1089)&gt;=IFERROR(N(INDEX(Übersicht!$M$15:$M$22,MATCH($B1089,Übersicht!$A$15:$A$22,0))),0)),1,0),1))</f>
        <v/>
      </c>
    </row>
    <row r="1090">
      <c r="A1090" s="92" t="n"/>
      <c r="B1090" s="55" t="n"/>
      <c r="C1090" s="55" t="n"/>
      <c r="D1090" s="55" t="n"/>
      <c r="E1090" s="93" t="n"/>
      <c r="F1090" s="94" t="n"/>
      <c r="G1090" s="94" t="n"/>
      <c r="H1090" s="94" t="n"/>
      <c r="I1090" s="94" t="n"/>
      <c r="J1090" s="55" t="n"/>
      <c r="K1090" s="95" t="n"/>
      <c r="L1090" s="116">
        <f>IF($A1090="","",DATE(YEAR($A1090),MONTH($A1090)+IF(AND(IFERROR(N(INDEX(Übersicht!$M$15:$M$22,MATCH($B1090,Übersicht!$A$15:$A$22,0))),0)&gt;1,DAY($A1090)&gt;=IFERROR(N(INDEX(Übersicht!$M$15:$M$22,MATCH($B1090,Übersicht!$A$15:$A$22,0))),0)),1,0),1))</f>
        <v/>
      </c>
    </row>
    <row r="1091">
      <c r="A1091" s="92" t="n"/>
      <c r="B1091" s="55" t="n"/>
      <c r="C1091" s="55" t="n"/>
      <c r="D1091" s="55" t="n"/>
      <c r="E1091" s="93" t="n"/>
      <c r="F1091" s="94" t="n"/>
      <c r="G1091" s="94" t="n"/>
      <c r="H1091" s="94" t="n"/>
      <c r="I1091" s="94" t="n"/>
      <c r="J1091" s="55" t="n"/>
      <c r="K1091" s="95" t="n"/>
      <c r="L1091" s="116">
        <f>IF($A1091="","",DATE(YEAR($A1091),MONTH($A1091)+IF(AND(IFERROR(N(INDEX(Übersicht!$M$15:$M$22,MATCH($B1091,Übersicht!$A$15:$A$22,0))),0)&gt;1,DAY($A1091)&gt;=IFERROR(N(INDEX(Übersicht!$M$15:$M$22,MATCH($B1091,Übersicht!$A$15:$A$22,0))),0)),1,0),1))</f>
        <v/>
      </c>
    </row>
    <row r="1092">
      <c r="A1092" s="92" t="n"/>
      <c r="B1092" s="55" t="n"/>
      <c r="C1092" s="55" t="n"/>
      <c r="D1092" s="55" t="n"/>
      <c r="E1092" s="93" t="n"/>
      <c r="F1092" s="94" t="n"/>
      <c r="G1092" s="94" t="n"/>
      <c r="H1092" s="94" t="n"/>
      <c r="I1092" s="94" t="n"/>
      <c r="J1092" s="55" t="n"/>
      <c r="K1092" s="95" t="n"/>
      <c r="L1092" s="116">
        <f>IF($A1092="","",DATE(YEAR($A1092),MONTH($A1092)+IF(AND(IFERROR(N(INDEX(Übersicht!$M$15:$M$22,MATCH($B1092,Übersicht!$A$15:$A$22,0))),0)&gt;1,DAY($A1092)&gt;=IFERROR(N(INDEX(Übersicht!$M$15:$M$22,MATCH($B1092,Übersicht!$A$15:$A$22,0))),0)),1,0),1))</f>
        <v/>
      </c>
    </row>
    <row r="1093">
      <c r="A1093" s="92" t="n"/>
      <c r="B1093" s="55" t="n"/>
      <c r="C1093" s="55" t="n"/>
      <c r="D1093" s="55" t="n"/>
      <c r="E1093" s="93" t="n"/>
      <c r="F1093" s="94" t="n"/>
      <c r="G1093" s="94" t="n"/>
      <c r="H1093" s="94" t="n"/>
      <c r="I1093" s="94" t="n"/>
      <c r="J1093" s="55" t="n"/>
      <c r="K1093" s="95" t="n"/>
      <c r="L1093" s="116">
        <f>IF($A1093="","",DATE(YEAR($A1093),MONTH($A1093)+IF(AND(IFERROR(N(INDEX(Übersicht!$M$15:$M$22,MATCH($B1093,Übersicht!$A$15:$A$22,0))),0)&gt;1,DAY($A1093)&gt;=IFERROR(N(INDEX(Übersicht!$M$15:$M$22,MATCH($B1093,Übersicht!$A$15:$A$22,0))),0)),1,0),1))</f>
        <v/>
      </c>
    </row>
    <row r="1094">
      <c r="A1094" s="92" t="n"/>
      <c r="B1094" s="55" t="n"/>
      <c r="C1094" s="55" t="n"/>
      <c r="D1094" s="55" t="n"/>
      <c r="E1094" s="93" t="n"/>
      <c r="F1094" s="94" t="n"/>
      <c r="G1094" s="94" t="n"/>
      <c r="H1094" s="94" t="n"/>
      <c r="I1094" s="94" t="n"/>
      <c r="J1094" s="55" t="n"/>
      <c r="K1094" s="95" t="n"/>
      <c r="L1094" s="116">
        <f>IF($A1094="","",DATE(YEAR($A1094),MONTH($A1094)+IF(AND(IFERROR(N(INDEX(Übersicht!$M$15:$M$22,MATCH($B1094,Übersicht!$A$15:$A$22,0))),0)&gt;1,DAY($A1094)&gt;=IFERROR(N(INDEX(Übersicht!$M$15:$M$22,MATCH($B1094,Übersicht!$A$15:$A$22,0))),0)),1,0),1))</f>
        <v/>
      </c>
    </row>
    <row r="1095">
      <c r="A1095" s="92" t="n"/>
      <c r="B1095" s="55" t="n"/>
      <c r="C1095" s="55" t="n"/>
      <c r="D1095" s="55" t="n"/>
      <c r="E1095" s="93" t="n"/>
      <c r="F1095" s="94" t="n"/>
      <c r="G1095" s="94" t="n"/>
      <c r="H1095" s="94" t="n"/>
      <c r="I1095" s="94" t="n"/>
      <c r="J1095" s="55" t="n"/>
      <c r="K1095" s="95" t="n"/>
      <c r="L1095" s="116">
        <f>IF($A1095="","",DATE(YEAR($A1095),MONTH($A1095)+IF(AND(IFERROR(N(INDEX(Übersicht!$M$15:$M$22,MATCH($B1095,Übersicht!$A$15:$A$22,0))),0)&gt;1,DAY($A1095)&gt;=IFERROR(N(INDEX(Übersicht!$M$15:$M$22,MATCH($B1095,Übersicht!$A$15:$A$22,0))),0)),1,0),1))</f>
        <v/>
      </c>
    </row>
    <row r="1096">
      <c r="A1096" s="92" t="n"/>
      <c r="B1096" s="55" t="n"/>
      <c r="C1096" s="55" t="n"/>
      <c r="D1096" s="55" t="n"/>
      <c r="E1096" s="93" t="n"/>
      <c r="F1096" s="94" t="n"/>
      <c r="G1096" s="94" t="n"/>
      <c r="H1096" s="94" t="n"/>
      <c r="I1096" s="94" t="n"/>
      <c r="J1096" s="55" t="n"/>
      <c r="K1096" s="95" t="n"/>
      <c r="L1096" s="116">
        <f>IF($A1096="","",DATE(YEAR($A1096),MONTH($A1096)+IF(AND(IFERROR(N(INDEX(Übersicht!$M$15:$M$22,MATCH($B1096,Übersicht!$A$15:$A$22,0))),0)&gt;1,DAY($A1096)&gt;=IFERROR(N(INDEX(Übersicht!$M$15:$M$22,MATCH($B1096,Übersicht!$A$15:$A$22,0))),0)),1,0),1))</f>
        <v/>
      </c>
    </row>
    <row r="1097">
      <c r="A1097" s="92" t="n"/>
      <c r="B1097" s="55" t="n"/>
      <c r="C1097" s="55" t="n"/>
      <c r="D1097" s="55" t="n"/>
      <c r="E1097" s="93" t="n"/>
      <c r="F1097" s="94" t="n"/>
      <c r="G1097" s="94" t="n"/>
      <c r="H1097" s="94" t="n"/>
      <c r="I1097" s="94" t="n"/>
      <c r="J1097" s="55" t="n"/>
      <c r="K1097" s="95" t="n"/>
      <c r="L1097" s="116">
        <f>IF($A1097="","",DATE(YEAR($A1097),MONTH($A1097)+IF(AND(IFERROR(N(INDEX(Übersicht!$M$15:$M$22,MATCH($B1097,Übersicht!$A$15:$A$22,0))),0)&gt;1,DAY($A1097)&gt;=IFERROR(N(INDEX(Übersicht!$M$15:$M$22,MATCH($B1097,Übersicht!$A$15:$A$22,0))),0)),1,0),1))</f>
        <v/>
      </c>
    </row>
    <row r="1098">
      <c r="A1098" s="92" t="n"/>
      <c r="B1098" s="55" t="n"/>
      <c r="C1098" s="55" t="n"/>
      <c r="D1098" s="55" t="n"/>
      <c r="E1098" s="93" t="n"/>
      <c r="F1098" s="94" t="n"/>
      <c r="G1098" s="94" t="n"/>
      <c r="H1098" s="94" t="n"/>
      <c r="I1098" s="94" t="n"/>
      <c r="J1098" s="55" t="n"/>
      <c r="K1098" s="95" t="n"/>
      <c r="L1098" s="116">
        <f>IF($A1098="","",DATE(YEAR($A1098),MONTH($A1098)+IF(AND(IFERROR(N(INDEX(Übersicht!$M$15:$M$22,MATCH($B1098,Übersicht!$A$15:$A$22,0))),0)&gt;1,DAY($A1098)&gt;=IFERROR(N(INDEX(Übersicht!$M$15:$M$22,MATCH($B1098,Übersicht!$A$15:$A$22,0))),0)),1,0),1))</f>
        <v/>
      </c>
    </row>
    <row r="1099">
      <c r="A1099" s="92" t="n"/>
      <c r="B1099" s="55" t="n"/>
      <c r="C1099" s="55" t="n"/>
      <c r="D1099" s="55" t="n"/>
      <c r="E1099" s="93" t="n"/>
      <c r="F1099" s="94" t="n"/>
      <c r="G1099" s="94" t="n"/>
      <c r="H1099" s="94" t="n"/>
      <c r="I1099" s="94" t="n"/>
      <c r="J1099" s="55" t="n"/>
      <c r="K1099" s="95" t="n"/>
      <c r="L1099" s="116">
        <f>IF($A1099="","",DATE(YEAR($A1099),MONTH($A1099)+IF(AND(IFERROR(N(INDEX(Übersicht!$M$15:$M$22,MATCH($B1099,Übersicht!$A$15:$A$22,0))),0)&gt;1,DAY($A1099)&gt;=IFERROR(N(INDEX(Übersicht!$M$15:$M$22,MATCH($B1099,Übersicht!$A$15:$A$22,0))),0)),1,0),1))</f>
        <v/>
      </c>
    </row>
    <row r="1100">
      <c r="A1100" s="92" t="n"/>
      <c r="B1100" s="55" t="n"/>
      <c r="C1100" s="55" t="n"/>
      <c r="D1100" s="55" t="n"/>
      <c r="E1100" s="93" t="n"/>
      <c r="F1100" s="94" t="n"/>
      <c r="G1100" s="94" t="n"/>
      <c r="H1100" s="94" t="n"/>
      <c r="I1100" s="94" t="n"/>
      <c r="J1100" s="55" t="n"/>
      <c r="K1100" s="95" t="n"/>
      <c r="L1100" s="116">
        <f>IF($A1100="","",DATE(YEAR($A1100),MONTH($A1100)+IF(AND(IFERROR(N(INDEX(Übersicht!$M$15:$M$22,MATCH($B1100,Übersicht!$A$15:$A$22,0))),0)&gt;1,DAY($A1100)&gt;=IFERROR(N(INDEX(Übersicht!$M$15:$M$22,MATCH($B1100,Übersicht!$A$15:$A$22,0))),0)),1,0),1))</f>
        <v/>
      </c>
    </row>
    <row r="1101">
      <c r="A1101" s="92" t="n"/>
      <c r="B1101" s="55" t="n"/>
      <c r="C1101" s="55" t="n"/>
      <c r="D1101" s="55" t="n"/>
      <c r="E1101" s="93" t="n"/>
      <c r="F1101" s="94" t="n"/>
      <c r="G1101" s="94" t="n"/>
      <c r="H1101" s="94" t="n"/>
      <c r="I1101" s="94" t="n"/>
      <c r="J1101" s="55" t="n"/>
      <c r="K1101" s="95" t="n"/>
      <c r="L1101" s="116">
        <f>IF($A1101="","",DATE(YEAR($A1101),MONTH($A1101)+IF(AND(IFERROR(N(INDEX(Übersicht!$M$15:$M$22,MATCH($B1101,Übersicht!$A$15:$A$22,0))),0)&gt;1,DAY($A1101)&gt;=IFERROR(N(INDEX(Übersicht!$M$15:$M$22,MATCH($B1101,Übersicht!$A$15:$A$22,0))),0)),1,0),1))</f>
        <v/>
      </c>
    </row>
    <row r="1102">
      <c r="A1102" s="92" t="n"/>
      <c r="B1102" s="55" t="n"/>
      <c r="C1102" s="55" t="n"/>
      <c r="D1102" s="55" t="n"/>
      <c r="E1102" s="93" t="n"/>
      <c r="F1102" s="94" t="n"/>
      <c r="G1102" s="94" t="n"/>
      <c r="H1102" s="94" t="n"/>
      <c r="I1102" s="94" t="n"/>
      <c r="J1102" s="55" t="n"/>
      <c r="K1102" s="95" t="n"/>
      <c r="L1102" s="116">
        <f>IF($A1102="","",DATE(YEAR($A1102),MONTH($A1102)+IF(AND(IFERROR(N(INDEX(Übersicht!$M$15:$M$22,MATCH($B1102,Übersicht!$A$15:$A$22,0))),0)&gt;1,DAY($A1102)&gt;=IFERROR(N(INDEX(Übersicht!$M$15:$M$22,MATCH($B1102,Übersicht!$A$15:$A$22,0))),0)),1,0),1))</f>
        <v/>
      </c>
    </row>
    <row r="1103">
      <c r="A1103" s="92" t="n"/>
      <c r="B1103" s="55" t="n"/>
      <c r="C1103" s="55" t="n"/>
      <c r="D1103" s="55" t="n"/>
      <c r="E1103" s="93" t="n"/>
      <c r="F1103" s="94" t="n"/>
      <c r="G1103" s="94" t="n"/>
      <c r="H1103" s="94" t="n"/>
      <c r="I1103" s="94" t="n"/>
      <c r="J1103" s="55" t="n"/>
      <c r="K1103" s="95" t="n"/>
      <c r="L1103" s="116">
        <f>IF($A1103="","",DATE(YEAR($A1103),MONTH($A1103)+IF(AND(IFERROR(N(INDEX(Übersicht!$M$15:$M$22,MATCH($B1103,Übersicht!$A$15:$A$22,0))),0)&gt;1,DAY($A1103)&gt;=IFERROR(N(INDEX(Übersicht!$M$15:$M$22,MATCH($B1103,Übersicht!$A$15:$A$22,0))),0)),1,0),1))</f>
        <v/>
      </c>
    </row>
    <row r="1104">
      <c r="A1104" s="92" t="n"/>
      <c r="B1104" s="55" t="n"/>
      <c r="C1104" s="55" t="n"/>
      <c r="D1104" s="55" t="n"/>
      <c r="E1104" s="93" t="n"/>
      <c r="F1104" s="94" t="n"/>
      <c r="G1104" s="94" t="n"/>
      <c r="H1104" s="94" t="n"/>
      <c r="I1104" s="94" t="n"/>
      <c r="J1104" s="55" t="n"/>
      <c r="K1104" s="95" t="n"/>
      <c r="L1104" s="116">
        <f>IF($A1104="","",DATE(YEAR($A1104),MONTH($A1104)+IF(AND(IFERROR(N(INDEX(Übersicht!$M$15:$M$22,MATCH($B1104,Übersicht!$A$15:$A$22,0))),0)&gt;1,DAY($A1104)&gt;=IFERROR(N(INDEX(Übersicht!$M$15:$M$22,MATCH($B1104,Übersicht!$A$15:$A$22,0))),0)),1,0),1))</f>
        <v/>
      </c>
    </row>
    <row r="1105">
      <c r="A1105" s="92" t="n"/>
      <c r="B1105" s="55" t="n"/>
      <c r="C1105" s="55" t="n"/>
      <c r="D1105" s="55" t="n"/>
      <c r="E1105" s="93" t="n"/>
      <c r="F1105" s="94" t="n"/>
      <c r="G1105" s="94" t="n"/>
      <c r="H1105" s="94" t="n"/>
      <c r="I1105" s="94" t="n"/>
      <c r="J1105" s="55" t="n"/>
      <c r="K1105" s="95" t="n"/>
      <c r="L1105" s="116">
        <f>IF($A1105="","",DATE(YEAR($A1105),MONTH($A1105)+IF(AND(IFERROR(N(INDEX(Übersicht!$M$15:$M$22,MATCH($B1105,Übersicht!$A$15:$A$22,0))),0)&gt;1,DAY($A1105)&gt;=IFERROR(N(INDEX(Übersicht!$M$15:$M$22,MATCH($B1105,Übersicht!$A$15:$A$22,0))),0)),1,0),1))</f>
        <v/>
      </c>
    </row>
    <row r="1106">
      <c r="A1106" s="92" t="n"/>
      <c r="B1106" s="55" t="n"/>
      <c r="C1106" s="55" t="n"/>
      <c r="D1106" s="55" t="n"/>
      <c r="E1106" s="93" t="n"/>
      <c r="F1106" s="94" t="n"/>
      <c r="G1106" s="94" t="n"/>
      <c r="H1106" s="94" t="n"/>
      <c r="I1106" s="94" t="n"/>
      <c r="J1106" s="55" t="n"/>
      <c r="K1106" s="95" t="n"/>
      <c r="L1106" s="116">
        <f>IF($A1106="","",DATE(YEAR($A1106),MONTH($A1106)+IF(AND(IFERROR(N(INDEX(Übersicht!$M$15:$M$22,MATCH($B1106,Übersicht!$A$15:$A$22,0))),0)&gt;1,DAY($A1106)&gt;=IFERROR(N(INDEX(Übersicht!$M$15:$M$22,MATCH($B1106,Übersicht!$A$15:$A$22,0))),0)),1,0),1))</f>
        <v/>
      </c>
    </row>
    <row r="1107">
      <c r="A1107" s="92" t="n"/>
      <c r="B1107" s="55" t="n"/>
      <c r="C1107" s="55" t="n"/>
      <c r="D1107" s="55" t="n"/>
      <c r="E1107" s="93" t="n"/>
      <c r="F1107" s="94" t="n"/>
      <c r="G1107" s="94" t="n"/>
      <c r="H1107" s="94" t="n"/>
      <c r="I1107" s="94" t="n"/>
      <c r="J1107" s="55" t="n"/>
      <c r="K1107" s="95" t="n"/>
      <c r="L1107" s="116">
        <f>IF($A1107="","",DATE(YEAR($A1107),MONTH($A1107)+IF(AND(IFERROR(N(INDEX(Übersicht!$M$15:$M$22,MATCH($B1107,Übersicht!$A$15:$A$22,0))),0)&gt;1,DAY($A1107)&gt;=IFERROR(N(INDEX(Übersicht!$M$15:$M$22,MATCH($B1107,Übersicht!$A$15:$A$22,0))),0)),1,0),1))</f>
        <v/>
      </c>
    </row>
    <row r="1108">
      <c r="A1108" s="92" t="n"/>
      <c r="B1108" s="55" t="n"/>
      <c r="C1108" s="55" t="n"/>
      <c r="D1108" s="55" t="n"/>
      <c r="E1108" s="93" t="n"/>
      <c r="F1108" s="94" t="n"/>
      <c r="G1108" s="94" t="n"/>
      <c r="H1108" s="94" t="n"/>
      <c r="I1108" s="94" t="n"/>
      <c r="J1108" s="55" t="n"/>
      <c r="K1108" s="95" t="n"/>
      <c r="L1108" s="116">
        <f>IF($A1108="","",DATE(YEAR($A1108),MONTH($A1108)+IF(AND(IFERROR(N(INDEX(Übersicht!$M$15:$M$22,MATCH($B1108,Übersicht!$A$15:$A$22,0))),0)&gt;1,DAY($A1108)&gt;=IFERROR(N(INDEX(Übersicht!$M$15:$M$22,MATCH($B1108,Übersicht!$A$15:$A$22,0))),0)),1,0),1))</f>
        <v/>
      </c>
    </row>
    <row r="1109">
      <c r="A1109" s="92" t="n"/>
      <c r="B1109" s="55" t="n"/>
      <c r="C1109" s="55" t="n"/>
      <c r="D1109" s="55" t="n"/>
      <c r="E1109" s="93" t="n"/>
      <c r="F1109" s="94" t="n"/>
      <c r="G1109" s="94" t="n"/>
      <c r="H1109" s="94" t="n"/>
      <c r="I1109" s="94" t="n"/>
      <c r="J1109" s="55" t="n"/>
      <c r="K1109" s="95" t="n"/>
      <c r="L1109" s="116">
        <f>IF($A1109="","",DATE(YEAR($A1109),MONTH($A1109)+IF(AND(IFERROR(N(INDEX(Übersicht!$M$15:$M$22,MATCH($B1109,Übersicht!$A$15:$A$22,0))),0)&gt;1,DAY($A1109)&gt;=IFERROR(N(INDEX(Übersicht!$M$15:$M$22,MATCH($B1109,Übersicht!$A$15:$A$22,0))),0)),1,0),1))</f>
        <v/>
      </c>
    </row>
    <row r="1110">
      <c r="A1110" s="92" t="n"/>
      <c r="B1110" s="55" t="n"/>
      <c r="C1110" s="55" t="n"/>
      <c r="D1110" s="55" t="n"/>
      <c r="E1110" s="93" t="n"/>
      <c r="F1110" s="94" t="n"/>
      <c r="G1110" s="94" t="n"/>
      <c r="H1110" s="94" t="n"/>
      <c r="I1110" s="94" t="n"/>
      <c r="J1110" s="55" t="n"/>
      <c r="K1110" s="95" t="n"/>
      <c r="L1110" s="116">
        <f>IF($A1110="","",DATE(YEAR($A1110),MONTH($A1110)+IF(AND(IFERROR(N(INDEX(Übersicht!$M$15:$M$22,MATCH($B1110,Übersicht!$A$15:$A$22,0))),0)&gt;1,DAY($A1110)&gt;=IFERROR(N(INDEX(Übersicht!$M$15:$M$22,MATCH($B1110,Übersicht!$A$15:$A$22,0))),0)),1,0),1))</f>
        <v/>
      </c>
    </row>
    <row r="1111">
      <c r="A1111" s="92" t="n"/>
      <c r="B1111" s="55" t="n"/>
      <c r="C1111" s="55" t="n"/>
      <c r="D1111" s="55" t="n"/>
      <c r="E1111" s="93" t="n"/>
      <c r="F1111" s="94" t="n"/>
      <c r="G1111" s="94" t="n"/>
      <c r="H1111" s="94" t="n"/>
      <c r="I1111" s="94" t="n"/>
      <c r="J1111" s="55" t="n"/>
      <c r="K1111" s="95" t="n"/>
      <c r="L1111" s="116">
        <f>IF($A1111="","",DATE(YEAR($A1111),MONTH($A1111)+IF(AND(IFERROR(N(INDEX(Übersicht!$M$15:$M$22,MATCH($B1111,Übersicht!$A$15:$A$22,0))),0)&gt;1,DAY($A1111)&gt;=IFERROR(N(INDEX(Übersicht!$M$15:$M$22,MATCH($B1111,Übersicht!$A$15:$A$22,0))),0)),1,0),1))</f>
        <v/>
      </c>
    </row>
    <row r="1112">
      <c r="A1112" s="92" t="n"/>
      <c r="B1112" s="55" t="n"/>
      <c r="C1112" s="55" t="n"/>
      <c r="D1112" s="55" t="n"/>
      <c r="E1112" s="93" t="n"/>
      <c r="F1112" s="94" t="n"/>
      <c r="G1112" s="94" t="n"/>
      <c r="H1112" s="94" t="n"/>
      <c r="I1112" s="94" t="n"/>
      <c r="J1112" s="55" t="n"/>
      <c r="K1112" s="95" t="n"/>
      <c r="L1112" s="116">
        <f>IF($A1112="","",DATE(YEAR($A1112),MONTH($A1112)+IF(AND(IFERROR(N(INDEX(Übersicht!$M$15:$M$22,MATCH($B1112,Übersicht!$A$15:$A$22,0))),0)&gt;1,DAY($A1112)&gt;=IFERROR(N(INDEX(Übersicht!$M$15:$M$22,MATCH($B1112,Übersicht!$A$15:$A$22,0))),0)),1,0),1))</f>
        <v/>
      </c>
    </row>
    <row r="1113">
      <c r="A1113" s="92" t="n"/>
      <c r="B1113" s="55" t="n"/>
      <c r="C1113" s="55" t="n"/>
      <c r="D1113" s="55" t="n"/>
      <c r="E1113" s="93" t="n"/>
      <c r="F1113" s="94" t="n"/>
      <c r="G1113" s="94" t="n"/>
      <c r="H1113" s="94" t="n"/>
      <c r="I1113" s="94" t="n"/>
      <c r="J1113" s="55" t="n"/>
      <c r="K1113" s="95" t="n"/>
      <c r="L1113" s="116">
        <f>IF($A1113="","",DATE(YEAR($A1113),MONTH($A1113)+IF(AND(IFERROR(N(INDEX(Übersicht!$M$15:$M$22,MATCH($B1113,Übersicht!$A$15:$A$22,0))),0)&gt;1,DAY($A1113)&gt;=IFERROR(N(INDEX(Übersicht!$M$15:$M$22,MATCH($B1113,Übersicht!$A$15:$A$22,0))),0)),1,0),1))</f>
        <v/>
      </c>
    </row>
    <row r="1114">
      <c r="A1114" s="92" t="n"/>
      <c r="B1114" s="55" t="n"/>
      <c r="C1114" s="55" t="n"/>
      <c r="D1114" s="55" t="n"/>
      <c r="E1114" s="93" t="n"/>
      <c r="F1114" s="94" t="n"/>
      <c r="G1114" s="94" t="n"/>
      <c r="H1114" s="94" t="n"/>
      <c r="I1114" s="94" t="n"/>
      <c r="J1114" s="55" t="n"/>
      <c r="K1114" s="95" t="n"/>
      <c r="L1114" s="116">
        <f>IF($A1114="","",DATE(YEAR($A1114),MONTH($A1114)+IF(AND(IFERROR(N(INDEX(Übersicht!$M$15:$M$22,MATCH($B1114,Übersicht!$A$15:$A$22,0))),0)&gt;1,DAY($A1114)&gt;=IFERROR(N(INDEX(Übersicht!$M$15:$M$22,MATCH($B1114,Übersicht!$A$15:$A$22,0))),0)),1,0),1))</f>
        <v/>
      </c>
    </row>
    <row r="1115">
      <c r="A1115" s="92" t="n"/>
      <c r="B1115" s="55" t="n"/>
      <c r="C1115" s="55" t="n"/>
      <c r="D1115" s="55" t="n"/>
      <c r="E1115" s="93" t="n"/>
      <c r="F1115" s="94" t="n"/>
      <c r="G1115" s="94" t="n"/>
      <c r="H1115" s="94" t="n"/>
      <c r="I1115" s="94" t="n"/>
      <c r="J1115" s="55" t="n"/>
      <c r="K1115" s="95" t="n"/>
      <c r="L1115" s="116">
        <f>IF($A1115="","",DATE(YEAR($A1115),MONTH($A1115)+IF(AND(IFERROR(N(INDEX(Übersicht!$M$15:$M$22,MATCH($B1115,Übersicht!$A$15:$A$22,0))),0)&gt;1,DAY($A1115)&gt;=IFERROR(N(INDEX(Übersicht!$M$15:$M$22,MATCH($B1115,Übersicht!$A$15:$A$22,0))),0)),1,0),1))</f>
        <v/>
      </c>
    </row>
    <row r="1116">
      <c r="A1116" s="92" t="n"/>
      <c r="B1116" s="55" t="n"/>
      <c r="C1116" s="55" t="n"/>
      <c r="D1116" s="55" t="n"/>
      <c r="E1116" s="93" t="n"/>
      <c r="F1116" s="94" t="n"/>
      <c r="G1116" s="94" t="n"/>
      <c r="H1116" s="94" t="n"/>
      <c r="I1116" s="94" t="n"/>
      <c r="J1116" s="55" t="n"/>
      <c r="K1116" s="95" t="n"/>
      <c r="L1116" s="116">
        <f>IF($A1116="","",DATE(YEAR($A1116),MONTH($A1116)+IF(AND(IFERROR(N(INDEX(Übersicht!$M$15:$M$22,MATCH($B1116,Übersicht!$A$15:$A$22,0))),0)&gt;1,DAY($A1116)&gt;=IFERROR(N(INDEX(Übersicht!$M$15:$M$22,MATCH($B1116,Übersicht!$A$15:$A$22,0))),0)),1,0),1))</f>
        <v/>
      </c>
    </row>
    <row r="1117">
      <c r="A1117" s="92" t="n"/>
      <c r="B1117" s="55" t="n"/>
      <c r="C1117" s="55" t="n"/>
      <c r="D1117" s="55" t="n"/>
      <c r="E1117" s="93" t="n"/>
      <c r="F1117" s="94" t="n"/>
      <c r="G1117" s="94" t="n"/>
      <c r="H1117" s="94" t="n"/>
      <c r="I1117" s="94" t="n"/>
      <c r="J1117" s="55" t="n"/>
      <c r="K1117" s="95" t="n"/>
      <c r="L1117" s="116">
        <f>IF($A1117="","",DATE(YEAR($A1117),MONTH($A1117)+IF(AND(IFERROR(N(INDEX(Übersicht!$M$15:$M$22,MATCH($B1117,Übersicht!$A$15:$A$22,0))),0)&gt;1,DAY($A1117)&gt;=IFERROR(N(INDEX(Übersicht!$M$15:$M$22,MATCH($B1117,Übersicht!$A$15:$A$22,0))),0)),1,0),1))</f>
        <v/>
      </c>
    </row>
    <row r="1118">
      <c r="A1118" s="92" t="n"/>
      <c r="B1118" s="55" t="n"/>
      <c r="C1118" s="55" t="n"/>
      <c r="D1118" s="55" t="n"/>
      <c r="E1118" s="93" t="n"/>
      <c r="F1118" s="94" t="n"/>
      <c r="G1118" s="94" t="n"/>
      <c r="H1118" s="94" t="n"/>
      <c r="I1118" s="94" t="n"/>
      <c r="J1118" s="55" t="n"/>
      <c r="K1118" s="95" t="n"/>
      <c r="L1118" s="116">
        <f>IF($A1118="","",DATE(YEAR($A1118),MONTH($A1118)+IF(AND(IFERROR(N(INDEX(Übersicht!$M$15:$M$22,MATCH($B1118,Übersicht!$A$15:$A$22,0))),0)&gt;1,DAY($A1118)&gt;=IFERROR(N(INDEX(Übersicht!$M$15:$M$22,MATCH($B1118,Übersicht!$A$15:$A$22,0))),0)),1,0),1))</f>
        <v/>
      </c>
    </row>
    <row r="1119">
      <c r="A1119" s="92" t="n"/>
      <c r="B1119" s="55" t="n"/>
      <c r="C1119" s="55" t="n"/>
      <c r="D1119" s="55" t="n"/>
      <c r="E1119" s="93" t="n"/>
      <c r="F1119" s="94" t="n"/>
      <c r="G1119" s="94" t="n"/>
      <c r="H1119" s="94" t="n"/>
      <c r="I1119" s="94" t="n"/>
      <c r="J1119" s="55" t="n"/>
      <c r="K1119" s="95" t="n"/>
      <c r="L1119" s="116">
        <f>IF($A1119="","",DATE(YEAR($A1119),MONTH($A1119)+IF(AND(IFERROR(N(INDEX(Übersicht!$M$15:$M$22,MATCH($B1119,Übersicht!$A$15:$A$22,0))),0)&gt;1,DAY($A1119)&gt;=IFERROR(N(INDEX(Übersicht!$M$15:$M$22,MATCH($B1119,Übersicht!$A$15:$A$22,0))),0)),1,0),1))</f>
        <v/>
      </c>
    </row>
    <row r="1120">
      <c r="A1120" s="92" t="n"/>
      <c r="B1120" s="55" t="n"/>
      <c r="C1120" s="55" t="n"/>
      <c r="D1120" s="55" t="n"/>
      <c r="E1120" s="93" t="n"/>
      <c r="F1120" s="94" t="n"/>
      <c r="G1120" s="94" t="n"/>
      <c r="H1120" s="94" t="n"/>
      <c r="I1120" s="94" t="n"/>
      <c r="J1120" s="55" t="n"/>
      <c r="K1120" s="95" t="n"/>
      <c r="L1120" s="116">
        <f>IF($A1120="","",DATE(YEAR($A1120),MONTH($A1120)+IF(AND(IFERROR(N(INDEX(Übersicht!$M$15:$M$22,MATCH($B1120,Übersicht!$A$15:$A$22,0))),0)&gt;1,DAY($A1120)&gt;=IFERROR(N(INDEX(Übersicht!$M$15:$M$22,MATCH($B1120,Übersicht!$A$15:$A$22,0))),0)),1,0),1))</f>
        <v/>
      </c>
    </row>
    <row r="1121">
      <c r="A1121" s="92" t="n"/>
      <c r="B1121" s="55" t="n"/>
      <c r="C1121" s="55" t="n"/>
      <c r="D1121" s="55" t="n"/>
      <c r="E1121" s="93" t="n"/>
      <c r="F1121" s="94" t="n"/>
      <c r="G1121" s="94" t="n"/>
      <c r="H1121" s="94" t="n"/>
      <c r="I1121" s="94" t="n"/>
      <c r="J1121" s="55" t="n"/>
      <c r="K1121" s="95" t="n"/>
      <c r="L1121" s="116">
        <f>IF($A1121="","",DATE(YEAR($A1121),MONTH($A1121)+IF(AND(IFERROR(N(INDEX(Übersicht!$M$15:$M$22,MATCH($B1121,Übersicht!$A$15:$A$22,0))),0)&gt;1,DAY($A1121)&gt;=IFERROR(N(INDEX(Übersicht!$M$15:$M$22,MATCH($B1121,Übersicht!$A$15:$A$22,0))),0)),1,0),1))</f>
        <v/>
      </c>
    </row>
    <row r="1122">
      <c r="A1122" s="92" t="n"/>
      <c r="B1122" s="55" t="n"/>
      <c r="C1122" s="55" t="n"/>
      <c r="D1122" s="55" t="n"/>
      <c r="E1122" s="93" t="n"/>
      <c r="F1122" s="94" t="n"/>
      <c r="G1122" s="94" t="n"/>
      <c r="H1122" s="94" t="n"/>
      <c r="I1122" s="94" t="n"/>
      <c r="J1122" s="55" t="n"/>
      <c r="K1122" s="95" t="n"/>
      <c r="L1122" s="116">
        <f>IF($A1122="","",DATE(YEAR($A1122),MONTH($A1122)+IF(AND(IFERROR(N(INDEX(Übersicht!$M$15:$M$22,MATCH($B1122,Übersicht!$A$15:$A$22,0))),0)&gt;1,DAY($A1122)&gt;=IFERROR(N(INDEX(Übersicht!$M$15:$M$22,MATCH($B1122,Übersicht!$A$15:$A$22,0))),0)),1,0),1))</f>
        <v/>
      </c>
    </row>
    <row r="1123">
      <c r="A1123" s="92" t="n"/>
      <c r="B1123" s="55" t="n"/>
      <c r="C1123" s="55" t="n"/>
      <c r="D1123" s="55" t="n"/>
      <c r="E1123" s="93" t="n"/>
      <c r="F1123" s="94" t="n"/>
      <c r="G1123" s="94" t="n"/>
      <c r="H1123" s="94" t="n"/>
      <c r="I1123" s="94" t="n"/>
      <c r="J1123" s="55" t="n"/>
      <c r="K1123" s="95" t="n"/>
      <c r="L1123" s="116">
        <f>IF($A1123="","",DATE(YEAR($A1123),MONTH($A1123)+IF(AND(IFERROR(N(INDEX(Übersicht!$M$15:$M$22,MATCH($B1123,Übersicht!$A$15:$A$22,0))),0)&gt;1,DAY($A1123)&gt;=IFERROR(N(INDEX(Übersicht!$M$15:$M$22,MATCH($B1123,Übersicht!$A$15:$A$22,0))),0)),1,0),1))</f>
        <v/>
      </c>
    </row>
    <row r="1124">
      <c r="A1124" s="92" t="n"/>
      <c r="B1124" s="55" t="n"/>
      <c r="C1124" s="55" t="n"/>
      <c r="D1124" s="55" t="n"/>
      <c r="E1124" s="93" t="n"/>
      <c r="F1124" s="94" t="n"/>
      <c r="G1124" s="94" t="n"/>
      <c r="H1124" s="94" t="n"/>
      <c r="I1124" s="94" t="n"/>
      <c r="J1124" s="55" t="n"/>
      <c r="K1124" s="95" t="n"/>
      <c r="L1124" s="116">
        <f>IF($A1124="","",DATE(YEAR($A1124),MONTH($A1124)+IF(AND(IFERROR(N(INDEX(Übersicht!$M$15:$M$22,MATCH($B1124,Übersicht!$A$15:$A$22,0))),0)&gt;1,DAY($A1124)&gt;=IFERROR(N(INDEX(Übersicht!$M$15:$M$22,MATCH($B1124,Übersicht!$A$15:$A$22,0))),0)),1,0),1))</f>
        <v/>
      </c>
    </row>
    <row r="1125">
      <c r="A1125" s="92" t="n"/>
      <c r="B1125" s="55" t="n"/>
      <c r="C1125" s="55" t="n"/>
      <c r="D1125" s="55" t="n"/>
      <c r="E1125" s="93" t="n"/>
      <c r="F1125" s="94" t="n"/>
      <c r="G1125" s="94" t="n"/>
      <c r="H1125" s="94" t="n"/>
      <c r="I1125" s="94" t="n"/>
      <c r="J1125" s="55" t="n"/>
      <c r="K1125" s="95" t="n"/>
      <c r="L1125" s="116">
        <f>IF($A1125="","",DATE(YEAR($A1125),MONTH($A1125)+IF(AND(IFERROR(N(INDEX(Übersicht!$M$15:$M$22,MATCH($B1125,Übersicht!$A$15:$A$22,0))),0)&gt;1,DAY($A1125)&gt;=IFERROR(N(INDEX(Übersicht!$M$15:$M$22,MATCH($B1125,Übersicht!$A$15:$A$22,0))),0)),1,0),1))</f>
        <v/>
      </c>
    </row>
    <row r="1126">
      <c r="A1126" s="92" t="n"/>
      <c r="B1126" s="55" t="n"/>
      <c r="C1126" s="55" t="n"/>
      <c r="D1126" s="55" t="n"/>
      <c r="E1126" s="93" t="n"/>
      <c r="F1126" s="94" t="n"/>
      <c r="G1126" s="94" t="n"/>
      <c r="H1126" s="94" t="n"/>
      <c r="I1126" s="94" t="n"/>
      <c r="J1126" s="55" t="n"/>
      <c r="K1126" s="95" t="n"/>
      <c r="L1126" s="116">
        <f>IF($A1126="","",DATE(YEAR($A1126),MONTH($A1126)+IF(AND(IFERROR(N(INDEX(Übersicht!$M$15:$M$22,MATCH($B1126,Übersicht!$A$15:$A$22,0))),0)&gt;1,DAY($A1126)&gt;=IFERROR(N(INDEX(Übersicht!$M$15:$M$22,MATCH($B1126,Übersicht!$A$15:$A$22,0))),0)),1,0),1))</f>
        <v/>
      </c>
    </row>
    <row r="1127">
      <c r="A1127" s="92" t="n"/>
      <c r="B1127" s="55" t="n"/>
      <c r="C1127" s="55" t="n"/>
      <c r="D1127" s="55" t="n"/>
      <c r="E1127" s="93" t="n"/>
      <c r="F1127" s="94" t="n"/>
      <c r="G1127" s="94" t="n"/>
      <c r="H1127" s="94" t="n"/>
      <c r="I1127" s="94" t="n"/>
      <c r="J1127" s="55" t="n"/>
      <c r="K1127" s="95" t="n"/>
      <c r="L1127" s="116">
        <f>IF($A1127="","",DATE(YEAR($A1127),MONTH($A1127)+IF(AND(IFERROR(N(INDEX(Übersicht!$M$15:$M$22,MATCH($B1127,Übersicht!$A$15:$A$22,0))),0)&gt;1,DAY($A1127)&gt;=IFERROR(N(INDEX(Übersicht!$M$15:$M$22,MATCH($B1127,Übersicht!$A$15:$A$22,0))),0)),1,0),1))</f>
        <v/>
      </c>
    </row>
    <row r="1128">
      <c r="A1128" s="92" t="n"/>
      <c r="B1128" s="55" t="n"/>
      <c r="C1128" s="55" t="n"/>
      <c r="D1128" s="55" t="n"/>
      <c r="E1128" s="93" t="n"/>
      <c r="F1128" s="94" t="n"/>
      <c r="G1128" s="94" t="n"/>
      <c r="H1128" s="94" t="n"/>
      <c r="I1128" s="94" t="n"/>
      <c r="J1128" s="55" t="n"/>
      <c r="K1128" s="95" t="n"/>
      <c r="L1128" s="116">
        <f>IF($A1128="","",DATE(YEAR($A1128),MONTH($A1128)+IF(AND(IFERROR(N(INDEX(Übersicht!$M$15:$M$22,MATCH($B1128,Übersicht!$A$15:$A$22,0))),0)&gt;1,DAY($A1128)&gt;=IFERROR(N(INDEX(Übersicht!$M$15:$M$22,MATCH($B1128,Übersicht!$A$15:$A$22,0))),0)),1,0),1))</f>
        <v/>
      </c>
    </row>
    <row r="1129">
      <c r="A1129" s="92" t="n"/>
      <c r="B1129" s="55" t="n"/>
      <c r="C1129" s="55" t="n"/>
      <c r="D1129" s="55" t="n"/>
      <c r="E1129" s="93" t="n"/>
      <c r="F1129" s="94" t="n"/>
      <c r="G1129" s="94" t="n"/>
      <c r="H1129" s="94" t="n"/>
      <c r="I1129" s="94" t="n"/>
      <c r="J1129" s="55" t="n"/>
      <c r="K1129" s="95" t="n"/>
      <c r="L1129" s="116">
        <f>IF($A1129="","",DATE(YEAR($A1129),MONTH($A1129)+IF(AND(IFERROR(N(INDEX(Übersicht!$M$15:$M$22,MATCH($B1129,Übersicht!$A$15:$A$22,0))),0)&gt;1,DAY($A1129)&gt;=IFERROR(N(INDEX(Übersicht!$M$15:$M$22,MATCH($B1129,Übersicht!$A$15:$A$22,0))),0)),1,0),1))</f>
        <v/>
      </c>
    </row>
    <row r="1130">
      <c r="A1130" s="92" t="n"/>
      <c r="B1130" s="55" t="n"/>
      <c r="C1130" s="55" t="n"/>
      <c r="D1130" s="55" t="n"/>
      <c r="E1130" s="93" t="n"/>
      <c r="F1130" s="94" t="n"/>
      <c r="G1130" s="94" t="n"/>
      <c r="H1130" s="94" t="n"/>
      <c r="I1130" s="94" t="n"/>
      <c r="J1130" s="55" t="n"/>
      <c r="K1130" s="95" t="n"/>
      <c r="L1130" s="116">
        <f>IF($A1130="","",DATE(YEAR($A1130),MONTH($A1130)+IF(AND(IFERROR(N(INDEX(Übersicht!$M$15:$M$22,MATCH($B1130,Übersicht!$A$15:$A$22,0))),0)&gt;1,DAY($A1130)&gt;=IFERROR(N(INDEX(Übersicht!$M$15:$M$22,MATCH($B1130,Übersicht!$A$15:$A$22,0))),0)),1,0),1))</f>
        <v/>
      </c>
    </row>
    <row r="1131">
      <c r="A1131" s="92" t="n"/>
      <c r="B1131" s="55" t="n"/>
      <c r="C1131" s="55" t="n"/>
      <c r="D1131" s="55" t="n"/>
      <c r="E1131" s="93" t="n"/>
      <c r="F1131" s="94" t="n"/>
      <c r="G1131" s="94" t="n"/>
      <c r="H1131" s="94" t="n"/>
      <c r="I1131" s="94" t="n"/>
      <c r="J1131" s="55" t="n"/>
      <c r="K1131" s="95" t="n"/>
      <c r="L1131" s="116">
        <f>IF($A1131="","",DATE(YEAR($A1131),MONTH($A1131)+IF(AND(IFERROR(N(INDEX(Übersicht!$M$15:$M$22,MATCH($B1131,Übersicht!$A$15:$A$22,0))),0)&gt;1,DAY($A1131)&gt;=IFERROR(N(INDEX(Übersicht!$M$15:$M$22,MATCH($B1131,Übersicht!$A$15:$A$22,0))),0)),1,0),1))</f>
        <v/>
      </c>
    </row>
    <row r="1132">
      <c r="A1132" s="92" t="n"/>
      <c r="B1132" s="55" t="n"/>
      <c r="C1132" s="55" t="n"/>
      <c r="D1132" s="55" t="n"/>
      <c r="E1132" s="93" t="n"/>
      <c r="F1132" s="94" t="n"/>
      <c r="G1132" s="94" t="n"/>
      <c r="H1132" s="94" t="n"/>
      <c r="I1132" s="94" t="n"/>
      <c r="J1132" s="55" t="n"/>
      <c r="K1132" s="95" t="n"/>
      <c r="L1132" s="116">
        <f>IF($A1132="","",DATE(YEAR($A1132),MONTH($A1132)+IF(AND(IFERROR(N(INDEX(Übersicht!$M$15:$M$22,MATCH($B1132,Übersicht!$A$15:$A$22,0))),0)&gt;1,DAY($A1132)&gt;=IFERROR(N(INDEX(Übersicht!$M$15:$M$22,MATCH($B1132,Übersicht!$A$15:$A$22,0))),0)),1,0),1))</f>
        <v/>
      </c>
    </row>
    <row r="1133">
      <c r="A1133" s="92" t="n"/>
      <c r="B1133" s="55" t="n"/>
      <c r="C1133" s="55" t="n"/>
      <c r="D1133" s="55" t="n"/>
      <c r="E1133" s="93" t="n"/>
      <c r="F1133" s="94" t="n"/>
      <c r="G1133" s="94" t="n"/>
      <c r="H1133" s="94" t="n"/>
      <c r="I1133" s="94" t="n"/>
      <c r="J1133" s="55" t="n"/>
      <c r="K1133" s="95" t="n"/>
      <c r="L1133" s="116">
        <f>IF($A1133="","",DATE(YEAR($A1133),MONTH($A1133)+IF(AND(IFERROR(N(INDEX(Übersicht!$M$15:$M$22,MATCH($B1133,Übersicht!$A$15:$A$22,0))),0)&gt;1,DAY($A1133)&gt;=IFERROR(N(INDEX(Übersicht!$M$15:$M$22,MATCH($B1133,Übersicht!$A$15:$A$22,0))),0)),1,0),1))</f>
        <v/>
      </c>
    </row>
    <row r="1134">
      <c r="A1134" s="92" t="n"/>
      <c r="B1134" s="55" t="n"/>
      <c r="C1134" s="55" t="n"/>
      <c r="D1134" s="55" t="n"/>
      <c r="E1134" s="93" t="n"/>
      <c r="F1134" s="94" t="n"/>
      <c r="G1134" s="94" t="n"/>
      <c r="H1134" s="94" t="n"/>
      <c r="I1134" s="94" t="n"/>
      <c r="J1134" s="55" t="n"/>
      <c r="K1134" s="95" t="n"/>
      <c r="L1134" s="116">
        <f>IF($A1134="","",DATE(YEAR($A1134),MONTH($A1134)+IF(AND(IFERROR(N(INDEX(Übersicht!$M$15:$M$22,MATCH($B1134,Übersicht!$A$15:$A$22,0))),0)&gt;1,DAY($A1134)&gt;=IFERROR(N(INDEX(Übersicht!$M$15:$M$22,MATCH($B1134,Übersicht!$A$15:$A$22,0))),0)),1,0),1))</f>
        <v/>
      </c>
    </row>
    <row r="1135">
      <c r="A1135" s="92" t="n"/>
      <c r="B1135" s="55" t="n"/>
      <c r="C1135" s="55" t="n"/>
      <c r="D1135" s="55" t="n"/>
      <c r="E1135" s="93" t="n"/>
      <c r="F1135" s="94" t="n"/>
      <c r="G1135" s="94" t="n"/>
      <c r="H1135" s="94" t="n"/>
      <c r="I1135" s="94" t="n"/>
      <c r="J1135" s="55" t="n"/>
      <c r="K1135" s="95" t="n"/>
      <c r="L1135" s="116">
        <f>IF($A1135="","",DATE(YEAR($A1135),MONTH($A1135)+IF(AND(IFERROR(N(INDEX(Übersicht!$M$15:$M$22,MATCH($B1135,Übersicht!$A$15:$A$22,0))),0)&gt;1,DAY($A1135)&gt;=IFERROR(N(INDEX(Übersicht!$M$15:$M$22,MATCH($B1135,Übersicht!$A$15:$A$22,0))),0)),1,0),1))</f>
        <v/>
      </c>
    </row>
    <row r="1136">
      <c r="A1136" s="92" t="n"/>
      <c r="B1136" s="55" t="n"/>
      <c r="C1136" s="55" t="n"/>
      <c r="D1136" s="55" t="n"/>
      <c r="E1136" s="93" t="n"/>
      <c r="F1136" s="94" t="n"/>
      <c r="G1136" s="94" t="n"/>
      <c r="H1136" s="94" t="n"/>
      <c r="I1136" s="94" t="n"/>
      <c r="J1136" s="55" t="n"/>
      <c r="K1136" s="95" t="n"/>
      <c r="L1136" s="116">
        <f>IF($A1136="","",DATE(YEAR($A1136),MONTH($A1136)+IF(AND(IFERROR(N(INDEX(Übersicht!$M$15:$M$22,MATCH($B1136,Übersicht!$A$15:$A$22,0))),0)&gt;1,DAY($A1136)&gt;=IFERROR(N(INDEX(Übersicht!$M$15:$M$22,MATCH($B1136,Übersicht!$A$15:$A$22,0))),0)),1,0),1))</f>
        <v/>
      </c>
    </row>
    <row r="1137">
      <c r="A1137" s="92" t="n"/>
      <c r="B1137" s="55" t="n"/>
      <c r="C1137" s="55" t="n"/>
      <c r="D1137" s="55" t="n"/>
      <c r="E1137" s="93" t="n"/>
      <c r="F1137" s="94" t="n"/>
      <c r="G1137" s="94" t="n"/>
      <c r="H1137" s="94" t="n"/>
      <c r="I1137" s="94" t="n"/>
      <c r="J1137" s="55" t="n"/>
      <c r="K1137" s="95" t="n"/>
      <c r="L1137" s="116">
        <f>IF($A1137="","",DATE(YEAR($A1137),MONTH($A1137)+IF(AND(IFERROR(N(INDEX(Übersicht!$M$15:$M$22,MATCH($B1137,Übersicht!$A$15:$A$22,0))),0)&gt;1,DAY($A1137)&gt;=IFERROR(N(INDEX(Übersicht!$M$15:$M$22,MATCH($B1137,Übersicht!$A$15:$A$22,0))),0)),1,0),1))</f>
        <v/>
      </c>
    </row>
    <row r="1138">
      <c r="A1138" s="92" t="n"/>
      <c r="B1138" s="55" t="n"/>
      <c r="C1138" s="55" t="n"/>
      <c r="D1138" s="55" t="n"/>
      <c r="E1138" s="93" t="n"/>
      <c r="F1138" s="94" t="n"/>
      <c r="G1138" s="94" t="n"/>
      <c r="H1138" s="94" t="n"/>
      <c r="I1138" s="94" t="n"/>
      <c r="J1138" s="55" t="n"/>
      <c r="K1138" s="95" t="n"/>
      <c r="L1138" s="116">
        <f>IF($A1138="","",DATE(YEAR($A1138),MONTH($A1138)+IF(AND(IFERROR(N(INDEX(Übersicht!$M$15:$M$22,MATCH($B1138,Übersicht!$A$15:$A$22,0))),0)&gt;1,DAY($A1138)&gt;=IFERROR(N(INDEX(Übersicht!$M$15:$M$22,MATCH($B1138,Übersicht!$A$15:$A$22,0))),0)),1,0),1))</f>
        <v/>
      </c>
    </row>
    <row r="1139">
      <c r="A1139" s="92" t="n"/>
      <c r="B1139" s="55" t="n"/>
      <c r="C1139" s="55" t="n"/>
      <c r="D1139" s="55" t="n"/>
      <c r="E1139" s="93" t="n"/>
      <c r="F1139" s="94" t="n"/>
      <c r="G1139" s="94" t="n"/>
      <c r="H1139" s="94" t="n"/>
      <c r="I1139" s="94" t="n"/>
      <c r="J1139" s="55" t="n"/>
      <c r="K1139" s="95" t="n"/>
      <c r="L1139" s="116">
        <f>IF($A1139="","",DATE(YEAR($A1139),MONTH($A1139)+IF(AND(IFERROR(N(INDEX(Übersicht!$M$15:$M$22,MATCH($B1139,Übersicht!$A$15:$A$22,0))),0)&gt;1,DAY($A1139)&gt;=IFERROR(N(INDEX(Übersicht!$M$15:$M$22,MATCH($B1139,Übersicht!$A$15:$A$22,0))),0)),1,0),1))</f>
        <v/>
      </c>
    </row>
    <row r="1140">
      <c r="A1140" s="92" t="n"/>
      <c r="B1140" s="55" t="n"/>
      <c r="C1140" s="55" t="n"/>
      <c r="D1140" s="55" t="n"/>
      <c r="E1140" s="93" t="n"/>
      <c r="F1140" s="94" t="n"/>
      <c r="G1140" s="94" t="n"/>
      <c r="H1140" s="94" t="n"/>
      <c r="I1140" s="94" t="n"/>
      <c r="J1140" s="55" t="n"/>
      <c r="K1140" s="95" t="n"/>
      <c r="L1140" s="116">
        <f>IF($A1140="","",DATE(YEAR($A1140),MONTH($A1140)+IF(AND(IFERROR(N(INDEX(Übersicht!$M$15:$M$22,MATCH($B1140,Übersicht!$A$15:$A$22,0))),0)&gt;1,DAY($A1140)&gt;=IFERROR(N(INDEX(Übersicht!$M$15:$M$22,MATCH($B1140,Übersicht!$A$15:$A$22,0))),0)),1,0),1))</f>
        <v/>
      </c>
    </row>
    <row r="1141">
      <c r="A1141" s="92" t="n"/>
      <c r="B1141" s="55" t="n"/>
      <c r="C1141" s="55" t="n"/>
      <c r="D1141" s="55" t="n"/>
      <c r="E1141" s="93" t="n"/>
      <c r="F1141" s="94" t="n"/>
      <c r="G1141" s="94" t="n"/>
      <c r="H1141" s="94" t="n"/>
      <c r="I1141" s="94" t="n"/>
      <c r="J1141" s="55" t="n"/>
      <c r="K1141" s="95" t="n"/>
      <c r="L1141" s="116">
        <f>IF($A1141="","",DATE(YEAR($A1141),MONTH($A1141)+IF(AND(IFERROR(N(INDEX(Übersicht!$M$15:$M$22,MATCH($B1141,Übersicht!$A$15:$A$22,0))),0)&gt;1,DAY($A1141)&gt;=IFERROR(N(INDEX(Übersicht!$M$15:$M$22,MATCH($B1141,Übersicht!$A$15:$A$22,0))),0)),1,0),1))</f>
        <v/>
      </c>
    </row>
    <row r="1142">
      <c r="A1142" s="92" t="n"/>
      <c r="B1142" s="55" t="n"/>
      <c r="C1142" s="55" t="n"/>
      <c r="D1142" s="55" t="n"/>
      <c r="E1142" s="93" t="n"/>
      <c r="F1142" s="94" t="n"/>
      <c r="G1142" s="94" t="n"/>
      <c r="H1142" s="94" t="n"/>
      <c r="I1142" s="94" t="n"/>
      <c r="J1142" s="55" t="n"/>
      <c r="K1142" s="95" t="n"/>
      <c r="L1142" s="116">
        <f>IF($A1142="","",DATE(YEAR($A1142),MONTH($A1142)+IF(AND(IFERROR(N(INDEX(Übersicht!$M$15:$M$22,MATCH($B1142,Übersicht!$A$15:$A$22,0))),0)&gt;1,DAY($A1142)&gt;=IFERROR(N(INDEX(Übersicht!$M$15:$M$22,MATCH($B1142,Übersicht!$A$15:$A$22,0))),0)),1,0),1))</f>
        <v/>
      </c>
    </row>
    <row r="1143">
      <c r="A1143" s="92" t="n"/>
      <c r="B1143" s="55" t="n"/>
      <c r="C1143" s="55" t="n"/>
      <c r="D1143" s="55" t="n"/>
      <c r="E1143" s="93" t="n"/>
      <c r="F1143" s="94" t="n"/>
      <c r="G1143" s="94" t="n"/>
      <c r="H1143" s="94" t="n"/>
      <c r="I1143" s="94" t="n"/>
      <c r="J1143" s="55" t="n"/>
      <c r="K1143" s="95" t="n"/>
      <c r="L1143" s="116">
        <f>IF($A1143="","",DATE(YEAR($A1143),MONTH($A1143)+IF(AND(IFERROR(N(INDEX(Übersicht!$M$15:$M$22,MATCH($B1143,Übersicht!$A$15:$A$22,0))),0)&gt;1,DAY($A1143)&gt;=IFERROR(N(INDEX(Übersicht!$M$15:$M$22,MATCH($B1143,Übersicht!$A$15:$A$22,0))),0)),1,0),1))</f>
        <v/>
      </c>
    </row>
    <row r="1144">
      <c r="A1144" s="92" t="n"/>
      <c r="B1144" s="55" t="n"/>
      <c r="C1144" s="55" t="n"/>
      <c r="D1144" s="55" t="n"/>
      <c r="E1144" s="93" t="n"/>
      <c r="F1144" s="94" t="n"/>
      <c r="G1144" s="94" t="n"/>
      <c r="H1144" s="94" t="n"/>
      <c r="I1144" s="94" t="n"/>
      <c r="J1144" s="55" t="n"/>
      <c r="K1144" s="95" t="n"/>
      <c r="L1144" s="116">
        <f>IF($A1144="","",DATE(YEAR($A1144),MONTH($A1144)+IF(AND(IFERROR(N(INDEX(Übersicht!$M$15:$M$22,MATCH($B1144,Übersicht!$A$15:$A$22,0))),0)&gt;1,DAY($A1144)&gt;=IFERROR(N(INDEX(Übersicht!$M$15:$M$22,MATCH($B1144,Übersicht!$A$15:$A$22,0))),0)),1,0),1))</f>
        <v/>
      </c>
    </row>
    <row r="1145">
      <c r="A1145" s="92" t="n"/>
      <c r="B1145" s="55" t="n"/>
      <c r="C1145" s="55" t="n"/>
      <c r="D1145" s="55" t="n"/>
      <c r="E1145" s="93" t="n"/>
      <c r="F1145" s="94" t="n"/>
      <c r="G1145" s="94" t="n"/>
      <c r="H1145" s="94" t="n"/>
      <c r="I1145" s="94" t="n"/>
      <c r="J1145" s="55" t="n"/>
      <c r="K1145" s="95" t="n"/>
      <c r="L1145" s="116">
        <f>IF($A1145="","",DATE(YEAR($A1145),MONTH($A1145)+IF(AND(IFERROR(N(INDEX(Übersicht!$M$15:$M$22,MATCH($B1145,Übersicht!$A$15:$A$22,0))),0)&gt;1,DAY($A1145)&gt;=IFERROR(N(INDEX(Übersicht!$M$15:$M$22,MATCH($B1145,Übersicht!$A$15:$A$22,0))),0)),1,0),1))</f>
        <v/>
      </c>
    </row>
    <row r="1146">
      <c r="A1146" s="92" t="n"/>
      <c r="B1146" s="55" t="n"/>
      <c r="C1146" s="55" t="n"/>
      <c r="D1146" s="55" t="n"/>
      <c r="E1146" s="93" t="n"/>
      <c r="F1146" s="94" t="n"/>
      <c r="G1146" s="94" t="n"/>
      <c r="H1146" s="94" t="n"/>
      <c r="I1146" s="94" t="n"/>
      <c r="J1146" s="55" t="n"/>
      <c r="K1146" s="95" t="n"/>
      <c r="L1146" s="116">
        <f>IF($A1146="","",DATE(YEAR($A1146),MONTH($A1146)+IF(AND(IFERROR(N(INDEX(Übersicht!$M$15:$M$22,MATCH($B1146,Übersicht!$A$15:$A$22,0))),0)&gt;1,DAY($A1146)&gt;=IFERROR(N(INDEX(Übersicht!$M$15:$M$22,MATCH($B1146,Übersicht!$A$15:$A$22,0))),0)),1,0),1))</f>
        <v/>
      </c>
    </row>
    <row r="1147">
      <c r="A1147" s="92" t="n"/>
      <c r="B1147" s="55" t="n"/>
      <c r="C1147" s="55" t="n"/>
      <c r="D1147" s="55" t="n"/>
      <c r="E1147" s="93" t="n"/>
      <c r="F1147" s="94" t="n"/>
      <c r="G1147" s="94" t="n"/>
      <c r="H1147" s="94" t="n"/>
      <c r="I1147" s="94" t="n"/>
      <c r="J1147" s="55" t="n"/>
      <c r="K1147" s="95" t="n"/>
      <c r="L1147" s="116">
        <f>IF($A1147="","",DATE(YEAR($A1147),MONTH($A1147)+IF(AND(IFERROR(N(INDEX(Übersicht!$M$15:$M$22,MATCH($B1147,Übersicht!$A$15:$A$22,0))),0)&gt;1,DAY($A1147)&gt;=IFERROR(N(INDEX(Übersicht!$M$15:$M$22,MATCH($B1147,Übersicht!$A$15:$A$22,0))),0)),1,0),1))</f>
        <v/>
      </c>
    </row>
    <row r="1148">
      <c r="A1148" s="92" t="n"/>
      <c r="B1148" s="55" t="n"/>
      <c r="C1148" s="55" t="n"/>
      <c r="D1148" s="55" t="n"/>
      <c r="E1148" s="93" t="n"/>
      <c r="F1148" s="94" t="n"/>
      <c r="G1148" s="94" t="n"/>
      <c r="H1148" s="94" t="n"/>
      <c r="I1148" s="94" t="n"/>
      <c r="J1148" s="55" t="n"/>
      <c r="K1148" s="95" t="n"/>
      <c r="L1148" s="116">
        <f>IF($A1148="","",DATE(YEAR($A1148),MONTH($A1148)+IF(AND(IFERROR(N(INDEX(Übersicht!$M$15:$M$22,MATCH($B1148,Übersicht!$A$15:$A$22,0))),0)&gt;1,DAY($A1148)&gt;=IFERROR(N(INDEX(Übersicht!$M$15:$M$22,MATCH($B1148,Übersicht!$A$15:$A$22,0))),0)),1,0),1))</f>
        <v/>
      </c>
    </row>
    <row r="1149">
      <c r="A1149" s="92" t="n"/>
      <c r="B1149" s="55" t="n"/>
      <c r="C1149" s="55" t="n"/>
      <c r="D1149" s="55" t="n"/>
      <c r="E1149" s="93" t="n"/>
      <c r="F1149" s="94" t="n"/>
      <c r="G1149" s="94" t="n"/>
      <c r="H1149" s="94" t="n"/>
      <c r="I1149" s="94" t="n"/>
      <c r="J1149" s="55" t="n"/>
      <c r="K1149" s="95" t="n"/>
      <c r="L1149" s="116">
        <f>IF($A1149="","",DATE(YEAR($A1149),MONTH($A1149)+IF(AND(IFERROR(N(INDEX(Übersicht!$M$15:$M$22,MATCH($B1149,Übersicht!$A$15:$A$22,0))),0)&gt;1,DAY($A1149)&gt;=IFERROR(N(INDEX(Übersicht!$M$15:$M$22,MATCH($B1149,Übersicht!$A$15:$A$22,0))),0)),1,0),1))</f>
        <v/>
      </c>
    </row>
    <row r="1150">
      <c r="A1150" s="92" t="n"/>
      <c r="B1150" s="55" t="n"/>
      <c r="C1150" s="55" t="n"/>
      <c r="D1150" s="55" t="n"/>
      <c r="E1150" s="93" t="n"/>
      <c r="F1150" s="94" t="n"/>
      <c r="G1150" s="94" t="n"/>
      <c r="H1150" s="94" t="n"/>
      <c r="I1150" s="94" t="n"/>
      <c r="J1150" s="55" t="n"/>
      <c r="K1150" s="95" t="n"/>
      <c r="L1150" s="116">
        <f>IF($A1150="","",DATE(YEAR($A1150),MONTH($A1150)+IF(AND(IFERROR(N(INDEX(Übersicht!$M$15:$M$22,MATCH($B1150,Übersicht!$A$15:$A$22,0))),0)&gt;1,DAY($A1150)&gt;=IFERROR(N(INDEX(Übersicht!$M$15:$M$22,MATCH($B1150,Übersicht!$A$15:$A$22,0))),0)),1,0),1))</f>
        <v/>
      </c>
    </row>
    <row r="1151">
      <c r="A1151" s="92" t="n"/>
      <c r="B1151" s="55" t="n"/>
      <c r="C1151" s="55" t="n"/>
      <c r="D1151" s="55" t="n"/>
      <c r="E1151" s="93" t="n"/>
      <c r="F1151" s="94" t="n"/>
      <c r="G1151" s="94" t="n"/>
      <c r="H1151" s="94" t="n"/>
      <c r="I1151" s="94" t="n"/>
      <c r="J1151" s="55" t="n"/>
      <c r="K1151" s="95" t="n"/>
      <c r="L1151" s="116">
        <f>IF($A1151="","",DATE(YEAR($A1151),MONTH($A1151)+IF(AND(IFERROR(N(INDEX(Übersicht!$M$15:$M$22,MATCH($B1151,Übersicht!$A$15:$A$22,0))),0)&gt;1,DAY($A1151)&gt;=IFERROR(N(INDEX(Übersicht!$M$15:$M$22,MATCH($B1151,Übersicht!$A$15:$A$22,0))),0)),1,0),1))</f>
        <v/>
      </c>
    </row>
    <row r="1152">
      <c r="A1152" s="92" t="n"/>
      <c r="B1152" s="55" t="n"/>
      <c r="C1152" s="55" t="n"/>
      <c r="D1152" s="55" t="n"/>
      <c r="E1152" s="93" t="n"/>
      <c r="F1152" s="94" t="n"/>
      <c r="G1152" s="94" t="n"/>
      <c r="H1152" s="94" t="n"/>
      <c r="I1152" s="94" t="n"/>
      <c r="J1152" s="55" t="n"/>
      <c r="K1152" s="95" t="n"/>
      <c r="L1152" s="116">
        <f>IF($A1152="","",DATE(YEAR($A1152),MONTH($A1152)+IF(AND(IFERROR(N(INDEX(Übersicht!$M$15:$M$22,MATCH($B1152,Übersicht!$A$15:$A$22,0))),0)&gt;1,DAY($A1152)&gt;=IFERROR(N(INDEX(Übersicht!$M$15:$M$22,MATCH($B1152,Übersicht!$A$15:$A$22,0))),0)),1,0),1))</f>
        <v/>
      </c>
    </row>
    <row r="1153">
      <c r="A1153" s="92" t="n"/>
      <c r="B1153" s="55" t="n"/>
      <c r="C1153" s="55" t="n"/>
      <c r="D1153" s="55" t="n"/>
      <c r="E1153" s="93" t="n"/>
      <c r="F1153" s="94" t="n"/>
      <c r="G1153" s="94" t="n"/>
      <c r="H1153" s="94" t="n"/>
      <c r="I1153" s="94" t="n"/>
      <c r="J1153" s="55" t="n"/>
      <c r="K1153" s="95" t="n"/>
      <c r="L1153" s="116">
        <f>IF($A1153="","",DATE(YEAR($A1153),MONTH($A1153)+IF(AND(IFERROR(N(INDEX(Übersicht!$M$15:$M$22,MATCH($B1153,Übersicht!$A$15:$A$22,0))),0)&gt;1,DAY($A1153)&gt;=IFERROR(N(INDEX(Übersicht!$M$15:$M$22,MATCH($B1153,Übersicht!$A$15:$A$22,0))),0)),1,0),1))</f>
        <v/>
      </c>
    </row>
    <row r="1154">
      <c r="A1154" s="92" t="n"/>
      <c r="B1154" s="55" t="n"/>
      <c r="C1154" s="55" t="n"/>
      <c r="D1154" s="55" t="n"/>
      <c r="E1154" s="93" t="n"/>
      <c r="F1154" s="94" t="n"/>
      <c r="G1154" s="94" t="n"/>
      <c r="H1154" s="94" t="n"/>
      <c r="I1154" s="94" t="n"/>
      <c r="J1154" s="55" t="n"/>
      <c r="K1154" s="95" t="n"/>
      <c r="L1154" s="116">
        <f>IF($A1154="","",DATE(YEAR($A1154),MONTH($A1154)+IF(AND(IFERROR(N(INDEX(Übersicht!$M$15:$M$22,MATCH($B1154,Übersicht!$A$15:$A$22,0))),0)&gt;1,DAY($A1154)&gt;=IFERROR(N(INDEX(Übersicht!$M$15:$M$22,MATCH($B1154,Übersicht!$A$15:$A$22,0))),0)),1,0),1))</f>
        <v/>
      </c>
    </row>
    <row r="1155">
      <c r="A1155" s="92" t="n"/>
      <c r="B1155" s="55" t="n"/>
      <c r="C1155" s="55" t="n"/>
      <c r="D1155" s="55" t="n"/>
      <c r="E1155" s="93" t="n"/>
      <c r="F1155" s="94" t="n"/>
      <c r="G1155" s="94" t="n"/>
      <c r="H1155" s="94" t="n"/>
      <c r="I1155" s="94" t="n"/>
      <c r="J1155" s="55" t="n"/>
      <c r="K1155" s="95" t="n"/>
      <c r="L1155" s="116">
        <f>IF($A1155="","",DATE(YEAR($A1155),MONTH($A1155)+IF(AND(IFERROR(N(INDEX(Übersicht!$M$15:$M$22,MATCH($B1155,Übersicht!$A$15:$A$22,0))),0)&gt;1,DAY($A1155)&gt;=IFERROR(N(INDEX(Übersicht!$M$15:$M$22,MATCH($B1155,Übersicht!$A$15:$A$22,0))),0)),1,0),1))</f>
        <v/>
      </c>
    </row>
    <row r="1156">
      <c r="A1156" s="92" t="n"/>
      <c r="B1156" s="55" t="n"/>
      <c r="C1156" s="55" t="n"/>
      <c r="D1156" s="55" t="n"/>
      <c r="E1156" s="93" t="n"/>
      <c r="F1156" s="94" t="n"/>
      <c r="G1156" s="94" t="n"/>
      <c r="H1156" s="94" t="n"/>
      <c r="I1156" s="94" t="n"/>
      <c r="J1156" s="55" t="n"/>
      <c r="K1156" s="95" t="n"/>
      <c r="L1156" s="116">
        <f>IF($A1156="","",DATE(YEAR($A1156),MONTH($A1156)+IF(AND(IFERROR(N(INDEX(Übersicht!$M$15:$M$22,MATCH($B1156,Übersicht!$A$15:$A$22,0))),0)&gt;1,DAY($A1156)&gt;=IFERROR(N(INDEX(Übersicht!$M$15:$M$22,MATCH($B1156,Übersicht!$A$15:$A$22,0))),0)),1,0),1))</f>
        <v/>
      </c>
    </row>
    <row r="1157">
      <c r="A1157" s="92" t="n"/>
      <c r="B1157" s="55" t="n"/>
      <c r="C1157" s="55" t="n"/>
      <c r="D1157" s="55" t="n"/>
      <c r="E1157" s="93" t="n"/>
      <c r="F1157" s="94" t="n"/>
      <c r="G1157" s="94" t="n"/>
      <c r="H1157" s="94" t="n"/>
      <c r="I1157" s="94" t="n"/>
      <c r="J1157" s="55" t="n"/>
      <c r="K1157" s="95" t="n"/>
      <c r="L1157" s="116">
        <f>IF($A1157="","",DATE(YEAR($A1157),MONTH($A1157)+IF(AND(IFERROR(N(INDEX(Übersicht!$M$15:$M$22,MATCH($B1157,Übersicht!$A$15:$A$22,0))),0)&gt;1,DAY($A1157)&gt;=IFERROR(N(INDEX(Übersicht!$M$15:$M$22,MATCH($B1157,Übersicht!$A$15:$A$22,0))),0)),1,0),1))</f>
        <v/>
      </c>
    </row>
    <row r="1158">
      <c r="A1158" s="92" t="n"/>
      <c r="B1158" s="55" t="n"/>
      <c r="C1158" s="55" t="n"/>
      <c r="D1158" s="55" t="n"/>
      <c r="E1158" s="93" t="n"/>
      <c r="F1158" s="94" t="n"/>
      <c r="G1158" s="94" t="n"/>
      <c r="H1158" s="94" t="n"/>
      <c r="I1158" s="94" t="n"/>
      <c r="J1158" s="55" t="n"/>
      <c r="K1158" s="95" t="n"/>
      <c r="L1158" s="116">
        <f>IF($A1158="","",DATE(YEAR($A1158),MONTH($A1158)+IF(AND(IFERROR(N(INDEX(Übersicht!$M$15:$M$22,MATCH($B1158,Übersicht!$A$15:$A$22,0))),0)&gt;1,DAY($A1158)&gt;=IFERROR(N(INDEX(Übersicht!$M$15:$M$22,MATCH($B1158,Übersicht!$A$15:$A$22,0))),0)),1,0),1))</f>
        <v/>
      </c>
    </row>
    <row r="1159">
      <c r="A1159" s="92" t="n"/>
      <c r="B1159" s="55" t="n"/>
      <c r="C1159" s="55" t="n"/>
      <c r="D1159" s="55" t="n"/>
      <c r="E1159" s="93" t="n"/>
      <c r="F1159" s="94" t="n"/>
      <c r="G1159" s="94" t="n"/>
      <c r="H1159" s="94" t="n"/>
      <c r="I1159" s="94" t="n"/>
      <c r="J1159" s="55" t="n"/>
      <c r="K1159" s="95" t="n"/>
      <c r="L1159" s="116">
        <f>IF($A1159="","",DATE(YEAR($A1159),MONTH($A1159)+IF(AND(IFERROR(N(INDEX(Übersicht!$M$15:$M$22,MATCH($B1159,Übersicht!$A$15:$A$22,0))),0)&gt;1,DAY($A1159)&gt;=IFERROR(N(INDEX(Übersicht!$M$15:$M$22,MATCH($B1159,Übersicht!$A$15:$A$22,0))),0)),1,0),1))</f>
        <v/>
      </c>
    </row>
    <row r="1160">
      <c r="A1160" s="92" t="n"/>
      <c r="B1160" s="55" t="n"/>
      <c r="C1160" s="55" t="n"/>
      <c r="D1160" s="55" t="n"/>
      <c r="E1160" s="93" t="n"/>
      <c r="F1160" s="94" t="n"/>
      <c r="G1160" s="94" t="n"/>
      <c r="H1160" s="94" t="n"/>
      <c r="I1160" s="94" t="n"/>
      <c r="J1160" s="55" t="n"/>
      <c r="K1160" s="95" t="n"/>
      <c r="L1160" s="116">
        <f>IF($A1160="","",DATE(YEAR($A1160),MONTH($A1160)+IF(AND(IFERROR(N(INDEX(Übersicht!$M$15:$M$22,MATCH($B1160,Übersicht!$A$15:$A$22,0))),0)&gt;1,DAY($A1160)&gt;=IFERROR(N(INDEX(Übersicht!$M$15:$M$22,MATCH($B1160,Übersicht!$A$15:$A$22,0))),0)),1,0),1))</f>
        <v/>
      </c>
    </row>
    <row r="1161">
      <c r="A1161" s="92" t="n"/>
      <c r="B1161" s="55" t="n"/>
      <c r="C1161" s="55" t="n"/>
      <c r="D1161" s="55" t="n"/>
      <c r="E1161" s="93" t="n"/>
      <c r="F1161" s="94" t="n"/>
      <c r="G1161" s="94" t="n"/>
      <c r="H1161" s="94" t="n"/>
      <c r="I1161" s="94" t="n"/>
      <c r="J1161" s="55" t="n"/>
      <c r="K1161" s="95" t="n"/>
      <c r="L1161" s="116">
        <f>IF($A1161="","",DATE(YEAR($A1161),MONTH($A1161)+IF(AND(IFERROR(N(INDEX(Übersicht!$M$15:$M$22,MATCH($B1161,Übersicht!$A$15:$A$22,0))),0)&gt;1,DAY($A1161)&gt;=IFERROR(N(INDEX(Übersicht!$M$15:$M$22,MATCH($B1161,Übersicht!$A$15:$A$22,0))),0)),1,0),1))</f>
        <v/>
      </c>
    </row>
    <row r="1162">
      <c r="A1162" s="92" t="n"/>
      <c r="B1162" s="55" t="n"/>
      <c r="C1162" s="55" t="n"/>
      <c r="D1162" s="55" t="n"/>
      <c r="E1162" s="93" t="n"/>
      <c r="F1162" s="94" t="n"/>
      <c r="G1162" s="94" t="n"/>
      <c r="H1162" s="94" t="n"/>
      <c r="I1162" s="94" t="n"/>
      <c r="J1162" s="55" t="n"/>
      <c r="K1162" s="95" t="n"/>
      <c r="L1162" s="116">
        <f>IF($A1162="","",DATE(YEAR($A1162),MONTH($A1162)+IF(AND(IFERROR(N(INDEX(Übersicht!$M$15:$M$22,MATCH($B1162,Übersicht!$A$15:$A$22,0))),0)&gt;1,DAY($A1162)&gt;=IFERROR(N(INDEX(Übersicht!$M$15:$M$22,MATCH($B1162,Übersicht!$A$15:$A$22,0))),0)),1,0),1))</f>
        <v/>
      </c>
    </row>
    <row r="1163">
      <c r="A1163" s="92" t="n"/>
      <c r="B1163" s="55" t="n"/>
      <c r="C1163" s="55" t="n"/>
      <c r="D1163" s="55" t="n"/>
      <c r="E1163" s="93" t="n"/>
      <c r="F1163" s="94" t="n"/>
      <c r="G1163" s="94" t="n"/>
      <c r="H1163" s="94" t="n"/>
      <c r="I1163" s="94" t="n"/>
      <c r="J1163" s="55" t="n"/>
      <c r="K1163" s="95" t="n"/>
      <c r="L1163" s="116">
        <f>IF($A1163="","",DATE(YEAR($A1163),MONTH($A1163)+IF(AND(IFERROR(N(INDEX(Übersicht!$M$15:$M$22,MATCH($B1163,Übersicht!$A$15:$A$22,0))),0)&gt;1,DAY($A1163)&gt;=IFERROR(N(INDEX(Übersicht!$M$15:$M$22,MATCH($B1163,Übersicht!$A$15:$A$22,0))),0)),1,0),1))</f>
        <v/>
      </c>
    </row>
    <row r="1164">
      <c r="A1164" s="92" t="n"/>
      <c r="B1164" s="55" t="n"/>
      <c r="C1164" s="55" t="n"/>
      <c r="D1164" s="55" t="n"/>
      <c r="E1164" s="93" t="n"/>
      <c r="F1164" s="94" t="n"/>
      <c r="G1164" s="94" t="n"/>
      <c r="H1164" s="94" t="n"/>
      <c r="I1164" s="94" t="n"/>
      <c r="J1164" s="55" t="n"/>
      <c r="K1164" s="95" t="n"/>
      <c r="L1164" s="116">
        <f>IF($A1164="","",DATE(YEAR($A1164),MONTH($A1164)+IF(AND(IFERROR(N(INDEX(Übersicht!$M$15:$M$22,MATCH($B1164,Übersicht!$A$15:$A$22,0))),0)&gt;1,DAY($A1164)&gt;=IFERROR(N(INDEX(Übersicht!$M$15:$M$22,MATCH($B1164,Übersicht!$A$15:$A$22,0))),0)),1,0),1))</f>
        <v/>
      </c>
    </row>
    <row r="1165">
      <c r="A1165" s="92" t="n"/>
      <c r="B1165" s="55" t="n"/>
      <c r="C1165" s="55" t="n"/>
      <c r="D1165" s="55" t="n"/>
      <c r="E1165" s="93" t="n"/>
      <c r="F1165" s="94" t="n"/>
      <c r="G1165" s="94" t="n"/>
      <c r="H1165" s="94" t="n"/>
      <c r="I1165" s="94" t="n"/>
      <c r="J1165" s="55" t="n"/>
      <c r="K1165" s="95" t="n"/>
      <c r="L1165" s="116">
        <f>IF($A1165="","",DATE(YEAR($A1165),MONTH($A1165)+IF(AND(IFERROR(N(INDEX(Übersicht!$M$15:$M$22,MATCH($B1165,Übersicht!$A$15:$A$22,0))),0)&gt;1,DAY($A1165)&gt;=IFERROR(N(INDEX(Übersicht!$M$15:$M$22,MATCH($B1165,Übersicht!$A$15:$A$22,0))),0)),1,0),1))</f>
        <v/>
      </c>
    </row>
    <row r="1166">
      <c r="A1166" s="92" t="n"/>
      <c r="B1166" s="55" t="n"/>
      <c r="C1166" s="55" t="n"/>
      <c r="D1166" s="55" t="n"/>
      <c r="E1166" s="93" t="n"/>
      <c r="F1166" s="94" t="n"/>
      <c r="G1166" s="94" t="n"/>
      <c r="H1166" s="94" t="n"/>
      <c r="I1166" s="94" t="n"/>
      <c r="J1166" s="55" t="n"/>
      <c r="K1166" s="95" t="n"/>
      <c r="L1166" s="116">
        <f>IF($A1166="","",DATE(YEAR($A1166),MONTH($A1166)+IF(AND(IFERROR(N(INDEX(Übersicht!$M$15:$M$22,MATCH($B1166,Übersicht!$A$15:$A$22,0))),0)&gt;1,DAY($A1166)&gt;=IFERROR(N(INDEX(Übersicht!$M$15:$M$22,MATCH($B1166,Übersicht!$A$15:$A$22,0))),0)),1,0),1))</f>
        <v/>
      </c>
    </row>
    <row r="1167">
      <c r="A1167" s="92" t="n"/>
      <c r="B1167" s="55" t="n"/>
      <c r="C1167" s="55" t="n"/>
      <c r="D1167" s="55" t="n"/>
      <c r="E1167" s="93" t="n"/>
      <c r="F1167" s="94" t="n"/>
      <c r="G1167" s="94" t="n"/>
      <c r="H1167" s="94" t="n"/>
      <c r="I1167" s="94" t="n"/>
      <c r="J1167" s="55" t="n"/>
      <c r="K1167" s="95" t="n"/>
      <c r="L1167" s="116">
        <f>IF($A1167="","",DATE(YEAR($A1167),MONTH($A1167)+IF(AND(IFERROR(N(INDEX(Übersicht!$M$15:$M$22,MATCH($B1167,Übersicht!$A$15:$A$22,0))),0)&gt;1,DAY($A1167)&gt;=IFERROR(N(INDEX(Übersicht!$M$15:$M$22,MATCH($B1167,Übersicht!$A$15:$A$22,0))),0)),1,0),1))</f>
        <v/>
      </c>
    </row>
    <row r="1168">
      <c r="A1168" s="92" t="n"/>
      <c r="B1168" s="55" t="n"/>
      <c r="C1168" s="55" t="n"/>
      <c r="D1168" s="55" t="n"/>
      <c r="E1168" s="93" t="n"/>
      <c r="F1168" s="94" t="n"/>
      <c r="G1168" s="94" t="n"/>
      <c r="H1168" s="94" t="n"/>
      <c r="I1168" s="94" t="n"/>
      <c r="J1168" s="55" t="n"/>
      <c r="K1168" s="95" t="n"/>
      <c r="L1168" s="116">
        <f>IF($A1168="","",DATE(YEAR($A1168),MONTH($A1168)+IF(AND(IFERROR(N(INDEX(Übersicht!$M$15:$M$22,MATCH($B1168,Übersicht!$A$15:$A$22,0))),0)&gt;1,DAY($A1168)&gt;=IFERROR(N(INDEX(Übersicht!$M$15:$M$22,MATCH($B1168,Übersicht!$A$15:$A$22,0))),0)),1,0),1))</f>
        <v/>
      </c>
    </row>
    <row r="1169">
      <c r="A1169" s="92" t="n"/>
      <c r="B1169" s="55" t="n"/>
      <c r="C1169" s="55" t="n"/>
      <c r="D1169" s="55" t="n"/>
      <c r="E1169" s="93" t="n"/>
      <c r="F1169" s="94" t="n"/>
      <c r="G1169" s="94" t="n"/>
      <c r="H1169" s="94" t="n"/>
      <c r="I1169" s="94" t="n"/>
      <c r="J1169" s="55" t="n"/>
      <c r="K1169" s="95" t="n"/>
      <c r="L1169" s="116">
        <f>IF($A1169="","",DATE(YEAR($A1169),MONTH($A1169)+IF(AND(IFERROR(N(INDEX(Übersicht!$M$15:$M$22,MATCH($B1169,Übersicht!$A$15:$A$22,0))),0)&gt;1,DAY($A1169)&gt;=IFERROR(N(INDEX(Übersicht!$M$15:$M$22,MATCH($B1169,Übersicht!$A$15:$A$22,0))),0)),1,0),1))</f>
        <v/>
      </c>
    </row>
    <row r="1170">
      <c r="A1170" s="92" t="n"/>
      <c r="B1170" s="55" t="n"/>
      <c r="C1170" s="55" t="n"/>
      <c r="D1170" s="55" t="n"/>
      <c r="E1170" s="93" t="n"/>
      <c r="F1170" s="94" t="n"/>
      <c r="G1170" s="94" t="n"/>
      <c r="H1170" s="94" t="n"/>
      <c r="I1170" s="94" t="n"/>
      <c r="J1170" s="55" t="n"/>
      <c r="K1170" s="95" t="n"/>
      <c r="L1170" s="116">
        <f>IF($A1170="","",DATE(YEAR($A1170),MONTH($A1170)+IF(AND(IFERROR(N(INDEX(Übersicht!$M$15:$M$22,MATCH($B1170,Übersicht!$A$15:$A$22,0))),0)&gt;1,DAY($A1170)&gt;=IFERROR(N(INDEX(Übersicht!$M$15:$M$22,MATCH($B1170,Übersicht!$A$15:$A$22,0))),0)),1,0),1))</f>
        <v/>
      </c>
    </row>
    <row r="1171">
      <c r="A1171" s="92" t="n"/>
      <c r="B1171" s="55" t="n"/>
      <c r="C1171" s="55" t="n"/>
      <c r="D1171" s="55" t="n"/>
      <c r="E1171" s="93" t="n"/>
      <c r="F1171" s="94" t="n"/>
      <c r="G1171" s="94" t="n"/>
      <c r="H1171" s="94" t="n"/>
      <c r="I1171" s="94" t="n"/>
      <c r="J1171" s="55" t="n"/>
      <c r="K1171" s="95" t="n"/>
      <c r="L1171" s="116">
        <f>IF($A1171="","",DATE(YEAR($A1171),MONTH($A1171)+IF(AND(IFERROR(N(INDEX(Übersicht!$M$15:$M$22,MATCH($B1171,Übersicht!$A$15:$A$22,0))),0)&gt;1,DAY($A1171)&gt;=IFERROR(N(INDEX(Übersicht!$M$15:$M$22,MATCH($B1171,Übersicht!$A$15:$A$22,0))),0)),1,0),1))</f>
        <v/>
      </c>
    </row>
    <row r="1172">
      <c r="A1172" s="92" t="n"/>
      <c r="B1172" s="55" t="n"/>
      <c r="C1172" s="55" t="n"/>
      <c r="D1172" s="55" t="n"/>
      <c r="E1172" s="93" t="n"/>
      <c r="F1172" s="94" t="n"/>
      <c r="G1172" s="94" t="n"/>
      <c r="H1172" s="94" t="n"/>
      <c r="I1172" s="94" t="n"/>
      <c r="J1172" s="55" t="n"/>
      <c r="K1172" s="95" t="n"/>
      <c r="L1172" s="116">
        <f>IF($A1172="","",DATE(YEAR($A1172),MONTH($A1172)+IF(AND(IFERROR(N(INDEX(Übersicht!$M$15:$M$22,MATCH($B1172,Übersicht!$A$15:$A$22,0))),0)&gt;1,DAY($A1172)&gt;=IFERROR(N(INDEX(Übersicht!$M$15:$M$22,MATCH($B1172,Übersicht!$A$15:$A$22,0))),0)),1,0),1))</f>
        <v/>
      </c>
    </row>
    <row r="1173">
      <c r="A1173" s="92" t="n"/>
      <c r="B1173" s="55" t="n"/>
      <c r="C1173" s="55" t="n"/>
      <c r="D1173" s="55" t="n"/>
      <c r="E1173" s="93" t="n"/>
      <c r="F1173" s="94" t="n"/>
      <c r="G1173" s="94" t="n"/>
      <c r="H1173" s="94" t="n"/>
      <c r="I1173" s="94" t="n"/>
      <c r="J1173" s="55" t="n"/>
      <c r="K1173" s="95" t="n"/>
      <c r="L1173" s="116">
        <f>IF($A1173="","",DATE(YEAR($A1173),MONTH($A1173)+IF(AND(IFERROR(N(INDEX(Übersicht!$M$15:$M$22,MATCH($B1173,Übersicht!$A$15:$A$22,0))),0)&gt;1,DAY($A1173)&gt;=IFERROR(N(INDEX(Übersicht!$M$15:$M$22,MATCH($B1173,Übersicht!$A$15:$A$22,0))),0)),1,0),1))</f>
        <v/>
      </c>
    </row>
    <row r="1174">
      <c r="A1174" s="92" t="n"/>
      <c r="B1174" s="55" t="n"/>
      <c r="C1174" s="55" t="n"/>
      <c r="D1174" s="55" t="n"/>
      <c r="E1174" s="93" t="n"/>
      <c r="F1174" s="94" t="n"/>
      <c r="G1174" s="94" t="n"/>
      <c r="H1174" s="94" t="n"/>
      <c r="I1174" s="94" t="n"/>
      <c r="J1174" s="55" t="n"/>
      <c r="K1174" s="95" t="n"/>
      <c r="L1174" s="116">
        <f>IF($A1174="","",DATE(YEAR($A1174),MONTH($A1174)+IF(AND(IFERROR(N(INDEX(Übersicht!$M$15:$M$22,MATCH($B1174,Übersicht!$A$15:$A$22,0))),0)&gt;1,DAY($A1174)&gt;=IFERROR(N(INDEX(Übersicht!$M$15:$M$22,MATCH($B1174,Übersicht!$A$15:$A$22,0))),0)),1,0),1))</f>
        <v/>
      </c>
    </row>
    <row r="1175">
      <c r="A1175" s="92" t="n"/>
      <c r="B1175" s="55" t="n"/>
      <c r="C1175" s="55" t="n"/>
      <c r="D1175" s="55" t="n"/>
      <c r="E1175" s="93" t="n"/>
      <c r="F1175" s="94" t="n"/>
      <c r="G1175" s="94" t="n"/>
      <c r="H1175" s="94" t="n"/>
      <c r="I1175" s="94" t="n"/>
      <c r="J1175" s="55" t="n"/>
      <c r="K1175" s="95" t="n"/>
      <c r="L1175" s="116">
        <f>IF($A1175="","",DATE(YEAR($A1175),MONTH($A1175)+IF(AND(IFERROR(N(INDEX(Übersicht!$M$15:$M$22,MATCH($B1175,Übersicht!$A$15:$A$22,0))),0)&gt;1,DAY($A1175)&gt;=IFERROR(N(INDEX(Übersicht!$M$15:$M$22,MATCH($B1175,Übersicht!$A$15:$A$22,0))),0)),1,0),1))</f>
        <v/>
      </c>
    </row>
    <row r="1176">
      <c r="A1176" s="92" t="n"/>
      <c r="B1176" s="55" t="n"/>
      <c r="C1176" s="55" t="n"/>
      <c r="D1176" s="55" t="n"/>
      <c r="E1176" s="93" t="n"/>
      <c r="F1176" s="94" t="n"/>
      <c r="G1176" s="94" t="n"/>
      <c r="H1176" s="94" t="n"/>
      <c r="I1176" s="94" t="n"/>
      <c r="J1176" s="55" t="n"/>
      <c r="K1176" s="95" t="n"/>
      <c r="L1176" s="116">
        <f>IF($A1176="","",DATE(YEAR($A1176),MONTH($A1176)+IF(AND(IFERROR(N(INDEX(Übersicht!$M$15:$M$22,MATCH($B1176,Übersicht!$A$15:$A$22,0))),0)&gt;1,DAY($A1176)&gt;=IFERROR(N(INDEX(Übersicht!$M$15:$M$22,MATCH($B1176,Übersicht!$A$15:$A$22,0))),0)),1,0),1))</f>
        <v/>
      </c>
    </row>
    <row r="1177">
      <c r="A1177" s="92" t="n"/>
      <c r="B1177" s="55" t="n"/>
      <c r="C1177" s="55" t="n"/>
      <c r="D1177" s="55" t="n"/>
      <c r="E1177" s="93" t="n"/>
      <c r="F1177" s="94" t="n"/>
      <c r="G1177" s="94" t="n"/>
      <c r="H1177" s="94" t="n"/>
      <c r="I1177" s="94" t="n"/>
      <c r="J1177" s="55" t="n"/>
      <c r="K1177" s="95" t="n"/>
      <c r="L1177" s="116">
        <f>IF($A1177="","",DATE(YEAR($A1177),MONTH($A1177)+IF(AND(IFERROR(N(INDEX(Übersicht!$M$15:$M$22,MATCH($B1177,Übersicht!$A$15:$A$22,0))),0)&gt;1,DAY($A1177)&gt;=IFERROR(N(INDEX(Übersicht!$M$15:$M$22,MATCH($B1177,Übersicht!$A$15:$A$22,0))),0)),1,0),1))</f>
        <v/>
      </c>
    </row>
    <row r="1178">
      <c r="A1178" s="92" t="n"/>
      <c r="B1178" s="55" t="n"/>
      <c r="C1178" s="55" t="n"/>
      <c r="D1178" s="55" t="n"/>
      <c r="E1178" s="93" t="n"/>
      <c r="F1178" s="94" t="n"/>
      <c r="G1178" s="94" t="n"/>
      <c r="H1178" s="94" t="n"/>
      <c r="I1178" s="94" t="n"/>
      <c r="J1178" s="55" t="n"/>
      <c r="K1178" s="95" t="n"/>
      <c r="L1178" s="116">
        <f>IF($A1178="","",DATE(YEAR($A1178),MONTH($A1178)+IF(AND(IFERROR(N(INDEX(Übersicht!$M$15:$M$22,MATCH($B1178,Übersicht!$A$15:$A$22,0))),0)&gt;1,DAY($A1178)&gt;=IFERROR(N(INDEX(Übersicht!$M$15:$M$22,MATCH($B1178,Übersicht!$A$15:$A$22,0))),0)),1,0),1))</f>
        <v/>
      </c>
    </row>
    <row r="1179">
      <c r="A1179" s="92" t="n"/>
      <c r="B1179" s="55" t="n"/>
      <c r="C1179" s="55" t="n"/>
      <c r="D1179" s="55" t="n"/>
      <c r="E1179" s="93" t="n"/>
      <c r="F1179" s="94" t="n"/>
      <c r="G1179" s="94" t="n"/>
      <c r="H1179" s="94" t="n"/>
      <c r="I1179" s="94" t="n"/>
      <c r="J1179" s="55" t="n"/>
      <c r="K1179" s="95" t="n"/>
      <c r="L1179" s="116">
        <f>IF($A1179="","",DATE(YEAR($A1179),MONTH($A1179)+IF(AND(IFERROR(N(INDEX(Übersicht!$M$15:$M$22,MATCH($B1179,Übersicht!$A$15:$A$22,0))),0)&gt;1,DAY($A1179)&gt;=IFERROR(N(INDEX(Übersicht!$M$15:$M$22,MATCH($B1179,Übersicht!$A$15:$A$22,0))),0)),1,0),1))</f>
        <v/>
      </c>
    </row>
    <row r="1180">
      <c r="A1180" s="92" t="n"/>
      <c r="B1180" s="55" t="n"/>
      <c r="C1180" s="55" t="n"/>
      <c r="D1180" s="55" t="n"/>
      <c r="E1180" s="93" t="n"/>
      <c r="F1180" s="94" t="n"/>
      <c r="G1180" s="94" t="n"/>
      <c r="H1180" s="94" t="n"/>
      <c r="I1180" s="94" t="n"/>
      <c r="J1180" s="55" t="n"/>
      <c r="K1180" s="95" t="n"/>
      <c r="L1180" s="116">
        <f>IF($A1180="","",DATE(YEAR($A1180),MONTH($A1180)+IF(AND(IFERROR(N(INDEX(Übersicht!$M$15:$M$22,MATCH($B1180,Übersicht!$A$15:$A$22,0))),0)&gt;1,DAY($A1180)&gt;=IFERROR(N(INDEX(Übersicht!$M$15:$M$22,MATCH($B1180,Übersicht!$A$15:$A$22,0))),0)),1,0),1))</f>
        <v/>
      </c>
    </row>
    <row r="1181">
      <c r="A1181" s="92" t="n"/>
      <c r="B1181" s="55" t="n"/>
      <c r="C1181" s="55" t="n"/>
      <c r="D1181" s="55" t="n"/>
      <c r="E1181" s="93" t="n"/>
      <c r="F1181" s="94" t="n"/>
      <c r="G1181" s="94" t="n"/>
      <c r="H1181" s="94" t="n"/>
      <c r="I1181" s="94" t="n"/>
      <c r="J1181" s="55" t="n"/>
      <c r="K1181" s="95" t="n"/>
      <c r="L1181" s="116">
        <f>IF($A1181="","",DATE(YEAR($A1181),MONTH($A1181)+IF(AND(IFERROR(N(INDEX(Übersicht!$M$15:$M$22,MATCH($B1181,Übersicht!$A$15:$A$22,0))),0)&gt;1,DAY($A1181)&gt;=IFERROR(N(INDEX(Übersicht!$M$15:$M$22,MATCH($B1181,Übersicht!$A$15:$A$22,0))),0)),1,0),1))</f>
        <v/>
      </c>
    </row>
    <row r="1182">
      <c r="A1182" s="92" t="n"/>
      <c r="B1182" s="55" t="n"/>
      <c r="C1182" s="55" t="n"/>
      <c r="D1182" s="55" t="n"/>
      <c r="E1182" s="93" t="n"/>
      <c r="F1182" s="94" t="n"/>
      <c r="G1182" s="94" t="n"/>
      <c r="H1182" s="94" t="n"/>
      <c r="I1182" s="94" t="n"/>
      <c r="J1182" s="55" t="n"/>
      <c r="K1182" s="95" t="n"/>
      <c r="L1182" s="116">
        <f>IF($A1182="","",DATE(YEAR($A1182),MONTH($A1182)+IF(AND(IFERROR(N(INDEX(Übersicht!$M$15:$M$22,MATCH($B1182,Übersicht!$A$15:$A$22,0))),0)&gt;1,DAY($A1182)&gt;=IFERROR(N(INDEX(Übersicht!$M$15:$M$22,MATCH($B1182,Übersicht!$A$15:$A$22,0))),0)),1,0),1))</f>
        <v/>
      </c>
    </row>
    <row r="1183">
      <c r="A1183" s="92" t="n"/>
      <c r="B1183" s="55" t="n"/>
      <c r="C1183" s="55" t="n"/>
      <c r="D1183" s="55" t="n"/>
      <c r="E1183" s="93" t="n"/>
      <c r="F1183" s="94" t="n"/>
      <c r="G1183" s="94" t="n"/>
      <c r="H1183" s="94" t="n"/>
      <c r="I1183" s="94" t="n"/>
      <c r="J1183" s="55" t="n"/>
      <c r="K1183" s="95" t="n"/>
      <c r="L1183" s="116">
        <f>IF($A1183="","",DATE(YEAR($A1183),MONTH($A1183)+IF(AND(IFERROR(N(INDEX(Übersicht!$M$15:$M$22,MATCH($B1183,Übersicht!$A$15:$A$22,0))),0)&gt;1,DAY($A1183)&gt;=IFERROR(N(INDEX(Übersicht!$M$15:$M$22,MATCH($B1183,Übersicht!$A$15:$A$22,0))),0)),1,0),1))</f>
        <v/>
      </c>
    </row>
    <row r="1184">
      <c r="A1184" s="92" t="n"/>
      <c r="B1184" s="55" t="n"/>
      <c r="C1184" s="55" t="n"/>
      <c r="D1184" s="55" t="n"/>
      <c r="E1184" s="93" t="n"/>
      <c r="F1184" s="94" t="n"/>
      <c r="G1184" s="94" t="n"/>
      <c r="H1184" s="94" t="n"/>
      <c r="I1184" s="94" t="n"/>
      <c r="J1184" s="55" t="n"/>
      <c r="K1184" s="95" t="n"/>
      <c r="L1184" s="116">
        <f>IF($A1184="","",DATE(YEAR($A1184),MONTH($A1184)+IF(AND(IFERROR(N(INDEX(Übersicht!$M$15:$M$22,MATCH($B1184,Übersicht!$A$15:$A$22,0))),0)&gt;1,DAY($A1184)&gt;=IFERROR(N(INDEX(Übersicht!$M$15:$M$22,MATCH($B1184,Übersicht!$A$15:$A$22,0))),0)),1,0),1))</f>
        <v/>
      </c>
    </row>
    <row r="1185">
      <c r="A1185" s="92" t="n"/>
      <c r="B1185" s="55" t="n"/>
      <c r="C1185" s="55" t="n"/>
      <c r="D1185" s="55" t="n"/>
      <c r="E1185" s="93" t="n"/>
      <c r="F1185" s="94" t="n"/>
      <c r="G1185" s="94" t="n"/>
      <c r="H1185" s="94" t="n"/>
      <c r="I1185" s="94" t="n"/>
      <c r="J1185" s="55" t="n"/>
      <c r="K1185" s="95" t="n"/>
      <c r="L1185" s="116">
        <f>IF($A1185="","",DATE(YEAR($A1185),MONTH($A1185)+IF(AND(IFERROR(N(INDEX(Übersicht!$M$15:$M$22,MATCH($B1185,Übersicht!$A$15:$A$22,0))),0)&gt;1,DAY($A1185)&gt;=IFERROR(N(INDEX(Übersicht!$M$15:$M$22,MATCH($B1185,Übersicht!$A$15:$A$22,0))),0)),1,0),1))</f>
        <v/>
      </c>
    </row>
    <row r="1186">
      <c r="A1186" s="92" t="n"/>
      <c r="B1186" s="55" t="n"/>
      <c r="C1186" s="55" t="n"/>
      <c r="D1186" s="55" t="n"/>
      <c r="E1186" s="93" t="n"/>
      <c r="F1186" s="94" t="n"/>
      <c r="G1186" s="94" t="n"/>
      <c r="H1186" s="94" t="n"/>
      <c r="I1186" s="94" t="n"/>
      <c r="J1186" s="55" t="n"/>
      <c r="K1186" s="95" t="n"/>
      <c r="L1186" s="116">
        <f>IF($A1186="","",DATE(YEAR($A1186),MONTH($A1186)+IF(AND(IFERROR(N(INDEX(Übersicht!$M$15:$M$22,MATCH($B1186,Übersicht!$A$15:$A$22,0))),0)&gt;1,DAY($A1186)&gt;=IFERROR(N(INDEX(Übersicht!$M$15:$M$22,MATCH($B1186,Übersicht!$A$15:$A$22,0))),0)),1,0),1))</f>
        <v/>
      </c>
    </row>
    <row r="1187">
      <c r="A1187" s="92" t="n"/>
      <c r="B1187" s="55" t="n"/>
      <c r="C1187" s="55" t="n"/>
      <c r="D1187" s="55" t="n"/>
      <c r="E1187" s="93" t="n"/>
      <c r="F1187" s="94" t="n"/>
      <c r="G1187" s="94" t="n"/>
      <c r="H1187" s="94" t="n"/>
      <c r="I1187" s="94" t="n"/>
      <c r="J1187" s="55" t="n"/>
      <c r="K1187" s="95" t="n"/>
      <c r="L1187" s="116">
        <f>IF($A1187="","",DATE(YEAR($A1187),MONTH($A1187)+IF(AND(IFERROR(N(INDEX(Übersicht!$M$15:$M$22,MATCH($B1187,Übersicht!$A$15:$A$22,0))),0)&gt;1,DAY($A1187)&gt;=IFERROR(N(INDEX(Übersicht!$M$15:$M$22,MATCH($B1187,Übersicht!$A$15:$A$22,0))),0)),1,0),1))</f>
        <v/>
      </c>
    </row>
    <row r="1188">
      <c r="A1188" s="92" t="n"/>
      <c r="B1188" s="55" t="n"/>
      <c r="C1188" s="55" t="n"/>
      <c r="D1188" s="55" t="n"/>
      <c r="E1188" s="93" t="n"/>
      <c r="F1188" s="94" t="n"/>
      <c r="G1188" s="94" t="n"/>
      <c r="H1188" s="94" t="n"/>
      <c r="I1188" s="94" t="n"/>
      <c r="J1188" s="55" t="n"/>
      <c r="K1188" s="95" t="n"/>
      <c r="L1188" s="116">
        <f>IF($A1188="","",DATE(YEAR($A1188),MONTH($A1188)+IF(AND(IFERROR(N(INDEX(Übersicht!$M$15:$M$22,MATCH($B1188,Übersicht!$A$15:$A$22,0))),0)&gt;1,DAY($A1188)&gt;=IFERROR(N(INDEX(Übersicht!$M$15:$M$22,MATCH($B1188,Übersicht!$A$15:$A$22,0))),0)),1,0),1))</f>
        <v/>
      </c>
    </row>
    <row r="1189">
      <c r="A1189" s="92" t="n"/>
      <c r="B1189" s="55" t="n"/>
      <c r="C1189" s="55" t="n"/>
      <c r="D1189" s="55" t="n"/>
      <c r="E1189" s="93" t="n"/>
      <c r="F1189" s="94" t="n"/>
      <c r="G1189" s="94" t="n"/>
      <c r="H1189" s="94" t="n"/>
      <c r="I1189" s="94" t="n"/>
      <c r="J1189" s="55" t="n"/>
      <c r="K1189" s="95" t="n"/>
      <c r="L1189" s="116">
        <f>IF($A1189="","",DATE(YEAR($A1189),MONTH($A1189)+IF(AND(IFERROR(N(INDEX(Übersicht!$M$15:$M$22,MATCH($B1189,Übersicht!$A$15:$A$22,0))),0)&gt;1,DAY($A1189)&gt;=IFERROR(N(INDEX(Übersicht!$M$15:$M$22,MATCH($B1189,Übersicht!$A$15:$A$22,0))),0)),1,0),1))</f>
        <v/>
      </c>
    </row>
    <row r="1190">
      <c r="A1190" s="92" t="n"/>
      <c r="B1190" s="55" t="n"/>
      <c r="C1190" s="55" t="n"/>
      <c r="D1190" s="55" t="n"/>
      <c r="E1190" s="93" t="n"/>
      <c r="F1190" s="94" t="n"/>
      <c r="G1190" s="94" t="n"/>
      <c r="H1190" s="94" t="n"/>
      <c r="I1190" s="94" t="n"/>
      <c r="J1190" s="55" t="n"/>
      <c r="K1190" s="95" t="n"/>
      <c r="L1190" s="116">
        <f>IF($A1190="","",DATE(YEAR($A1190),MONTH($A1190)+IF(AND(IFERROR(N(INDEX(Übersicht!$M$15:$M$22,MATCH($B1190,Übersicht!$A$15:$A$22,0))),0)&gt;1,DAY($A1190)&gt;=IFERROR(N(INDEX(Übersicht!$M$15:$M$22,MATCH($B1190,Übersicht!$A$15:$A$22,0))),0)),1,0),1))</f>
        <v/>
      </c>
    </row>
    <row r="1191">
      <c r="A1191" s="92" t="n"/>
      <c r="B1191" s="55" t="n"/>
      <c r="C1191" s="55" t="n"/>
      <c r="D1191" s="55" t="n"/>
      <c r="E1191" s="93" t="n"/>
      <c r="F1191" s="94" t="n"/>
      <c r="G1191" s="94" t="n"/>
      <c r="H1191" s="94" t="n"/>
      <c r="I1191" s="94" t="n"/>
      <c r="J1191" s="55" t="n"/>
      <c r="K1191" s="95" t="n"/>
      <c r="L1191" s="116">
        <f>IF($A1191="","",DATE(YEAR($A1191),MONTH($A1191)+IF(AND(IFERROR(N(INDEX(Übersicht!$M$15:$M$22,MATCH($B1191,Übersicht!$A$15:$A$22,0))),0)&gt;1,DAY($A1191)&gt;=IFERROR(N(INDEX(Übersicht!$M$15:$M$22,MATCH($B1191,Übersicht!$A$15:$A$22,0))),0)),1,0),1))</f>
        <v/>
      </c>
    </row>
    <row r="1192">
      <c r="A1192" s="92" t="n"/>
      <c r="B1192" s="55" t="n"/>
      <c r="C1192" s="55" t="n"/>
      <c r="D1192" s="55" t="n"/>
      <c r="E1192" s="93" t="n"/>
      <c r="F1192" s="94" t="n"/>
      <c r="G1192" s="94" t="n"/>
      <c r="H1192" s="94" t="n"/>
      <c r="I1192" s="94" t="n"/>
      <c r="J1192" s="55" t="n"/>
      <c r="K1192" s="95" t="n"/>
      <c r="L1192" s="116">
        <f>IF($A1192="","",DATE(YEAR($A1192),MONTH($A1192)+IF(AND(IFERROR(N(INDEX(Übersicht!$M$15:$M$22,MATCH($B1192,Übersicht!$A$15:$A$22,0))),0)&gt;1,DAY($A1192)&gt;=IFERROR(N(INDEX(Übersicht!$M$15:$M$22,MATCH($B1192,Übersicht!$A$15:$A$22,0))),0)),1,0),1))</f>
        <v/>
      </c>
    </row>
    <row r="1193">
      <c r="A1193" s="92" t="n"/>
      <c r="B1193" s="55" t="n"/>
      <c r="C1193" s="55" t="n"/>
      <c r="D1193" s="55" t="n"/>
      <c r="E1193" s="93" t="n"/>
      <c r="F1193" s="94" t="n"/>
      <c r="G1193" s="94" t="n"/>
      <c r="H1193" s="94" t="n"/>
      <c r="I1193" s="94" t="n"/>
      <c r="J1193" s="55" t="n"/>
      <c r="K1193" s="95" t="n"/>
      <c r="L1193" s="116">
        <f>IF($A1193="","",DATE(YEAR($A1193),MONTH($A1193)+IF(AND(IFERROR(N(INDEX(Übersicht!$M$15:$M$22,MATCH($B1193,Übersicht!$A$15:$A$22,0))),0)&gt;1,DAY($A1193)&gt;=IFERROR(N(INDEX(Übersicht!$M$15:$M$22,MATCH($B1193,Übersicht!$A$15:$A$22,0))),0)),1,0),1))</f>
        <v/>
      </c>
    </row>
    <row r="1194">
      <c r="A1194" s="92" t="n"/>
      <c r="B1194" s="55" t="n"/>
      <c r="C1194" s="55" t="n"/>
      <c r="D1194" s="55" t="n"/>
      <c r="E1194" s="93" t="n"/>
      <c r="F1194" s="94" t="n"/>
      <c r="G1194" s="94" t="n"/>
      <c r="H1194" s="94" t="n"/>
      <c r="I1194" s="94" t="n"/>
      <c r="J1194" s="55" t="n"/>
      <c r="K1194" s="95" t="n"/>
      <c r="L1194" s="116">
        <f>IF($A1194="","",DATE(YEAR($A1194),MONTH($A1194)+IF(AND(IFERROR(N(INDEX(Übersicht!$M$15:$M$22,MATCH($B1194,Übersicht!$A$15:$A$22,0))),0)&gt;1,DAY($A1194)&gt;=IFERROR(N(INDEX(Übersicht!$M$15:$M$22,MATCH($B1194,Übersicht!$A$15:$A$22,0))),0)),1,0),1))</f>
        <v/>
      </c>
    </row>
    <row r="1195">
      <c r="A1195" s="92" t="n"/>
      <c r="B1195" s="55" t="n"/>
      <c r="C1195" s="55" t="n"/>
      <c r="D1195" s="55" t="n"/>
      <c r="E1195" s="93" t="n"/>
      <c r="F1195" s="94" t="n"/>
      <c r="G1195" s="94" t="n"/>
      <c r="H1195" s="94" t="n"/>
      <c r="I1195" s="94" t="n"/>
      <c r="J1195" s="55" t="n"/>
      <c r="K1195" s="95" t="n"/>
      <c r="L1195" s="116">
        <f>IF($A1195="","",DATE(YEAR($A1195),MONTH($A1195)+IF(AND(IFERROR(N(INDEX(Übersicht!$M$15:$M$22,MATCH($B1195,Übersicht!$A$15:$A$22,0))),0)&gt;1,DAY($A1195)&gt;=IFERROR(N(INDEX(Übersicht!$M$15:$M$22,MATCH($B1195,Übersicht!$A$15:$A$22,0))),0)),1,0),1))</f>
        <v/>
      </c>
    </row>
    <row r="1196">
      <c r="A1196" s="92" t="n"/>
      <c r="B1196" s="55" t="n"/>
      <c r="C1196" s="55" t="n"/>
      <c r="D1196" s="55" t="n"/>
      <c r="E1196" s="93" t="n"/>
      <c r="F1196" s="94" t="n"/>
      <c r="G1196" s="94" t="n"/>
      <c r="H1196" s="94" t="n"/>
      <c r="I1196" s="94" t="n"/>
      <c r="J1196" s="55" t="n"/>
      <c r="K1196" s="95" t="n"/>
      <c r="L1196" s="116">
        <f>IF($A1196="","",DATE(YEAR($A1196),MONTH($A1196)+IF(AND(IFERROR(N(INDEX(Übersicht!$M$15:$M$22,MATCH($B1196,Übersicht!$A$15:$A$22,0))),0)&gt;1,DAY($A1196)&gt;=IFERROR(N(INDEX(Übersicht!$M$15:$M$22,MATCH($B1196,Übersicht!$A$15:$A$22,0))),0)),1,0),1))</f>
        <v/>
      </c>
    </row>
    <row r="1197">
      <c r="A1197" s="92" t="n"/>
      <c r="B1197" s="55" t="n"/>
      <c r="C1197" s="55" t="n"/>
      <c r="D1197" s="55" t="n"/>
      <c r="E1197" s="93" t="n"/>
      <c r="F1197" s="94" t="n"/>
      <c r="G1197" s="94" t="n"/>
      <c r="H1197" s="94" t="n"/>
      <c r="I1197" s="94" t="n"/>
      <c r="J1197" s="55" t="n"/>
      <c r="K1197" s="95" t="n"/>
      <c r="L1197" s="116">
        <f>IF($A1197="","",DATE(YEAR($A1197),MONTH($A1197)+IF(AND(IFERROR(N(INDEX(Übersicht!$M$15:$M$22,MATCH($B1197,Übersicht!$A$15:$A$22,0))),0)&gt;1,DAY($A1197)&gt;=IFERROR(N(INDEX(Übersicht!$M$15:$M$22,MATCH($B1197,Übersicht!$A$15:$A$22,0))),0)),1,0),1))</f>
        <v/>
      </c>
    </row>
    <row r="1198">
      <c r="A1198" s="92" t="n"/>
      <c r="B1198" s="55" t="n"/>
      <c r="C1198" s="55" t="n"/>
      <c r="D1198" s="55" t="n"/>
      <c r="E1198" s="93" t="n"/>
      <c r="F1198" s="94" t="n"/>
      <c r="G1198" s="94" t="n"/>
      <c r="H1198" s="94" t="n"/>
      <c r="I1198" s="94" t="n"/>
      <c r="J1198" s="55" t="n"/>
      <c r="K1198" s="95" t="n"/>
      <c r="L1198" s="116">
        <f>IF($A1198="","",DATE(YEAR($A1198),MONTH($A1198)+IF(AND(IFERROR(N(INDEX(Übersicht!$M$15:$M$22,MATCH($B1198,Übersicht!$A$15:$A$22,0))),0)&gt;1,DAY($A1198)&gt;=IFERROR(N(INDEX(Übersicht!$M$15:$M$22,MATCH($B1198,Übersicht!$A$15:$A$22,0))),0)),1,0),1))</f>
        <v/>
      </c>
    </row>
    <row r="1199">
      <c r="A1199" s="92" t="n"/>
      <c r="B1199" s="55" t="n"/>
      <c r="C1199" s="55" t="n"/>
      <c r="D1199" s="55" t="n"/>
      <c r="E1199" s="93" t="n"/>
      <c r="F1199" s="94" t="n"/>
      <c r="G1199" s="94" t="n"/>
      <c r="H1199" s="94" t="n"/>
      <c r="I1199" s="94" t="n"/>
      <c r="J1199" s="55" t="n"/>
      <c r="K1199" s="95" t="n"/>
      <c r="L1199" s="116">
        <f>IF($A1199="","",DATE(YEAR($A1199),MONTH($A1199)+IF(AND(IFERROR(N(INDEX(Übersicht!$M$15:$M$22,MATCH($B1199,Übersicht!$A$15:$A$22,0))),0)&gt;1,DAY($A1199)&gt;=IFERROR(N(INDEX(Übersicht!$M$15:$M$22,MATCH($B1199,Übersicht!$A$15:$A$22,0))),0)),1,0),1))</f>
        <v/>
      </c>
    </row>
    <row r="1200">
      <c r="A1200" s="92" t="n"/>
      <c r="B1200" s="55" t="n"/>
      <c r="C1200" s="55" t="n"/>
      <c r="D1200" s="55" t="n"/>
      <c r="E1200" s="93" t="n"/>
      <c r="F1200" s="94" t="n"/>
      <c r="G1200" s="94" t="n"/>
      <c r="H1200" s="94" t="n"/>
      <c r="I1200" s="94" t="n"/>
      <c r="J1200" s="55" t="n"/>
      <c r="K1200" s="95" t="n"/>
      <c r="L1200" s="116">
        <f>IF($A1200="","",DATE(YEAR($A1200),MONTH($A1200)+IF(AND(IFERROR(N(INDEX(Übersicht!$M$15:$M$22,MATCH($B1200,Übersicht!$A$15:$A$22,0))),0)&gt;1,DAY($A1200)&gt;=IFERROR(N(INDEX(Übersicht!$M$15:$M$22,MATCH($B1200,Übersicht!$A$15:$A$22,0))),0)),1,0),1))</f>
        <v/>
      </c>
    </row>
    <row r="1201">
      <c r="A1201" s="92" t="n"/>
      <c r="B1201" s="55" t="n"/>
      <c r="C1201" s="55" t="n"/>
      <c r="D1201" s="55" t="n"/>
      <c r="E1201" s="93" t="n"/>
      <c r="F1201" s="94" t="n"/>
      <c r="G1201" s="94" t="n"/>
      <c r="H1201" s="94" t="n"/>
      <c r="I1201" s="94" t="n"/>
      <c r="J1201" s="55" t="n"/>
      <c r="K1201" s="95" t="n"/>
      <c r="L1201" s="116">
        <f>IF($A1201="","",DATE(YEAR($A1201),MONTH($A1201)+IF(AND(IFERROR(N(INDEX(Übersicht!$M$15:$M$22,MATCH($B1201,Übersicht!$A$15:$A$22,0))),0)&gt;1,DAY($A1201)&gt;=IFERROR(N(INDEX(Übersicht!$M$15:$M$22,MATCH($B1201,Übersicht!$A$15:$A$22,0))),0)),1,0),1))</f>
        <v/>
      </c>
    </row>
    <row r="1202">
      <c r="A1202" s="92" t="n"/>
      <c r="B1202" s="55" t="n"/>
      <c r="C1202" s="55" t="n"/>
      <c r="D1202" s="55" t="n"/>
      <c r="E1202" s="93" t="n"/>
      <c r="F1202" s="94" t="n"/>
      <c r="G1202" s="94" t="n"/>
      <c r="H1202" s="94" t="n"/>
      <c r="I1202" s="94" t="n"/>
      <c r="J1202" s="55" t="n"/>
      <c r="K1202" s="95" t="n"/>
      <c r="L1202" s="116">
        <f>IF($A1202="","",DATE(YEAR($A1202),MONTH($A1202)+IF(AND(IFERROR(N(INDEX(Übersicht!$M$15:$M$22,MATCH($B1202,Übersicht!$A$15:$A$22,0))),0)&gt;1,DAY($A1202)&gt;=IFERROR(N(INDEX(Übersicht!$M$15:$M$22,MATCH($B1202,Übersicht!$A$15:$A$22,0))),0)),1,0),1))</f>
        <v/>
      </c>
    </row>
    <row r="1203">
      <c r="A1203" s="92" t="n"/>
      <c r="B1203" s="55" t="n"/>
      <c r="C1203" s="55" t="n"/>
      <c r="D1203" s="55" t="n"/>
      <c r="E1203" s="93" t="n"/>
      <c r="F1203" s="94" t="n"/>
      <c r="G1203" s="94" t="n"/>
      <c r="H1203" s="94" t="n"/>
      <c r="I1203" s="94" t="n"/>
      <c r="J1203" s="55" t="n"/>
      <c r="K1203" s="95" t="n"/>
      <c r="L1203" s="116">
        <f>IF($A1203="","",DATE(YEAR($A1203),MONTH($A1203)+IF(AND(IFERROR(N(INDEX(Übersicht!$M$15:$M$22,MATCH($B1203,Übersicht!$A$15:$A$22,0))),0)&gt;1,DAY($A1203)&gt;=IFERROR(N(INDEX(Übersicht!$M$15:$M$22,MATCH($B1203,Übersicht!$A$15:$A$22,0))),0)),1,0),1))</f>
        <v/>
      </c>
    </row>
    <row r="1204">
      <c r="A1204" s="92" t="n"/>
      <c r="B1204" s="55" t="n"/>
      <c r="C1204" s="55" t="n"/>
      <c r="D1204" s="55" t="n"/>
      <c r="E1204" s="93" t="n"/>
      <c r="F1204" s="94" t="n"/>
      <c r="G1204" s="94" t="n"/>
      <c r="H1204" s="94" t="n"/>
      <c r="I1204" s="94" t="n"/>
      <c r="J1204" s="55" t="n"/>
      <c r="K1204" s="95" t="n"/>
      <c r="L1204" s="116">
        <f>IF($A1204="","",DATE(YEAR($A1204),MONTH($A1204)+IF(AND(IFERROR(N(INDEX(Übersicht!$M$15:$M$22,MATCH($B1204,Übersicht!$A$15:$A$22,0))),0)&gt;1,DAY($A1204)&gt;=IFERROR(N(INDEX(Übersicht!$M$15:$M$22,MATCH($B1204,Übersicht!$A$15:$A$22,0))),0)),1,0),1))</f>
        <v/>
      </c>
    </row>
    <row r="1205">
      <c r="A1205" s="92" t="n"/>
      <c r="B1205" s="55" t="n"/>
      <c r="C1205" s="55" t="n"/>
      <c r="D1205" s="55" t="n"/>
      <c r="E1205" s="93" t="n"/>
      <c r="F1205" s="94" t="n"/>
      <c r="G1205" s="94" t="n"/>
      <c r="H1205" s="94" t="n"/>
      <c r="I1205" s="94" t="n"/>
      <c r="J1205" s="55" t="n"/>
      <c r="K1205" s="95" t="n"/>
      <c r="L1205" s="116">
        <f>IF($A1205="","",DATE(YEAR($A1205),MONTH($A1205)+IF(AND(IFERROR(N(INDEX(Übersicht!$M$15:$M$22,MATCH($B1205,Übersicht!$A$15:$A$22,0))),0)&gt;1,DAY($A1205)&gt;=IFERROR(N(INDEX(Übersicht!$M$15:$M$22,MATCH($B1205,Übersicht!$A$15:$A$22,0))),0)),1,0),1))</f>
        <v/>
      </c>
    </row>
    <row r="1206">
      <c r="A1206" s="92" t="n"/>
      <c r="B1206" s="55" t="n"/>
      <c r="C1206" s="55" t="n"/>
      <c r="D1206" s="55" t="n"/>
      <c r="E1206" s="93" t="n"/>
      <c r="F1206" s="94" t="n"/>
      <c r="G1206" s="94" t="n"/>
      <c r="H1206" s="94" t="n"/>
      <c r="I1206" s="94" t="n"/>
      <c r="J1206" s="55" t="n"/>
      <c r="K1206" s="95" t="n"/>
      <c r="L1206" s="116">
        <f>IF($A1206="","",DATE(YEAR($A1206),MONTH($A1206)+IF(AND(IFERROR(N(INDEX(Übersicht!$M$15:$M$22,MATCH($B1206,Übersicht!$A$15:$A$22,0))),0)&gt;1,DAY($A1206)&gt;=IFERROR(N(INDEX(Übersicht!$M$15:$M$22,MATCH($B1206,Übersicht!$A$15:$A$22,0))),0)),1,0),1))</f>
        <v/>
      </c>
    </row>
    <row r="1207">
      <c r="A1207" s="92" t="n"/>
      <c r="B1207" s="55" t="n"/>
      <c r="C1207" s="55" t="n"/>
      <c r="D1207" s="55" t="n"/>
      <c r="E1207" s="93" t="n"/>
      <c r="F1207" s="94" t="n"/>
      <c r="G1207" s="94" t="n"/>
      <c r="H1207" s="94" t="n"/>
      <c r="I1207" s="94" t="n"/>
      <c r="J1207" s="55" t="n"/>
      <c r="K1207" s="95" t="n"/>
      <c r="L1207" s="116">
        <f>IF($A1207="","",DATE(YEAR($A1207),MONTH($A1207)+IF(AND(IFERROR(N(INDEX(Übersicht!$M$15:$M$22,MATCH($B1207,Übersicht!$A$15:$A$22,0))),0)&gt;1,DAY($A1207)&gt;=IFERROR(N(INDEX(Übersicht!$M$15:$M$22,MATCH($B1207,Übersicht!$A$15:$A$22,0))),0)),1,0),1))</f>
        <v/>
      </c>
    </row>
    <row r="1208">
      <c r="A1208" s="92" t="n"/>
      <c r="B1208" s="55" t="n"/>
      <c r="C1208" s="55" t="n"/>
      <c r="D1208" s="55" t="n"/>
      <c r="E1208" s="93" t="n"/>
      <c r="F1208" s="94" t="n"/>
      <c r="G1208" s="94" t="n"/>
      <c r="H1208" s="94" t="n"/>
      <c r="I1208" s="94" t="n"/>
      <c r="J1208" s="55" t="n"/>
      <c r="K1208" s="95" t="n"/>
      <c r="L1208" s="116">
        <f>IF($A1208="","",DATE(YEAR($A1208),MONTH($A1208)+IF(AND(IFERROR(N(INDEX(Übersicht!$M$15:$M$22,MATCH($B1208,Übersicht!$A$15:$A$22,0))),0)&gt;1,DAY($A1208)&gt;=IFERROR(N(INDEX(Übersicht!$M$15:$M$22,MATCH($B1208,Übersicht!$A$15:$A$22,0))),0)),1,0),1))</f>
        <v/>
      </c>
    </row>
    <row r="1209">
      <c r="A1209" s="92" t="n"/>
      <c r="B1209" s="55" t="n"/>
      <c r="C1209" s="55" t="n"/>
      <c r="D1209" s="55" t="n"/>
      <c r="E1209" s="93" t="n"/>
      <c r="F1209" s="94" t="n"/>
      <c r="G1209" s="94" t="n"/>
      <c r="H1209" s="94" t="n"/>
      <c r="I1209" s="94" t="n"/>
      <c r="J1209" s="55" t="n"/>
      <c r="K1209" s="95" t="n"/>
      <c r="L1209" s="116">
        <f>IF($A1209="","",DATE(YEAR($A1209),MONTH($A1209)+IF(AND(IFERROR(N(INDEX(Übersicht!$M$15:$M$22,MATCH($B1209,Übersicht!$A$15:$A$22,0))),0)&gt;1,DAY($A1209)&gt;=IFERROR(N(INDEX(Übersicht!$M$15:$M$22,MATCH($B1209,Übersicht!$A$15:$A$22,0))),0)),1,0),1))</f>
        <v/>
      </c>
    </row>
    <row r="1210">
      <c r="A1210" s="92" t="n"/>
      <c r="B1210" s="55" t="n"/>
      <c r="C1210" s="55" t="n"/>
      <c r="D1210" s="55" t="n"/>
      <c r="E1210" s="93" t="n"/>
      <c r="F1210" s="94" t="n"/>
      <c r="G1210" s="94" t="n"/>
      <c r="H1210" s="94" t="n"/>
      <c r="I1210" s="94" t="n"/>
      <c r="J1210" s="55" t="n"/>
      <c r="K1210" s="95" t="n"/>
      <c r="L1210" s="116">
        <f>IF($A1210="","",DATE(YEAR($A1210),MONTH($A1210)+IF(AND(IFERROR(N(INDEX(Übersicht!$M$15:$M$22,MATCH($B1210,Übersicht!$A$15:$A$22,0))),0)&gt;1,DAY($A1210)&gt;=IFERROR(N(INDEX(Übersicht!$M$15:$M$22,MATCH($B1210,Übersicht!$A$15:$A$22,0))),0)),1,0),1))</f>
        <v/>
      </c>
    </row>
    <row r="1211">
      <c r="A1211" s="92" t="n"/>
      <c r="B1211" s="55" t="n"/>
      <c r="C1211" s="55" t="n"/>
      <c r="D1211" s="55" t="n"/>
      <c r="E1211" s="93" t="n"/>
      <c r="F1211" s="94" t="n"/>
      <c r="G1211" s="94" t="n"/>
      <c r="H1211" s="94" t="n"/>
      <c r="I1211" s="94" t="n"/>
      <c r="J1211" s="55" t="n"/>
      <c r="K1211" s="95" t="n"/>
      <c r="L1211" s="116">
        <f>IF($A1211="","",DATE(YEAR($A1211),MONTH($A1211)+IF(AND(IFERROR(N(INDEX(Übersicht!$M$15:$M$22,MATCH($B1211,Übersicht!$A$15:$A$22,0))),0)&gt;1,DAY($A1211)&gt;=IFERROR(N(INDEX(Übersicht!$M$15:$M$22,MATCH($B1211,Übersicht!$A$15:$A$22,0))),0)),1,0),1))</f>
        <v/>
      </c>
    </row>
    <row r="1212">
      <c r="A1212" s="92" t="n"/>
      <c r="B1212" s="55" t="n"/>
      <c r="C1212" s="55" t="n"/>
      <c r="D1212" s="55" t="n"/>
      <c r="E1212" s="93" t="n"/>
      <c r="F1212" s="94" t="n"/>
      <c r="G1212" s="94" t="n"/>
      <c r="H1212" s="94" t="n"/>
      <c r="I1212" s="94" t="n"/>
      <c r="J1212" s="55" t="n"/>
      <c r="K1212" s="95" t="n"/>
      <c r="L1212" s="116">
        <f>IF($A1212="","",DATE(YEAR($A1212),MONTH($A1212)+IF(AND(IFERROR(N(INDEX(Übersicht!$M$15:$M$22,MATCH($B1212,Übersicht!$A$15:$A$22,0))),0)&gt;1,DAY($A1212)&gt;=IFERROR(N(INDEX(Übersicht!$M$15:$M$22,MATCH($B1212,Übersicht!$A$15:$A$22,0))),0)),1,0),1))</f>
        <v/>
      </c>
    </row>
    <row r="1213">
      <c r="A1213" s="92" t="n"/>
      <c r="B1213" s="55" t="n"/>
      <c r="C1213" s="55" t="n"/>
      <c r="D1213" s="55" t="n"/>
      <c r="E1213" s="93" t="n"/>
      <c r="F1213" s="94" t="n"/>
      <c r="G1213" s="94" t="n"/>
      <c r="H1213" s="94" t="n"/>
      <c r="I1213" s="94" t="n"/>
      <c r="J1213" s="55" t="n"/>
      <c r="K1213" s="95" t="n"/>
      <c r="L1213" s="116">
        <f>IF($A1213="","",DATE(YEAR($A1213),MONTH($A1213)+IF(AND(IFERROR(N(INDEX(Übersicht!$M$15:$M$22,MATCH($B1213,Übersicht!$A$15:$A$22,0))),0)&gt;1,DAY($A1213)&gt;=IFERROR(N(INDEX(Übersicht!$M$15:$M$22,MATCH($B1213,Übersicht!$A$15:$A$22,0))),0)),1,0),1))</f>
        <v/>
      </c>
    </row>
    <row r="1214">
      <c r="A1214" s="92" t="n"/>
      <c r="B1214" s="55" t="n"/>
      <c r="C1214" s="55" t="n"/>
      <c r="D1214" s="55" t="n"/>
      <c r="E1214" s="93" t="n"/>
      <c r="F1214" s="94" t="n"/>
      <c r="G1214" s="94" t="n"/>
      <c r="H1214" s="94" t="n"/>
      <c r="I1214" s="94" t="n"/>
      <c r="J1214" s="55" t="n"/>
      <c r="K1214" s="95" t="n"/>
      <c r="L1214" s="116">
        <f>IF($A1214="","",DATE(YEAR($A1214),MONTH($A1214)+IF(AND(IFERROR(N(INDEX(Übersicht!$M$15:$M$22,MATCH($B1214,Übersicht!$A$15:$A$22,0))),0)&gt;1,DAY($A1214)&gt;=IFERROR(N(INDEX(Übersicht!$M$15:$M$22,MATCH($B1214,Übersicht!$A$15:$A$22,0))),0)),1,0),1))</f>
        <v/>
      </c>
    </row>
    <row r="1215">
      <c r="A1215" s="92" t="n"/>
      <c r="B1215" s="55" t="n"/>
      <c r="C1215" s="55" t="n"/>
      <c r="D1215" s="55" t="n"/>
      <c r="E1215" s="93" t="n"/>
      <c r="F1215" s="94" t="n"/>
      <c r="G1215" s="94" t="n"/>
      <c r="H1215" s="94" t="n"/>
      <c r="I1215" s="94" t="n"/>
      <c r="J1215" s="55" t="n"/>
      <c r="K1215" s="95" t="n"/>
      <c r="L1215" s="116">
        <f>IF($A1215="","",DATE(YEAR($A1215),MONTH($A1215)+IF(AND(IFERROR(N(INDEX(Übersicht!$M$15:$M$22,MATCH($B1215,Übersicht!$A$15:$A$22,0))),0)&gt;1,DAY($A1215)&gt;=IFERROR(N(INDEX(Übersicht!$M$15:$M$22,MATCH($B1215,Übersicht!$A$15:$A$22,0))),0)),1,0),1))</f>
        <v/>
      </c>
    </row>
    <row r="1216">
      <c r="A1216" s="92" t="n"/>
      <c r="B1216" s="55" t="n"/>
      <c r="C1216" s="55" t="n"/>
      <c r="D1216" s="55" t="n"/>
      <c r="E1216" s="93" t="n"/>
      <c r="F1216" s="94" t="n"/>
      <c r="G1216" s="94" t="n"/>
      <c r="H1216" s="94" t="n"/>
      <c r="I1216" s="94" t="n"/>
      <c r="J1216" s="55" t="n"/>
      <c r="K1216" s="95" t="n"/>
      <c r="L1216" s="116">
        <f>IF($A1216="","",DATE(YEAR($A1216),MONTH($A1216)+IF(AND(IFERROR(N(INDEX(Übersicht!$M$15:$M$22,MATCH($B1216,Übersicht!$A$15:$A$22,0))),0)&gt;1,DAY($A1216)&gt;=IFERROR(N(INDEX(Übersicht!$M$15:$M$22,MATCH($B1216,Übersicht!$A$15:$A$22,0))),0)),1,0),1))</f>
        <v/>
      </c>
    </row>
    <row r="1217">
      <c r="A1217" s="92" t="n"/>
      <c r="B1217" s="55" t="n"/>
      <c r="C1217" s="55" t="n"/>
      <c r="D1217" s="55" t="n"/>
      <c r="E1217" s="93" t="n"/>
      <c r="F1217" s="94" t="n"/>
      <c r="G1217" s="94" t="n"/>
      <c r="H1217" s="94" t="n"/>
      <c r="I1217" s="94" t="n"/>
      <c r="J1217" s="55" t="n"/>
      <c r="K1217" s="95" t="n"/>
      <c r="L1217" s="116">
        <f>IF($A1217="","",DATE(YEAR($A1217),MONTH($A1217)+IF(AND(IFERROR(N(INDEX(Übersicht!$M$15:$M$22,MATCH($B1217,Übersicht!$A$15:$A$22,0))),0)&gt;1,DAY($A1217)&gt;=IFERROR(N(INDEX(Übersicht!$M$15:$M$22,MATCH($B1217,Übersicht!$A$15:$A$22,0))),0)),1,0),1))</f>
        <v/>
      </c>
    </row>
    <row r="1218">
      <c r="A1218" s="92" t="n"/>
      <c r="B1218" s="55" t="n"/>
      <c r="C1218" s="55" t="n"/>
      <c r="D1218" s="55" t="n"/>
      <c r="E1218" s="93" t="n"/>
      <c r="F1218" s="94" t="n"/>
      <c r="G1218" s="94" t="n"/>
      <c r="H1218" s="94" t="n"/>
      <c r="I1218" s="94" t="n"/>
      <c r="J1218" s="55" t="n"/>
      <c r="K1218" s="95" t="n"/>
      <c r="L1218" s="116">
        <f>IF($A1218="","",DATE(YEAR($A1218),MONTH($A1218)+IF(AND(IFERROR(N(INDEX(Übersicht!$M$15:$M$22,MATCH($B1218,Übersicht!$A$15:$A$22,0))),0)&gt;1,DAY($A1218)&gt;=IFERROR(N(INDEX(Übersicht!$M$15:$M$22,MATCH($B1218,Übersicht!$A$15:$A$22,0))),0)),1,0),1))</f>
        <v/>
      </c>
    </row>
    <row r="1219">
      <c r="A1219" s="92" t="n"/>
      <c r="B1219" s="55" t="n"/>
      <c r="C1219" s="55" t="n"/>
      <c r="D1219" s="55" t="n"/>
      <c r="E1219" s="93" t="n"/>
      <c r="F1219" s="94" t="n"/>
      <c r="G1219" s="94" t="n"/>
      <c r="H1219" s="94" t="n"/>
      <c r="I1219" s="94" t="n"/>
      <c r="J1219" s="55" t="n"/>
      <c r="K1219" s="95" t="n"/>
      <c r="L1219" s="116">
        <f>IF($A1219="","",DATE(YEAR($A1219),MONTH($A1219)+IF(AND(IFERROR(N(INDEX(Übersicht!$M$15:$M$22,MATCH($B1219,Übersicht!$A$15:$A$22,0))),0)&gt;1,DAY($A1219)&gt;=IFERROR(N(INDEX(Übersicht!$M$15:$M$22,MATCH($B1219,Übersicht!$A$15:$A$22,0))),0)),1,0),1))</f>
        <v/>
      </c>
    </row>
    <row r="1220">
      <c r="A1220" s="92" t="n"/>
      <c r="B1220" s="55" t="n"/>
      <c r="C1220" s="55" t="n"/>
      <c r="D1220" s="55" t="n"/>
      <c r="E1220" s="93" t="n"/>
      <c r="F1220" s="94" t="n"/>
      <c r="G1220" s="94" t="n"/>
      <c r="H1220" s="94" t="n"/>
      <c r="I1220" s="94" t="n"/>
      <c r="J1220" s="55" t="n"/>
      <c r="K1220" s="95" t="n"/>
      <c r="L1220" s="116">
        <f>IF($A1220="","",DATE(YEAR($A1220),MONTH($A1220)+IF(AND(IFERROR(N(INDEX(Übersicht!$M$15:$M$22,MATCH($B1220,Übersicht!$A$15:$A$22,0))),0)&gt;1,DAY($A1220)&gt;=IFERROR(N(INDEX(Übersicht!$M$15:$M$22,MATCH($B1220,Übersicht!$A$15:$A$22,0))),0)),1,0),1))</f>
        <v/>
      </c>
    </row>
    <row r="1221">
      <c r="A1221" s="92" t="n"/>
      <c r="B1221" s="55" t="n"/>
      <c r="C1221" s="55" t="n"/>
      <c r="D1221" s="55" t="n"/>
      <c r="E1221" s="93" t="n"/>
      <c r="F1221" s="94" t="n"/>
      <c r="G1221" s="94" t="n"/>
      <c r="H1221" s="94" t="n"/>
      <c r="I1221" s="94" t="n"/>
      <c r="J1221" s="55" t="n"/>
      <c r="K1221" s="95" t="n"/>
      <c r="L1221" s="116">
        <f>IF($A1221="","",DATE(YEAR($A1221),MONTH($A1221)+IF(AND(IFERROR(N(INDEX(Übersicht!$M$15:$M$22,MATCH($B1221,Übersicht!$A$15:$A$22,0))),0)&gt;1,DAY($A1221)&gt;=IFERROR(N(INDEX(Übersicht!$M$15:$M$22,MATCH($B1221,Übersicht!$A$15:$A$22,0))),0)),1,0),1))</f>
        <v/>
      </c>
    </row>
    <row r="1222">
      <c r="A1222" s="92" t="n"/>
      <c r="B1222" s="55" t="n"/>
      <c r="C1222" s="55" t="n"/>
      <c r="D1222" s="55" t="n"/>
      <c r="E1222" s="93" t="n"/>
      <c r="F1222" s="94" t="n"/>
      <c r="G1222" s="94" t="n"/>
      <c r="H1222" s="94" t="n"/>
      <c r="I1222" s="94" t="n"/>
      <c r="J1222" s="55" t="n"/>
      <c r="K1222" s="95" t="n"/>
      <c r="L1222" s="116">
        <f>IF($A1222="","",DATE(YEAR($A1222),MONTH($A1222)+IF(AND(IFERROR(N(INDEX(Übersicht!$M$15:$M$22,MATCH($B1222,Übersicht!$A$15:$A$22,0))),0)&gt;1,DAY($A1222)&gt;=IFERROR(N(INDEX(Übersicht!$M$15:$M$22,MATCH($B1222,Übersicht!$A$15:$A$22,0))),0)),1,0),1))</f>
        <v/>
      </c>
    </row>
    <row r="1223">
      <c r="A1223" s="92" t="n"/>
      <c r="B1223" s="55" t="n"/>
      <c r="C1223" s="55" t="n"/>
      <c r="D1223" s="55" t="n"/>
      <c r="E1223" s="93" t="n"/>
      <c r="F1223" s="94" t="n"/>
      <c r="G1223" s="94" t="n"/>
      <c r="H1223" s="94" t="n"/>
      <c r="I1223" s="94" t="n"/>
      <c r="J1223" s="55" t="n"/>
      <c r="K1223" s="95" t="n"/>
      <c r="L1223" s="116">
        <f>IF($A1223="","",DATE(YEAR($A1223),MONTH($A1223)+IF(AND(IFERROR(N(INDEX(Übersicht!$M$15:$M$22,MATCH($B1223,Übersicht!$A$15:$A$22,0))),0)&gt;1,DAY($A1223)&gt;=IFERROR(N(INDEX(Übersicht!$M$15:$M$22,MATCH($B1223,Übersicht!$A$15:$A$22,0))),0)),1,0),1))</f>
        <v/>
      </c>
    </row>
    <row r="1224">
      <c r="A1224" s="92" t="n"/>
      <c r="B1224" s="55" t="n"/>
      <c r="C1224" s="55" t="n"/>
      <c r="D1224" s="55" t="n"/>
      <c r="E1224" s="93" t="n"/>
      <c r="F1224" s="94" t="n"/>
      <c r="G1224" s="94" t="n"/>
      <c r="H1224" s="94" t="n"/>
      <c r="I1224" s="94" t="n"/>
      <c r="J1224" s="55" t="n"/>
      <c r="K1224" s="95" t="n"/>
      <c r="L1224" s="116">
        <f>IF($A1224="","",DATE(YEAR($A1224),MONTH($A1224)+IF(AND(IFERROR(N(INDEX(Übersicht!$M$15:$M$22,MATCH($B1224,Übersicht!$A$15:$A$22,0))),0)&gt;1,DAY($A1224)&gt;=IFERROR(N(INDEX(Übersicht!$M$15:$M$22,MATCH($B1224,Übersicht!$A$15:$A$22,0))),0)),1,0),1))</f>
        <v/>
      </c>
    </row>
    <row r="1225">
      <c r="A1225" s="92" t="n"/>
      <c r="B1225" s="55" t="n"/>
      <c r="C1225" s="55" t="n"/>
      <c r="D1225" s="55" t="n"/>
      <c r="E1225" s="93" t="n"/>
      <c r="F1225" s="94" t="n"/>
      <c r="G1225" s="94" t="n"/>
      <c r="H1225" s="94" t="n"/>
      <c r="I1225" s="94" t="n"/>
      <c r="J1225" s="55" t="n"/>
      <c r="K1225" s="95" t="n"/>
      <c r="L1225" s="116">
        <f>IF($A1225="","",DATE(YEAR($A1225),MONTH($A1225)+IF(AND(IFERROR(N(INDEX(Übersicht!$M$15:$M$22,MATCH($B1225,Übersicht!$A$15:$A$22,0))),0)&gt;1,DAY($A1225)&gt;=IFERROR(N(INDEX(Übersicht!$M$15:$M$22,MATCH($B1225,Übersicht!$A$15:$A$22,0))),0)),1,0),1))</f>
        <v/>
      </c>
    </row>
    <row r="1226">
      <c r="A1226" s="92" t="n"/>
      <c r="B1226" s="55" t="n"/>
      <c r="C1226" s="55" t="n"/>
      <c r="D1226" s="55" t="n"/>
      <c r="E1226" s="93" t="n"/>
      <c r="F1226" s="94" t="n"/>
      <c r="G1226" s="94" t="n"/>
      <c r="H1226" s="94" t="n"/>
      <c r="I1226" s="94" t="n"/>
      <c r="J1226" s="55" t="n"/>
      <c r="K1226" s="95" t="n"/>
      <c r="L1226" s="116">
        <f>IF($A1226="","",DATE(YEAR($A1226),MONTH($A1226)+IF(AND(IFERROR(N(INDEX(Übersicht!$M$15:$M$22,MATCH($B1226,Übersicht!$A$15:$A$22,0))),0)&gt;1,DAY($A1226)&gt;=IFERROR(N(INDEX(Übersicht!$M$15:$M$22,MATCH($B1226,Übersicht!$A$15:$A$22,0))),0)),1,0),1))</f>
        <v/>
      </c>
    </row>
    <row r="1227">
      <c r="A1227" s="92" t="n"/>
      <c r="B1227" s="55" t="n"/>
      <c r="C1227" s="55" t="n"/>
      <c r="D1227" s="55" t="n"/>
      <c r="E1227" s="93" t="n"/>
      <c r="F1227" s="94" t="n"/>
      <c r="G1227" s="94" t="n"/>
      <c r="H1227" s="94" t="n"/>
      <c r="I1227" s="94" t="n"/>
      <c r="J1227" s="55" t="n"/>
      <c r="K1227" s="95" t="n"/>
      <c r="L1227" s="116">
        <f>IF($A1227="","",DATE(YEAR($A1227),MONTH($A1227)+IF(AND(IFERROR(N(INDEX(Übersicht!$M$15:$M$22,MATCH($B1227,Übersicht!$A$15:$A$22,0))),0)&gt;1,DAY($A1227)&gt;=IFERROR(N(INDEX(Übersicht!$M$15:$M$22,MATCH($B1227,Übersicht!$A$15:$A$22,0))),0)),1,0),1))</f>
        <v/>
      </c>
    </row>
    <row r="1228">
      <c r="A1228" s="92" t="n"/>
      <c r="B1228" s="55" t="n"/>
      <c r="C1228" s="55" t="n"/>
      <c r="D1228" s="55" t="n"/>
      <c r="E1228" s="93" t="n"/>
      <c r="F1228" s="94" t="n"/>
      <c r="G1228" s="94" t="n"/>
      <c r="H1228" s="94" t="n"/>
      <c r="I1228" s="94" t="n"/>
      <c r="J1228" s="55" t="n"/>
      <c r="K1228" s="95" t="n"/>
      <c r="L1228" s="116">
        <f>IF($A1228="","",DATE(YEAR($A1228),MONTH($A1228)+IF(AND(IFERROR(N(INDEX(Übersicht!$M$15:$M$22,MATCH($B1228,Übersicht!$A$15:$A$22,0))),0)&gt;1,DAY($A1228)&gt;=IFERROR(N(INDEX(Übersicht!$M$15:$M$22,MATCH($B1228,Übersicht!$A$15:$A$22,0))),0)),1,0),1))</f>
        <v/>
      </c>
    </row>
    <row r="1229">
      <c r="A1229" s="92" t="n"/>
      <c r="B1229" s="55" t="n"/>
      <c r="C1229" s="55" t="n"/>
      <c r="D1229" s="55" t="n"/>
      <c r="E1229" s="93" t="n"/>
      <c r="F1229" s="94" t="n"/>
      <c r="G1229" s="94" t="n"/>
      <c r="H1229" s="94" t="n"/>
      <c r="I1229" s="94" t="n"/>
      <c r="J1229" s="55" t="n"/>
      <c r="K1229" s="95" t="n"/>
      <c r="L1229" s="116">
        <f>IF($A1229="","",DATE(YEAR($A1229),MONTH($A1229)+IF(AND(IFERROR(N(INDEX(Übersicht!$M$15:$M$22,MATCH($B1229,Übersicht!$A$15:$A$22,0))),0)&gt;1,DAY($A1229)&gt;=IFERROR(N(INDEX(Übersicht!$M$15:$M$22,MATCH($B1229,Übersicht!$A$15:$A$22,0))),0)),1,0),1))</f>
        <v/>
      </c>
    </row>
    <row r="1230">
      <c r="A1230" s="92" t="n"/>
      <c r="B1230" s="55" t="n"/>
      <c r="C1230" s="55" t="n"/>
      <c r="D1230" s="55" t="n"/>
      <c r="E1230" s="93" t="n"/>
      <c r="F1230" s="94" t="n"/>
      <c r="G1230" s="94" t="n"/>
      <c r="H1230" s="94" t="n"/>
      <c r="I1230" s="94" t="n"/>
      <c r="J1230" s="55" t="n"/>
      <c r="K1230" s="95" t="n"/>
      <c r="L1230" s="116">
        <f>IF($A1230="","",DATE(YEAR($A1230),MONTH($A1230)+IF(AND(IFERROR(N(INDEX(Übersicht!$M$15:$M$22,MATCH($B1230,Übersicht!$A$15:$A$22,0))),0)&gt;1,DAY($A1230)&gt;=IFERROR(N(INDEX(Übersicht!$M$15:$M$22,MATCH($B1230,Übersicht!$A$15:$A$22,0))),0)),1,0),1))</f>
        <v/>
      </c>
    </row>
    <row r="1231">
      <c r="A1231" s="92" t="n"/>
      <c r="B1231" s="55" t="n"/>
      <c r="C1231" s="55" t="n"/>
      <c r="D1231" s="55" t="n"/>
      <c r="E1231" s="93" t="n"/>
      <c r="F1231" s="94" t="n"/>
      <c r="G1231" s="94" t="n"/>
      <c r="H1231" s="94" t="n"/>
      <c r="I1231" s="94" t="n"/>
      <c r="J1231" s="55" t="n"/>
      <c r="K1231" s="95" t="n"/>
      <c r="L1231" s="116">
        <f>IF($A1231="","",DATE(YEAR($A1231),MONTH($A1231)+IF(AND(IFERROR(N(INDEX(Übersicht!$M$15:$M$22,MATCH($B1231,Übersicht!$A$15:$A$22,0))),0)&gt;1,DAY($A1231)&gt;=IFERROR(N(INDEX(Übersicht!$M$15:$M$22,MATCH($B1231,Übersicht!$A$15:$A$22,0))),0)),1,0),1))</f>
        <v/>
      </c>
    </row>
    <row r="1232">
      <c r="A1232" s="92" t="n"/>
      <c r="B1232" s="55" t="n"/>
      <c r="C1232" s="55" t="n"/>
      <c r="D1232" s="55" t="n"/>
      <c r="E1232" s="93" t="n"/>
      <c r="F1232" s="94" t="n"/>
      <c r="G1232" s="94" t="n"/>
      <c r="H1232" s="94" t="n"/>
      <c r="I1232" s="94" t="n"/>
      <c r="J1232" s="55" t="n"/>
      <c r="K1232" s="95" t="n"/>
      <c r="L1232" s="116">
        <f>IF($A1232="","",DATE(YEAR($A1232),MONTH($A1232)+IF(AND(IFERROR(N(INDEX(Übersicht!$M$15:$M$22,MATCH($B1232,Übersicht!$A$15:$A$22,0))),0)&gt;1,DAY($A1232)&gt;=IFERROR(N(INDEX(Übersicht!$M$15:$M$22,MATCH($B1232,Übersicht!$A$15:$A$22,0))),0)),1,0),1))</f>
        <v/>
      </c>
    </row>
    <row r="1233">
      <c r="A1233" s="92" t="n"/>
      <c r="B1233" s="55" t="n"/>
      <c r="C1233" s="55" t="n"/>
      <c r="D1233" s="55" t="n"/>
      <c r="E1233" s="93" t="n"/>
      <c r="F1233" s="94" t="n"/>
      <c r="G1233" s="94" t="n"/>
      <c r="H1233" s="94" t="n"/>
      <c r="I1233" s="94" t="n"/>
      <c r="J1233" s="55" t="n"/>
      <c r="K1233" s="95" t="n"/>
      <c r="L1233" s="116">
        <f>IF($A1233="","",DATE(YEAR($A1233),MONTH($A1233)+IF(AND(IFERROR(N(INDEX(Übersicht!$M$15:$M$22,MATCH($B1233,Übersicht!$A$15:$A$22,0))),0)&gt;1,DAY($A1233)&gt;=IFERROR(N(INDEX(Übersicht!$M$15:$M$22,MATCH($B1233,Übersicht!$A$15:$A$22,0))),0)),1,0),1))</f>
        <v/>
      </c>
    </row>
    <row r="1234">
      <c r="A1234" s="92" t="n"/>
      <c r="B1234" s="55" t="n"/>
      <c r="C1234" s="55" t="n"/>
      <c r="D1234" s="55" t="n"/>
      <c r="E1234" s="93" t="n"/>
      <c r="F1234" s="94" t="n"/>
      <c r="G1234" s="94" t="n"/>
      <c r="H1234" s="94" t="n"/>
      <c r="I1234" s="94" t="n"/>
      <c r="J1234" s="55" t="n"/>
      <c r="K1234" s="95" t="n"/>
      <c r="L1234" s="116">
        <f>IF($A1234="","",DATE(YEAR($A1234),MONTH($A1234)+IF(AND(IFERROR(N(INDEX(Übersicht!$M$15:$M$22,MATCH($B1234,Übersicht!$A$15:$A$22,0))),0)&gt;1,DAY($A1234)&gt;=IFERROR(N(INDEX(Übersicht!$M$15:$M$22,MATCH($B1234,Übersicht!$A$15:$A$22,0))),0)),1,0),1))</f>
        <v/>
      </c>
    </row>
    <row r="1235">
      <c r="A1235" s="92" t="n"/>
      <c r="B1235" s="55" t="n"/>
      <c r="C1235" s="55" t="n"/>
      <c r="D1235" s="55" t="n"/>
      <c r="E1235" s="93" t="n"/>
      <c r="F1235" s="94" t="n"/>
      <c r="G1235" s="94" t="n"/>
      <c r="H1235" s="94" t="n"/>
      <c r="I1235" s="94" t="n"/>
      <c r="J1235" s="55" t="n"/>
      <c r="K1235" s="95" t="n"/>
      <c r="L1235" s="116">
        <f>IF($A1235="","",DATE(YEAR($A1235),MONTH($A1235)+IF(AND(IFERROR(N(INDEX(Übersicht!$M$15:$M$22,MATCH($B1235,Übersicht!$A$15:$A$22,0))),0)&gt;1,DAY($A1235)&gt;=IFERROR(N(INDEX(Übersicht!$M$15:$M$22,MATCH($B1235,Übersicht!$A$15:$A$22,0))),0)),1,0),1))</f>
        <v/>
      </c>
    </row>
    <row r="1236">
      <c r="A1236" s="92" t="n"/>
      <c r="B1236" s="55" t="n"/>
      <c r="C1236" s="55" t="n"/>
      <c r="D1236" s="55" t="n"/>
      <c r="E1236" s="93" t="n"/>
      <c r="F1236" s="94" t="n"/>
      <c r="G1236" s="94" t="n"/>
      <c r="H1236" s="94" t="n"/>
      <c r="I1236" s="94" t="n"/>
      <c r="J1236" s="55" t="n"/>
      <c r="K1236" s="95" t="n"/>
      <c r="L1236" s="116">
        <f>IF($A1236="","",DATE(YEAR($A1236),MONTH($A1236)+IF(AND(IFERROR(N(INDEX(Übersicht!$M$15:$M$22,MATCH($B1236,Übersicht!$A$15:$A$22,0))),0)&gt;1,DAY($A1236)&gt;=IFERROR(N(INDEX(Übersicht!$M$15:$M$22,MATCH($B1236,Übersicht!$A$15:$A$22,0))),0)),1,0),1))</f>
        <v/>
      </c>
    </row>
    <row r="1237">
      <c r="A1237" s="92" t="n"/>
      <c r="B1237" s="55" t="n"/>
      <c r="C1237" s="55" t="n"/>
      <c r="D1237" s="55" t="n"/>
      <c r="E1237" s="93" t="n"/>
      <c r="F1237" s="94" t="n"/>
      <c r="G1237" s="94" t="n"/>
      <c r="H1237" s="94" t="n"/>
      <c r="I1237" s="94" t="n"/>
      <c r="J1237" s="55" t="n"/>
      <c r="K1237" s="95" t="n"/>
      <c r="L1237" s="116">
        <f>IF($A1237="","",DATE(YEAR($A1237),MONTH($A1237)+IF(AND(IFERROR(N(INDEX(Übersicht!$M$15:$M$22,MATCH($B1237,Übersicht!$A$15:$A$22,0))),0)&gt;1,DAY($A1237)&gt;=IFERROR(N(INDEX(Übersicht!$M$15:$M$22,MATCH($B1237,Übersicht!$A$15:$A$22,0))),0)),1,0),1))</f>
        <v/>
      </c>
    </row>
    <row r="1238">
      <c r="A1238" s="92" t="n"/>
      <c r="B1238" s="55" t="n"/>
      <c r="C1238" s="55" t="n"/>
      <c r="D1238" s="55" t="n"/>
      <c r="E1238" s="93" t="n"/>
      <c r="F1238" s="94" t="n"/>
      <c r="G1238" s="94" t="n"/>
      <c r="H1238" s="94" t="n"/>
      <c r="I1238" s="94" t="n"/>
      <c r="J1238" s="55" t="n"/>
      <c r="K1238" s="95" t="n"/>
      <c r="L1238" s="116">
        <f>IF($A1238="","",DATE(YEAR($A1238),MONTH($A1238)+IF(AND(IFERROR(N(INDEX(Übersicht!$M$15:$M$22,MATCH($B1238,Übersicht!$A$15:$A$22,0))),0)&gt;1,DAY($A1238)&gt;=IFERROR(N(INDEX(Übersicht!$M$15:$M$22,MATCH($B1238,Übersicht!$A$15:$A$22,0))),0)),1,0),1))</f>
        <v/>
      </c>
    </row>
    <row r="1239">
      <c r="A1239" s="92" t="n"/>
      <c r="B1239" s="55" t="n"/>
      <c r="C1239" s="55" t="n"/>
      <c r="D1239" s="55" t="n"/>
      <c r="E1239" s="93" t="n"/>
      <c r="F1239" s="94" t="n"/>
      <c r="G1239" s="94" t="n"/>
      <c r="H1239" s="94" t="n"/>
      <c r="I1239" s="94" t="n"/>
      <c r="J1239" s="55" t="n"/>
      <c r="K1239" s="95" t="n"/>
      <c r="L1239" s="116">
        <f>IF($A1239="","",DATE(YEAR($A1239),MONTH($A1239)+IF(AND(IFERROR(N(INDEX(Übersicht!$M$15:$M$22,MATCH($B1239,Übersicht!$A$15:$A$22,0))),0)&gt;1,DAY($A1239)&gt;=IFERROR(N(INDEX(Übersicht!$M$15:$M$22,MATCH($B1239,Übersicht!$A$15:$A$22,0))),0)),1,0),1))</f>
        <v/>
      </c>
    </row>
    <row r="1240">
      <c r="A1240" s="92" t="n"/>
      <c r="B1240" s="55" t="n"/>
      <c r="C1240" s="55" t="n"/>
      <c r="D1240" s="55" t="n"/>
      <c r="E1240" s="93" t="n"/>
      <c r="F1240" s="94" t="n"/>
      <c r="G1240" s="94" t="n"/>
      <c r="H1240" s="94" t="n"/>
      <c r="I1240" s="94" t="n"/>
      <c r="J1240" s="55" t="n"/>
      <c r="K1240" s="95" t="n"/>
      <c r="L1240" s="116">
        <f>IF($A1240="","",DATE(YEAR($A1240),MONTH($A1240)+IF(AND(IFERROR(N(INDEX(Übersicht!$M$15:$M$22,MATCH($B1240,Übersicht!$A$15:$A$22,0))),0)&gt;1,DAY($A1240)&gt;=IFERROR(N(INDEX(Übersicht!$M$15:$M$22,MATCH($B1240,Übersicht!$A$15:$A$22,0))),0)),1,0),1))</f>
        <v/>
      </c>
    </row>
    <row r="1241">
      <c r="A1241" s="92" t="n"/>
      <c r="B1241" s="55" t="n"/>
      <c r="C1241" s="55" t="n"/>
      <c r="D1241" s="55" t="n"/>
      <c r="E1241" s="93" t="n"/>
      <c r="F1241" s="94" t="n"/>
      <c r="G1241" s="94" t="n"/>
      <c r="H1241" s="94" t="n"/>
      <c r="I1241" s="94" t="n"/>
      <c r="J1241" s="55" t="n"/>
      <c r="K1241" s="95" t="n"/>
      <c r="L1241" s="116">
        <f>IF($A1241="","",DATE(YEAR($A1241),MONTH($A1241)+IF(AND(IFERROR(N(INDEX(Übersicht!$M$15:$M$22,MATCH($B1241,Übersicht!$A$15:$A$22,0))),0)&gt;1,DAY($A1241)&gt;=IFERROR(N(INDEX(Übersicht!$M$15:$M$22,MATCH($B1241,Übersicht!$A$15:$A$22,0))),0)),1,0),1))</f>
        <v/>
      </c>
    </row>
    <row r="1242">
      <c r="A1242" s="92" t="n"/>
      <c r="B1242" s="55" t="n"/>
      <c r="C1242" s="55" t="n"/>
      <c r="D1242" s="55" t="n"/>
      <c r="E1242" s="93" t="n"/>
      <c r="F1242" s="94" t="n"/>
      <c r="G1242" s="94" t="n"/>
      <c r="H1242" s="94" t="n"/>
      <c r="I1242" s="94" t="n"/>
      <c r="J1242" s="55" t="n"/>
      <c r="K1242" s="95" t="n"/>
      <c r="L1242" s="116">
        <f>IF($A1242="","",DATE(YEAR($A1242),MONTH($A1242)+IF(AND(IFERROR(N(INDEX(Übersicht!$M$15:$M$22,MATCH($B1242,Übersicht!$A$15:$A$22,0))),0)&gt;1,DAY($A1242)&gt;=IFERROR(N(INDEX(Übersicht!$M$15:$M$22,MATCH($B1242,Übersicht!$A$15:$A$22,0))),0)),1,0),1))</f>
        <v/>
      </c>
    </row>
    <row r="1243">
      <c r="A1243" s="92" t="n"/>
      <c r="B1243" s="55" t="n"/>
      <c r="C1243" s="55" t="n"/>
      <c r="D1243" s="55" t="n"/>
      <c r="E1243" s="93" t="n"/>
      <c r="F1243" s="94" t="n"/>
      <c r="G1243" s="94" t="n"/>
      <c r="H1243" s="94" t="n"/>
      <c r="I1243" s="94" t="n"/>
      <c r="J1243" s="55" t="n"/>
      <c r="K1243" s="95" t="n"/>
      <c r="L1243" s="116">
        <f>IF($A1243="","",DATE(YEAR($A1243),MONTH($A1243)+IF(AND(IFERROR(N(INDEX(Übersicht!$M$15:$M$22,MATCH($B1243,Übersicht!$A$15:$A$22,0))),0)&gt;1,DAY($A1243)&gt;=IFERROR(N(INDEX(Übersicht!$M$15:$M$22,MATCH($B1243,Übersicht!$A$15:$A$22,0))),0)),1,0),1))</f>
        <v/>
      </c>
    </row>
    <row r="1244">
      <c r="A1244" s="92" t="n"/>
      <c r="B1244" s="55" t="n"/>
      <c r="C1244" s="55" t="n"/>
      <c r="D1244" s="55" t="n"/>
      <c r="E1244" s="93" t="n"/>
      <c r="F1244" s="94" t="n"/>
      <c r="G1244" s="94" t="n"/>
      <c r="H1244" s="94" t="n"/>
      <c r="I1244" s="94" t="n"/>
      <c r="J1244" s="55" t="n"/>
      <c r="K1244" s="95" t="n"/>
      <c r="L1244" s="116">
        <f>IF($A1244="","",DATE(YEAR($A1244),MONTH($A1244)+IF(AND(IFERROR(N(INDEX(Übersicht!$M$15:$M$22,MATCH($B1244,Übersicht!$A$15:$A$22,0))),0)&gt;1,DAY($A1244)&gt;=IFERROR(N(INDEX(Übersicht!$M$15:$M$22,MATCH($B1244,Übersicht!$A$15:$A$22,0))),0)),1,0),1))</f>
        <v/>
      </c>
    </row>
    <row r="1245">
      <c r="A1245" s="92" t="n"/>
      <c r="B1245" s="55" t="n"/>
      <c r="C1245" s="55" t="n"/>
      <c r="D1245" s="55" t="n"/>
      <c r="E1245" s="93" t="n"/>
      <c r="F1245" s="94" t="n"/>
      <c r="G1245" s="94" t="n"/>
      <c r="H1245" s="94" t="n"/>
      <c r="I1245" s="94" t="n"/>
      <c r="J1245" s="55" t="n"/>
      <c r="K1245" s="95" t="n"/>
      <c r="L1245" s="116">
        <f>IF($A1245="","",DATE(YEAR($A1245),MONTH($A1245)+IF(AND(IFERROR(N(INDEX(Übersicht!$M$15:$M$22,MATCH($B1245,Übersicht!$A$15:$A$22,0))),0)&gt;1,DAY($A1245)&gt;=IFERROR(N(INDEX(Übersicht!$M$15:$M$22,MATCH($B1245,Übersicht!$A$15:$A$22,0))),0)),1,0),1))</f>
        <v/>
      </c>
    </row>
    <row r="1246">
      <c r="A1246" s="92" t="n"/>
      <c r="B1246" s="55" t="n"/>
      <c r="C1246" s="55" t="n"/>
      <c r="D1246" s="55" t="n"/>
      <c r="E1246" s="93" t="n"/>
      <c r="F1246" s="94" t="n"/>
      <c r="G1246" s="94" t="n"/>
      <c r="H1246" s="94" t="n"/>
      <c r="I1246" s="94" t="n"/>
      <c r="J1246" s="55" t="n"/>
      <c r="K1246" s="95" t="n"/>
      <c r="L1246" s="116">
        <f>IF($A1246="","",DATE(YEAR($A1246),MONTH($A1246)+IF(AND(IFERROR(N(INDEX(Übersicht!$M$15:$M$22,MATCH($B1246,Übersicht!$A$15:$A$22,0))),0)&gt;1,DAY($A1246)&gt;=IFERROR(N(INDEX(Übersicht!$M$15:$M$22,MATCH($B1246,Übersicht!$A$15:$A$22,0))),0)),1,0),1))</f>
        <v/>
      </c>
    </row>
    <row r="1247">
      <c r="A1247" s="92" t="n"/>
      <c r="B1247" s="55" t="n"/>
      <c r="C1247" s="55" t="n"/>
      <c r="D1247" s="55" t="n"/>
      <c r="E1247" s="93" t="n"/>
      <c r="F1247" s="94" t="n"/>
      <c r="G1247" s="94" t="n"/>
      <c r="H1247" s="94" t="n"/>
      <c r="I1247" s="94" t="n"/>
      <c r="J1247" s="55" t="n"/>
      <c r="K1247" s="95" t="n"/>
      <c r="L1247" s="116">
        <f>IF($A1247="","",DATE(YEAR($A1247),MONTH($A1247)+IF(AND(IFERROR(N(INDEX(Übersicht!$M$15:$M$22,MATCH($B1247,Übersicht!$A$15:$A$22,0))),0)&gt;1,DAY($A1247)&gt;=IFERROR(N(INDEX(Übersicht!$M$15:$M$22,MATCH($B1247,Übersicht!$A$15:$A$22,0))),0)),1,0),1))</f>
        <v/>
      </c>
    </row>
    <row r="1248">
      <c r="A1248" s="92" t="n"/>
      <c r="B1248" s="55" t="n"/>
      <c r="C1248" s="55" t="n"/>
      <c r="D1248" s="55" t="n"/>
      <c r="E1248" s="93" t="n"/>
      <c r="F1248" s="94" t="n"/>
      <c r="G1248" s="94" t="n"/>
      <c r="H1248" s="94" t="n"/>
      <c r="I1248" s="94" t="n"/>
      <c r="J1248" s="55" t="n"/>
      <c r="K1248" s="95" t="n"/>
      <c r="L1248" s="116">
        <f>IF($A1248="","",DATE(YEAR($A1248),MONTH($A1248)+IF(AND(IFERROR(N(INDEX(Übersicht!$M$15:$M$22,MATCH($B1248,Übersicht!$A$15:$A$22,0))),0)&gt;1,DAY($A1248)&gt;=IFERROR(N(INDEX(Übersicht!$M$15:$M$22,MATCH($B1248,Übersicht!$A$15:$A$22,0))),0)),1,0),1))</f>
        <v/>
      </c>
    </row>
    <row r="1249">
      <c r="A1249" s="92" t="n"/>
      <c r="B1249" s="55" t="n"/>
      <c r="C1249" s="55" t="n"/>
      <c r="D1249" s="55" t="n"/>
      <c r="E1249" s="93" t="n"/>
      <c r="F1249" s="94" t="n"/>
      <c r="G1249" s="94" t="n"/>
      <c r="H1249" s="94" t="n"/>
      <c r="I1249" s="94" t="n"/>
      <c r="J1249" s="55" t="n"/>
      <c r="K1249" s="95" t="n"/>
      <c r="L1249" s="116">
        <f>IF($A1249="","",DATE(YEAR($A1249),MONTH($A1249)+IF(AND(IFERROR(N(INDEX(Übersicht!$M$15:$M$22,MATCH($B1249,Übersicht!$A$15:$A$22,0))),0)&gt;1,DAY($A1249)&gt;=IFERROR(N(INDEX(Übersicht!$M$15:$M$22,MATCH($B1249,Übersicht!$A$15:$A$22,0))),0)),1,0),1))</f>
        <v/>
      </c>
    </row>
    <row r="1250">
      <c r="A1250" s="92" t="n"/>
      <c r="B1250" s="55" t="n"/>
      <c r="C1250" s="55" t="n"/>
      <c r="D1250" s="55" t="n"/>
      <c r="E1250" s="93" t="n"/>
      <c r="F1250" s="94" t="n"/>
      <c r="G1250" s="94" t="n"/>
      <c r="H1250" s="94" t="n"/>
      <c r="I1250" s="94" t="n"/>
      <c r="J1250" s="55" t="n"/>
      <c r="K1250" s="95" t="n"/>
      <c r="L1250" s="116">
        <f>IF($A1250="","",DATE(YEAR($A1250),MONTH($A1250)+IF(AND(IFERROR(N(INDEX(Übersicht!$M$15:$M$22,MATCH($B1250,Übersicht!$A$15:$A$22,0))),0)&gt;1,DAY($A1250)&gt;=IFERROR(N(INDEX(Übersicht!$M$15:$M$22,MATCH($B1250,Übersicht!$A$15:$A$22,0))),0)),1,0),1))</f>
        <v/>
      </c>
    </row>
    <row r="1251">
      <c r="A1251" s="92" t="n"/>
      <c r="B1251" s="55" t="n"/>
      <c r="C1251" s="55" t="n"/>
      <c r="D1251" s="55" t="n"/>
      <c r="E1251" s="93" t="n"/>
      <c r="F1251" s="94" t="n"/>
      <c r="G1251" s="94" t="n"/>
      <c r="H1251" s="94" t="n"/>
      <c r="I1251" s="94" t="n"/>
      <c r="J1251" s="55" t="n"/>
      <c r="K1251" s="95" t="n"/>
      <c r="L1251" s="116">
        <f>IF($A1251="","",DATE(YEAR($A1251),MONTH($A1251)+IF(AND(IFERROR(N(INDEX(Übersicht!$M$15:$M$22,MATCH($B1251,Übersicht!$A$15:$A$22,0))),0)&gt;1,DAY($A1251)&gt;=IFERROR(N(INDEX(Übersicht!$M$15:$M$22,MATCH($B1251,Übersicht!$A$15:$A$22,0))),0)),1,0),1))</f>
        <v/>
      </c>
    </row>
    <row r="1252">
      <c r="A1252" s="92" t="n"/>
      <c r="B1252" s="55" t="n"/>
      <c r="C1252" s="55" t="n"/>
      <c r="D1252" s="55" t="n"/>
      <c r="E1252" s="93" t="n"/>
      <c r="F1252" s="94" t="n"/>
      <c r="G1252" s="94" t="n"/>
      <c r="H1252" s="94" t="n"/>
      <c r="I1252" s="94" t="n"/>
      <c r="J1252" s="55" t="n"/>
      <c r="K1252" s="95" t="n"/>
      <c r="L1252" s="116">
        <f>IF($A1252="","",DATE(YEAR($A1252),MONTH($A1252)+IF(AND(IFERROR(N(INDEX(Übersicht!$M$15:$M$22,MATCH($B1252,Übersicht!$A$15:$A$22,0))),0)&gt;1,DAY($A1252)&gt;=IFERROR(N(INDEX(Übersicht!$M$15:$M$22,MATCH($B1252,Übersicht!$A$15:$A$22,0))),0)),1,0),1))</f>
        <v/>
      </c>
    </row>
    <row r="1253">
      <c r="A1253" s="92" t="n"/>
      <c r="B1253" s="55" t="n"/>
      <c r="C1253" s="55" t="n"/>
      <c r="D1253" s="55" t="n"/>
      <c r="E1253" s="93" t="n"/>
      <c r="F1253" s="94" t="n"/>
      <c r="G1253" s="94" t="n"/>
      <c r="H1253" s="94" t="n"/>
      <c r="I1253" s="94" t="n"/>
      <c r="J1253" s="55" t="n"/>
      <c r="K1253" s="95" t="n"/>
      <c r="L1253" s="116">
        <f>IF($A1253="","",DATE(YEAR($A1253),MONTH($A1253)+IF(AND(IFERROR(N(INDEX(Übersicht!$M$15:$M$22,MATCH($B1253,Übersicht!$A$15:$A$22,0))),0)&gt;1,DAY($A1253)&gt;=IFERROR(N(INDEX(Übersicht!$M$15:$M$22,MATCH($B1253,Übersicht!$A$15:$A$22,0))),0)),1,0),1))</f>
        <v/>
      </c>
    </row>
    <row r="1254">
      <c r="A1254" s="92" t="n"/>
      <c r="B1254" s="55" t="n"/>
      <c r="C1254" s="55" t="n"/>
      <c r="D1254" s="55" t="n"/>
      <c r="E1254" s="93" t="n"/>
      <c r="F1254" s="94" t="n"/>
      <c r="G1254" s="94" t="n"/>
      <c r="H1254" s="94" t="n"/>
      <c r="I1254" s="94" t="n"/>
      <c r="J1254" s="55" t="n"/>
      <c r="K1254" s="95" t="n"/>
      <c r="L1254" s="116">
        <f>IF($A1254="","",DATE(YEAR($A1254),MONTH($A1254)+IF(AND(IFERROR(N(INDEX(Übersicht!$M$15:$M$22,MATCH($B1254,Übersicht!$A$15:$A$22,0))),0)&gt;1,DAY($A1254)&gt;=IFERROR(N(INDEX(Übersicht!$M$15:$M$22,MATCH($B1254,Übersicht!$A$15:$A$22,0))),0)),1,0),1))</f>
        <v/>
      </c>
    </row>
    <row r="1255">
      <c r="A1255" s="92" t="n"/>
      <c r="B1255" s="55" t="n"/>
      <c r="C1255" s="55" t="n"/>
      <c r="D1255" s="55" t="n"/>
      <c r="E1255" s="93" t="n"/>
      <c r="F1255" s="94" t="n"/>
      <c r="G1255" s="94" t="n"/>
      <c r="H1255" s="94" t="n"/>
      <c r="I1255" s="94" t="n"/>
      <c r="J1255" s="55" t="n"/>
      <c r="K1255" s="95" t="n"/>
      <c r="L1255" s="116">
        <f>IF($A1255="","",DATE(YEAR($A1255),MONTH($A1255)+IF(AND(IFERROR(N(INDEX(Übersicht!$M$15:$M$22,MATCH($B1255,Übersicht!$A$15:$A$22,0))),0)&gt;1,DAY($A1255)&gt;=IFERROR(N(INDEX(Übersicht!$M$15:$M$22,MATCH($B1255,Übersicht!$A$15:$A$22,0))),0)),1,0),1))</f>
        <v/>
      </c>
    </row>
    <row r="1256">
      <c r="A1256" s="92" t="n"/>
      <c r="B1256" s="55" t="n"/>
      <c r="C1256" s="55" t="n"/>
      <c r="D1256" s="55" t="n"/>
      <c r="E1256" s="93" t="n"/>
      <c r="F1256" s="94" t="n"/>
      <c r="G1256" s="94" t="n"/>
      <c r="H1256" s="94" t="n"/>
      <c r="I1256" s="94" t="n"/>
      <c r="J1256" s="55" t="n"/>
      <c r="K1256" s="95" t="n"/>
      <c r="L1256" s="116">
        <f>IF($A1256="","",DATE(YEAR($A1256),MONTH($A1256)+IF(AND(IFERROR(N(INDEX(Übersicht!$M$15:$M$22,MATCH($B1256,Übersicht!$A$15:$A$22,0))),0)&gt;1,DAY($A1256)&gt;=IFERROR(N(INDEX(Übersicht!$M$15:$M$22,MATCH($B1256,Übersicht!$A$15:$A$22,0))),0)),1,0),1))</f>
        <v/>
      </c>
    </row>
    <row r="1257">
      <c r="A1257" s="92" t="n"/>
      <c r="B1257" s="55" t="n"/>
      <c r="C1257" s="55" t="n"/>
      <c r="D1257" s="55" t="n"/>
      <c r="E1257" s="93" t="n"/>
      <c r="F1257" s="94" t="n"/>
      <c r="G1257" s="94" t="n"/>
      <c r="H1257" s="94" t="n"/>
      <c r="I1257" s="94" t="n"/>
      <c r="J1257" s="55" t="n"/>
      <c r="K1257" s="95" t="n"/>
      <c r="L1257" s="116">
        <f>IF($A1257="","",DATE(YEAR($A1257),MONTH($A1257)+IF(AND(IFERROR(N(INDEX(Übersicht!$M$15:$M$22,MATCH($B1257,Übersicht!$A$15:$A$22,0))),0)&gt;1,DAY($A1257)&gt;=IFERROR(N(INDEX(Übersicht!$M$15:$M$22,MATCH($B1257,Übersicht!$A$15:$A$22,0))),0)),1,0),1))</f>
        <v/>
      </c>
    </row>
    <row r="1258">
      <c r="A1258" s="92" t="n"/>
      <c r="B1258" s="55" t="n"/>
      <c r="C1258" s="55" t="n"/>
      <c r="D1258" s="55" t="n"/>
      <c r="E1258" s="93" t="n"/>
      <c r="F1258" s="94" t="n"/>
      <c r="G1258" s="94" t="n"/>
      <c r="H1258" s="94" t="n"/>
      <c r="I1258" s="94" t="n"/>
      <c r="J1258" s="55" t="n"/>
      <c r="K1258" s="95" t="n"/>
      <c r="L1258" s="116">
        <f>IF($A1258="","",DATE(YEAR($A1258),MONTH($A1258)+IF(AND(IFERROR(N(INDEX(Übersicht!$M$15:$M$22,MATCH($B1258,Übersicht!$A$15:$A$22,0))),0)&gt;1,DAY($A1258)&gt;=IFERROR(N(INDEX(Übersicht!$M$15:$M$22,MATCH($B1258,Übersicht!$A$15:$A$22,0))),0)),1,0),1))</f>
        <v/>
      </c>
    </row>
    <row r="1259">
      <c r="A1259" s="92" t="n"/>
      <c r="B1259" s="55" t="n"/>
      <c r="C1259" s="55" t="n"/>
      <c r="D1259" s="55" t="n"/>
      <c r="E1259" s="93" t="n"/>
      <c r="F1259" s="94" t="n"/>
      <c r="G1259" s="94" t="n"/>
      <c r="H1259" s="94" t="n"/>
      <c r="I1259" s="94" t="n"/>
      <c r="J1259" s="55" t="n"/>
      <c r="K1259" s="95" t="n"/>
      <c r="L1259" s="116">
        <f>IF($A1259="","",DATE(YEAR($A1259),MONTH($A1259)+IF(AND(IFERROR(N(INDEX(Übersicht!$M$15:$M$22,MATCH($B1259,Übersicht!$A$15:$A$22,0))),0)&gt;1,DAY($A1259)&gt;=IFERROR(N(INDEX(Übersicht!$M$15:$M$22,MATCH($B1259,Übersicht!$A$15:$A$22,0))),0)),1,0),1))</f>
        <v/>
      </c>
    </row>
    <row r="1260">
      <c r="A1260" s="92" t="n"/>
      <c r="B1260" s="55" t="n"/>
      <c r="C1260" s="55" t="n"/>
      <c r="D1260" s="55" t="n"/>
      <c r="E1260" s="93" t="n"/>
      <c r="F1260" s="94" t="n"/>
      <c r="G1260" s="94" t="n"/>
      <c r="H1260" s="94" t="n"/>
      <c r="I1260" s="94" t="n"/>
      <c r="J1260" s="55" t="n"/>
      <c r="K1260" s="95" t="n"/>
      <c r="L1260" s="116">
        <f>IF($A1260="","",DATE(YEAR($A1260),MONTH($A1260)+IF(AND(IFERROR(N(INDEX(Übersicht!$M$15:$M$22,MATCH($B1260,Übersicht!$A$15:$A$22,0))),0)&gt;1,DAY($A1260)&gt;=IFERROR(N(INDEX(Übersicht!$M$15:$M$22,MATCH($B1260,Übersicht!$A$15:$A$22,0))),0)),1,0),1))</f>
        <v/>
      </c>
    </row>
    <row r="1261">
      <c r="A1261" s="92" t="n"/>
      <c r="B1261" s="55" t="n"/>
      <c r="C1261" s="55" t="n"/>
      <c r="D1261" s="55" t="n"/>
      <c r="E1261" s="93" t="n"/>
      <c r="F1261" s="94" t="n"/>
      <c r="G1261" s="94" t="n"/>
      <c r="H1261" s="94" t="n"/>
      <c r="I1261" s="94" t="n"/>
      <c r="J1261" s="55" t="n"/>
      <c r="K1261" s="95" t="n"/>
      <c r="L1261" s="116">
        <f>IF($A1261="","",DATE(YEAR($A1261),MONTH($A1261)+IF(AND(IFERROR(N(INDEX(Übersicht!$M$15:$M$22,MATCH($B1261,Übersicht!$A$15:$A$22,0))),0)&gt;1,DAY($A1261)&gt;=IFERROR(N(INDEX(Übersicht!$M$15:$M$22,MATCH($B1261,Übersicht!$A$15:$A$22,0))),0)),1,0),1))</f>
        <v/>
      </c>
    </row>
    <row r="1262">
      <c r="A1262" s="92" t="n"/>
      <c r="B1262" s="55" t="n"/>
      <c r="C1262" s="55" t="n"/>
      <c r="D1262" s="55" t="n"/>
      <c r="E1262" s="93" t="n"/>
      <c r="F1262" s="94" t="n"/>
      <c r="G1262" s="94" t="n"/>
      <c r="H1262" s="94" t="n"/>
      <c r="I1262" s="94" t="n"/>
      <c r="J1262" s="55" t="n"/>
      <c r="K1262" s="95" t="n"/>
      <c r="L1262" s="116">
        <f>IF($A1262="","",DATE(YEAR($A1262),MONTH($A1262)+IF(AND(IFERROR(N(INDEX(Übersicht!$M$15:$M$22,MATCH($B1262,Übersicht!$A$15:$A$22,0))),0)&gt;1,DAY($A1262)&gt;=IFERROR(N(INDEX(Übersicht!$M$15:$M$22,MATCH($B1262,Übersicht!$A$15:$A$22,0))),0)),1,0),1))</f>
        <v/>
      </c>
    </row>
    <row r="1263">
      <c r="A1263" s="92" t="n"/>
      <c r="B1263" s="55" t="n"/>
      <c r="C1263" s="55" t="n"/>
      <c r="D1263" s="55" t="n"/>
      <c r="E1263" s="93" t="n"/>
      <c r="F1263" s="94" t="n"/>
      <c r="G1263" s="94" t="n"/>
      <c r="H1263" s="94" t="n"/>
      <c r="I1263" s="94" t="n"/>
      <c r="J1263" s="55" t="n"/>
      <c r="K1263" s="95" t="n"/>
      <c r="L1263" s="116">
        <f>IF($A1263="","",DATE(YEAR($A1263),MONTH($A1263)+IF(AND(IFERROR(N(INDEX(Übersicht!$M$15:$M$22,MATCH($B1263,Übersicht!$A$15:$A$22,0))),0)&gt;1,DAY($A1263)&gt;=IFERROR(N(INDEX(Übersicht!$M$15:$M$22,MATCH($B1263,Übersicht!$A$15:$A$22,0))),0)),1,0),1))</f>
        <v/>
      </c>
    </row>
    <row r="1264">
      <c r="A1264" s="92" t="n"/>
      <c r="B1264" s="55" t="n"/>
      <c r="C1264" s="55" t="n"/>
      <c r="D1264" s="55" t="n"/>
      <c r="E1264" s="93" t="n"/>
      <c r="F1264" s="94" t="n"/>
      <c r="G1264" s="94" t="n"/>
      <c r="H1264" s="94" t="n"/>
      <c r="I1264" s="94" t="n"/>
      <c r="J1264" s="55" t="n"/>
      <c r="K1264" s="95" t="n"/>
      <c r="L1264" s="116">
        <f>IF($A1264="","",DATE(YEAR($A1264),MONTH($A1264)+IF(AND(IFERROR(N(INDEX(Übersicht!$M$15:$M$22,MATCH($B1264,Übersicht!$A$15:$A$22,0))),0)&gt;1,DAY($A1264)&gt;=IFERROR(N(INDEX(Übersicht!$M$15:$M$22,MATCH($B1264,Übersicht!$A$15:$A$22,0))),0)),1,0),1))</f>
        <v/>
      </c>
    </row>
    <row r="1265">
      <c r="A1265" s="92" t="n"/>
      <c r="B1265" s="55" t="n"/>
      <c r="C1265" s="55" t="n"/>
      <c r="D1265" s="55" t="n"/>
      <c r="E1265" s="93" t="n"/>
      <c r="F1265" s="94" t="n"/>
      <c r="G1265" s="94" t="n"/>
      <c r="H1265" s="94" t="n"/>
      <c r="I1265" s="94" t="n"/>
      <c r="J1265" s="55" t="n"/>
      <c r="K1265" s="95" t="n"/>
      <c r="L1265" s="116">
        <f>IF($A1265="","",DATE(YEAR($A1265),MONTH($A1265)+IF(AND(IFERROR(N(INDEX(Übersicht!$M$15:$M$22,MATCH($B1265,Übersicht!$A$15:$A$22,0))),0)&gt;1,DAY($A1265)&gt;=IFERROR(N(INDEX(Übersicht!$M$15:$M$22,MATCH($B1265,Übersicht!$A$15:$A$22,0))),0)),1,0),1))</f>
        <v/>
      </c>
    </row>
    <row r="1266">
      <c r="A1266" s="92" t="n"/>
      <c r="B1266" s="55" t="n"/>
      <c r="C1266" s="55" t="n"/>
      <c r="D1266" s="55" t="n"/>
      <c r="E1266" s="93" t="n"/>
      <c r="F1266" s="94" t="n"/>
      <c r="G1266" s="94" t="n"/>
      <c r="H1266" s="94" t="n"/>
      <c r="I1266" s="94" t="n"/>
      <c r="J1266" s="55" t="n"/>
      <c r="K1266" s="95" t="n"/>
      <c r="L1266" s="116">
        <f>IF($A1266="","",DATE(YEAR($A1266),MONTH($A1266)+IF(AND(IFERROR(N(INDEX(Übersicht!$M$15:$M$22,MATCH($B1266,Übersicht!$A$15:$A$22,0))),0)&gt;1,DAY($A1266)&gt;=IFERROR(N(INDEX(Übersicht!$M$15:$M$22,MATCH($B1266,Übersicht!$A$15:$A$22,0))),0)),1,0),1))</f>
        <v/>
      </c>
    </row>
    <row r="1267">
      <c r="A1267" s="92" t="n"/>
      <c r="B1267" s="55" t="n"/>
      <c r="C1267" s="55" t="n"/>
      <c r="D1267" s="55" t="n"/>
      <c r="E1267" s="93" t="n"/>
      <c r="F1267" s="94" t="n"/>
      <c r="G1267" s="94" t="n"/>
      <c r="H1267" s="94" t="n"/>
      <c r="I1267" s="94" t="n"/>
      <c r="J1267" s="55" t="n"/>
      <c r="K1267" s="95" t="n"/>
      <c r="L1267" s="116">
        <f>IF($A1267="","",DATE(YEAR($A1267),MONTH($A1267)+IF(AND(IFERROR(N(INDEX(Übersicht!$M$15:$M$22,MATCH($B1267,Übersicht!$A$15:$A$22,0))),0)&gt;1,DAY($A1267)&gt;=IFERROR(N(INDEX(Übersicht!$M$15:$M$22,MATCH($B1267,Übersicht!$A$15:$A$22,0))),0)),1,0),1))</f>
        <v/>
      </c>
    </row>
    <row r="1268">
      <c r="A1268" s="92" t="n"/>
      <c r="B1268" s="55" t="n"/>
      <c r="C1268" s="55" t="n"/>
      <c r="D1268" s="55" t="n"/>
      <c r="E1268" s="93" t="n"/>
      <c r="F1268" s="94" t="n"/>
      <c r="G1268" s="94" t="n"/>
      <c r="H1268" s="94" t="n"/>
      <c r="I1268" s="94" t="n"/>
      <c r="J1268" s="55" t="n"/>
      <c r="K1268" s="95" t="n"/>
      <c r="L1268" s="116">
        <f>IF($A1268="","",DATE(YEAR($A1268),MONTH($A1268)+IF(AND(IFERROR(N(INDEX(Übersicht!$M$15:$M$22,MATCH($B1268,Übersicht!$A$15:$A$22,0))),0)&gt;1,DAY($A1268)&gt;=IFERROR(N(INDEX(Übersicht!$M$15:$M$22,MATCH($B1268,Übersicht!$A$15:$A$22,0))),0)),1,0),1))</f>
        <v/>
      </c>
    </row>
    <row r="1269">
      <c r="A1269" s="92" t="n"/>
      <c r="B1269" s="55" t="n"/>
      <c r="C1269" s="55" t="n"/>
      <c r="D1269" s="55" t="n"/>
      <c r="E1269" s="93" t="n"/>
      <c r="F1269" s="94" t="n"/>
      <c r="G1269" s="94" t="n"/>
      <c r="H1269" s="94" t="n"/>
      <c r="I1269" s="94" t="n"/>
      <c r="J1269" s="55" t="n"/>
      <c r="K1269" s="95" t="n"/>
      <c r="L1269" s="116">
        <f>IF($A1269="","",DATE(YEAR($A1269),MONTH($A1269)+IF(AND(IFERROR(N(INDEX(Übersicht!$M$15:$M$22,MATCH($B1269,Übersicht!$A$15:$A$22,0))),0)&gt;1,DAY($A1269)&gt;=IFERROR(N(INDEX(Übersicht!$M$15:$M$22,MATCH($B1269,Übersicht!$A$15:$A$22,0))),0)),1,0),1))</f>
        <v/>
      </c>
    </row>
    <row r="1270">
      <c r="A1270" s="92" t="n"/>
      <c r="B1270" s="55" t="n"/>
      <c r="C1270" s="55" t="n"/>
      <c r="D1270" s="55" t="n"/>
      <c r="E1270" s="93" t="n"/>
      <c r="F1270" s="94" t="n"/>
      <c r="G1270" s="94" t="n"/>
      <c r="H1270" s="94" t="n"/>
      <c r="I1270" s="94" t="n"/>
      <c r="J1270" s="55" t="n"/>
      <c r="K1270" s="95" t="n"/>
      <c r="L1270" s="116">
        <f>IF($A1270="","",DATE(YEAR($A1270),MONTH($A1270)+IF(AND(IFERROR(N(INDEX(Übersicht!$M$15:$M$22,MATCH($B1270,Übersicht!$A$15:$A$22,0))),0)&gt;1,DAY($A1270)&gt;=IFERROR(N(INDEX(Übersicht!$M$15:$M$22,MATCH($B1270,Übersicht!$A$15:$A$22,0))),0)),1,0),1))</f>
        <v/>
      </c>
    </row>
    <row r="1271">
      <c r="A1271" s="92" t="n"/>
      <c r="B1271" s="55" t="n"/>
      <c r="C1271" s="55" t="n"/>
      <c r="D1271" s="55" t="n"/>
      <c r="E1271" s="93" t="n"/>
      <c r="F1271" s="94" t="n"/>
      <c r="G1271" s="94" t="n"/>
      <c r="H1271" s="94" t="n"/>
      <c r="I1271" s="94" t="n"/>
      <c r="J1271" s="55" t="n"/>
      <c r="K1271" s="95" t="n"/>
      <c r="L1271" s="116">
        <f>IF($A1271="","",DATE(YEAR($A1271),MONTH($A1271)+IF(AND(IFERROR(N(INDEX(Übersicht!$M$15:$M$22,MATCH($B1271,Übersicht!$A$15:$A$22,0))),0)&gt;1,DAY($A1271)&gt;=IFERROR(N(INDEX(Übersicht!$M$15:$M$22,MATCH($B1271,Übersicht!$A$15:$A$22,0))),0)),1,0),1))</f>
        <v/>
      </c>
    </row>
    <row r="1272">
      <c r="A1272" s="92" t="n"/>
      <c r="B1272" s="55" t="n"/>
      <c r="C1272" s="55" t="n"/>
      <c r="D1272" s="55" t="n"/>
      <c r="E1272" s="93" t="n"/>
      <c r="F1272" s="94" t="n"/>
      <c r="G1272" s="94" t="n"/>
      <c r="H1272" s="94" t="n"/>
      <c r="I1272" s="94" t="n"/>
      <c r="J1272" s="55" t="n"/>
      <c r="K1272" s="95" t="n"/>
      <c r="L1272" s="116">
        <f>IF($A1272="","",DATE(YEAR($A1272),MONTH($A1272)+IF(AND(IFERROR(N(INDEX(Übersicht!$M$15:$M$22,MATCH($B1272,Übersicht!$A$15:$A$22,0))),0)&gt;1,DAY($A1272)&gt;=IFERROR(N(INDEX(Übersicht!$M$15:$M$22,MATCH($B1272,Übersicht!$A$15:$A$22,0))),0)),1,0),1))</f>
        <v/>
      </c>
    </row>
    <row r="1273">
      <c r="A1273" s="92" t="n"/>
      <c r="B1273" s="55" t="n"/>
      <c r="C1273" s="55" t="n"/>
      <c r="D1273" s="55" t="n"/>
      <c r="E1273" s="93" t="n"/>
      <c r="F1273" s="94" t="n"/>
      <c r="G1273" s="94" t="n"/>
      <c r="H1273" s="94" t="n"/>
      <c r="I1273" s="94" t="n"/>
      <c r="J1273" s="55" t="n"/>
      <c r="K1273" s="95" t="n"/>
      <c r="L1273" s="116">
        <f>IF($A1273="","",DATE(YEAR($A1273),MONTH($A1273)+IF(AND(IFERROR(N(INDEX(Übersicht!$M$15:$M$22,MATCH($B1273,Übersicht!$A$15:$A$22,0))),0)&gt;1,DAY($A1273)&gt;=IFERROR(N(INDEX(Übersicht!$M$15:$M$22,MATCH($B1273,Übersicht!$A$15:$A$22,0))),0)),1,0),1))</f>
        <v/>
      </c>
    </row>
    <row r="1274">
      <c r="A1274" s="92" t="n"/>
      <c r="B1274" s="55" t="n"/>
      <c r="C1274" s="55" t="n"/>
      <c r="D1274" s="55" t="n"/>
      <c r="E1274" s="93" t="n"/>
      <c r="F1274" s="94" t="n"/>
      <c r="G1274" s="94" t="n"/>
      <c r="H1274" s="94" t="n"/>
      <c r="I1274" s="94" t="n"/>
      <c r="J1274" s="55" t="n"/>
      <c r="K1274" s="95" t="n"/>
      <c r="L1274" s="116">
        <f>IF($A1274="","",DATE(YEAR($A1274),MONTH($A1274)+IF(AND(IFERROR(N(INDEX(Übersicht!$M$15:$M$22,MATCH($B1274,Übersicht!$A$15:$A$22,0))),0)&gt;1,DAY($A1274)&gt;=IFERROR(N(INDEX(Übersicht!$M$15:$M$22,MATCH($B1274,Übersicht!$A$15:$A$22,0))),0)),1,0),1))</f>
        <v/>
      </c>
    </row>
    <row r="1275">
      <c r="A1275" s="92" t="n"/>
      <c r="B1275" s="55" t="n"/>
      <c r="C1275" s="55" t="n"/>
      <c r="D1275" s="55" t="n"/>
      <c r="E1275" s="93" t="n"/>
      <c r="F1275" s="94" t="n"/>
      <c r="G1275" s="94" t="n"/>
      <c r="H1275" s="94" t="n"/>
      <c r="I1275" s="94" t="n"/>
      <c r="J1275" s="55" t="n"/>
      <c r="K1275" s="95" t="n"/>
      <c r="L1275" s="116">
        <f>IF($A1275="","",DATE(YEAR($A1275),MONTH($A1275)+IF(AND(IFERROR(N(INDEX(Übersicht!$M$15:$M$22,MATCH($B1275,Übersicht!$A$15:$A$22,0))),0)&gt;1,DAY($A1275)&gt;=IFERROR(N(INDEX(Übersicht!$M$15:$M$22,MATCH($B1275,Übersicht!$A$15:$A$22,0))),0)),1,0),1))</f>
        <v/>
      </c>
    </row>
    <row r="1276">
      <c r="A1276" s="92" t="n"/>
      <c r="B1276" s="55" t="n"/>
      <c r="C1276" s="55" t="n"/>
      <c r="D1276" s="55" t="n"/>
      <c r="E1276" s="93" t="n"/>
      <c r="F1276" s="94" t="n"/>
      <c r="G1276" s="94" t="n"/>
      <c r="H1276" s="94" t="n"/>
      <c r="I1276" s="94" t="n"/>
      <c r="J1276" s="55" t="n"/>
      <c r="K1276" s="95" t="n"/>
      <c r="L1276" s="116">
        <f>IF($A1276="","",DATE(YEAR($A1276),MONTH($A1276)+IF(AND(IFERROR(N(INDEX(Übersicht!$M$15:$M$22,MATCH($B1276,Übersicht!$A$15:$A$22,0))),0)&gt;1,DAY($A1276)&gt;=IFERROR(N(INDEX(Übersicht!$M$15:$M$22,MATCH($B1276,Übersicht!$A$15:$A$22,0))),0)),1,0),1))</f>
        <v/>
      </c>
    </row>
    <row r="1277">
      <c r="A1277" s="92" t="n"/>
      <c r="B1277" s="55" t="n"/>
      <c r="C1277" s="55" t="n"/>
      <c r="D1277" s="55" t="n"/>
      <c r="E1277" s="93" t="n"/>
      <c r="F1277" s="94" t="n"/>
      <c r="G1277" s="94" t="n"/>
      <c r="H1277" s="94" t="n"/>
      <c r="I1277" s="94" t="n"/>
      <c r="J1277" s="55" t="n"/>
      <c r="K1277" s="95" t="n"/>
      <c r="L1277" s="116">
        <f>IF($A1277="","",DATE(YEAR($A1277),MONTH($A1277)+IF(AND(IFERROR(N(INDEX(Übersicht!$M$15:$M$22,MATCH($B1277,Übersicht!$A$15:$A$22,0))),0)&gt;1,DAY($A1277)&gt;=IFERROR(N(INDEX(Übersicht!$M$15:$M$22,MATCH($B1277,Übersicht!$A$15:$A$22,0))),0)),1,0),1))</f>
        <v/>
      </c>
    </row>
    <row r="1278">
      <c r="A1278" s="92" t="n"/>
      <c r="B1278" s="55" t="n"/>
      <c r="C1278" s="55" t="n"/>
      <c r="D1278" s="55" t="n"/>
      <c r="E1278" s="93" t="n"/>
      <c r="F1278" s="94" t="n"/>
      <c r="G1278" s="94" t="n"/>
      <c r="H1278" s="94" t="n"/>
      <c r="I1278" s="94" t="n"/>
      <c r="J1278" s="55" t="n"/>
      <c r="K1278" s="95" t="n"/>
      <c r="L1278" s="116">
        <f>IF($A1278="","",DATE(YEAR($A1278),MONTH($A1278)+IF(AND(IFERROR(N(INDEX(Übersicht!$M$15:$M$22,MATCH($B1278,Übersicht!$A$15:$A$22,0))),0)&gt;1,DAY($A1278)&gt;=IFERROR(N(INDEX(Übersicht!$M$15:$M$22,MATCH($B1278,Übersicht!$A$15:$A$22,0))),0)),1,0),1))</f>
        <v/>
      </c>
    </row>
    <row r="1279">
      <c r="A1279" s="92" t="n"/>
      <c r="B1279" s="55" t="n"/>
      <c r="C1279" s="55" t="n"/>
      <c r="D1279" s="55" t="n"/>
      <c r="E1279" s="93" t="n"/>
      <c r="F1279" s="94" t="n"/>
      <c r="G1279" s="94" t="n"/>
      <c r="H1279" s="94" t="n"/>
      <c r="I1279" s="94" t="n"/>
      <c r="J1279" s="55" t="n"/>
      <c r="K1279" s="95" t="n"/>
      <c r="L1279" s="116">
        <f>IF($A1279="","",DATE(YEAR($A1279),MONTH($A1279)+IF(AND(IFERROR(N(INDEX(Übersicht!$M$15:$M$22,MATCH($B1279,Übersicht!$A$15:$A$22,0))),0)&gt;1,DAY($A1279)&gt;=IFERROR(N(INDEX(Übersicht!$M$15:$M$22,MATCH($B1279,Übersicht!$A$15:$A$22,0))),0)),1,0),1))</f>
        <v/>
      </c>
    </row>
    <row r="1280">
      <c r="A1280" s="92" t="n"/>
      <c r="B1280" s="55" t="n"/>
      <c r="C1280" s="55" t="n"/>
      <c r="D1280" s="55" t="n"/>
      <c r="E1280" s="93" t="n"/>
      <c r="F1280" s="94" t="n"/>
      <c r="G1280" s="94" t="n"/>
      <c r="H1280" s="94" t="n"/>
      <c r="I1280" s="94" t="n"/>
      <c r="J1280" s="55" t="n"/>
      <c r="K1280" s="95" t="n"/>
      <c r="L1280" s="116">
        <f>IF($A1280="","",DATE(YEAR($A1280),MONTH($A1280)+IF(AND(IFERROR(N(INDEX(Übersicht!$M$15:$M$22,MATCH($B1280,Übersicht!$A$15:$A$22,0))),0)&gt;1,DAY($A1280)&gt;=IFERROR(N(INDEX(Übersicht!$M$15:$M$22,MATCH($B1280,Übersicht!$A$15:$A$22,0))),0)),1,0),1))</f>
        <v/>
      </c>
    </row>
    <row r="1281">
      <c r="A1281" s="92" t="n"/>
      <c r="B1281" s="55" t="n"/>
      <c r="C1281" s="55" t="n"/>
      <c r="D1281" s="55" t="n"/>
      <c r="E1281" s="93" t="n"/>
      <c r="F1281" s="94" t="n"/>
      <c r="G1281" s="94" t="n"/>
      <c r="H1281" s="94" t="n"/>
      <c r="I1281" s="94" t="n"/>
      <c r="J1281" s="55" t="n"/>
      <c r="K1281" s="95" t="n"/>
      <c r="L1281" s="116">
        <f>IF($A1281="","",DATE(YEAR($A1281),MONTH($A1281)+IF(AND(IFERROR(N(INDEX(Übersicht!$M$15:$M$22,MATCH($B1281,Übersicht!$A$15:$A$22,0))),0)&gt;1,DAY($A1281)&gt;=IFERROR(N(INDEX(Übersicht!$M$15:$M$22,MATCH($B1281,Übersicht!$A$15:$A$22,0))),0)),1,0),1))</f>
        <v/>
      </c>
    </row>
    <row r="1282">
      <c r="A1282" s="92" t="n"/>
      <c r="B1282" s="55" t="n"/>
      <c r="C1282" s="55" t="n"/>
      <c r="D1282" s="55" t="n"/>
      <c r="E1282" s="93" t="n"/>
      <c r="F1282" s="94" t="n"/>
      <c r="G1282" s="94" t="n"/>
      <c r="H1282" s="94" t="n"/>
      <c r="I1282" s="94" t="n"/>
      <c r="J1282" s="55" t="n"/>
      <c r="K1282" s="95" t="n"/>
      <c r="L1282" s="116">
        <f>IF($A1282="","",DATE(YEAR($A1282),MONTH($A1282)+IF(AND(IFERROR(N(INDEX(Übersicht!$M$15:$M$22,MATCH($B1282,Übersicht!$A$15:$A$22,0))),0)&gt;1,DAY($A1282)&gt;=IFERROR(N(INDEX(Übersicht!$M$15:$M$22,MATCH($B1282,Übersicht!$A$15:$A$22,0))),0)),1,0),1))</f>
        <v/>
      </c>
    </row>
    <row r="1283">
      <c r="A1283" s="92" t="n"/>
      <c r="B1283" s="55" t="n"/>
      <c r="C1283" s="55" t="n"/>
      <c r="D1283" s="55" t="n"/>
      <c r="E1283" s="93" t="n"/>
      <c r="F1283" s="94" t="n"/>
      <c r="G1283" s="94" t="n"/>
      <c r="H1283" s="94" t="n"/>
      <c r="I1283" s="94" t="n"/>
      <c r="J1283" s="55" t="n"/>
      <c r="K1283" s="95" t="n"/>
      <c r="L1283" s="116">
        <f>IF($A1283="","",DATE(YEAR($A1283),MONTH($A1283)+IF(AND(IFERROR(N(INDEX(Übersicht!$M$15:$M$22,MATCH($B1283,Übersicht!$A$15:$A$22,0))),0)&gt;1,DAY($A1283)&gt;=IFERROR(N(INDEX(Übersicht!$M$15:$M$22,MATCH($B1283,Übersicht!$A$15:$A$22,0))),0)),1,0),1))</f>
        <v/>
      </c>
    </row>
    <row r="1284">
      <c r="A1284" s="92" t="n"/>
      <c r="B1284" s="55" t="n"/>
      <c r="C1284" s="55" t="n"/>
      <c r="D1284" s="55" t="n"/>
      <c r="E1284" s="93" t="n"/>
      <c r="F1284" s="94" t="n"/>
      <c r="G1284" s="94" t="n"/>
      <c r="H1284" s="94" t="n"/>
      <c r="I1284" s="94" t="n"/>
      <c r="J1284" s="55" t="n"/>
      <c r="K1284" s="95" t="n"/>
      <c r="L1284" s="116">
        <f>IF($A1284="","",DATE(YEAR($A1284),MONTH($A1284)+IF(AND(IFERROR(N(INDEX(Übersicht!$M$15:$M$22,MATCH($B1284,Übersicht!$A$15:$A$22,0))),0)&gt;1,DAY($A1284)&gt;=IFERROR(N(INDEX(Übersicht!$M$15:$M$22,MATCH($B1284,Übersicht!$A$15:$A$22,0))),0)),1,0),1))</f>
        <v/>
      </c>
    </row>
    <row r="1285">
      <c r="A1285" s="92" t="n"/>
      <c r="B1285" s="55" t="n"/>
      <c r="C1285" s="55" t="n"/>
      <c r="D1285" s="55" t="n"/>
      <c r="E1285" s="93" t="n"/>
      <c r="F1285" s="94" t="n"/>
      <c r="G1285" s="94" t="n"/>
      <c r="H1285" s="94" t="n"/>
      <c r="I1285" s="94" t="n"/>
      <c r="J1285" s="55" t="n"/>
      <c r="K1285" s="95" t="n"/>
      <c r="L1285" s="116">
        <f>IF($A1285="","",DATE(YEAR($A1285),MONTH($A1285)+IF(AND(IFERROR(N(INDEX(Übersicht!$M$15:$M$22,MATCH($B1285,Übersicht!$A$15:$A$22,0))),0)&gt;1,DAY($A1285)&gt;=IFERROR(N(INDEX(Übersicht!$M$15:$M$22,MATCH($B1285,Übersicht!$A$15:$A$22,0))),0)),1,0),1))</f>
        <v/>
      </c>
    </row>
    <row r="1286">
      <c r="A1286" s="92" t="n"/>
      <c r="B1286" s="55" t="n"/>
      <c r="C1286" s="55" t="n"/>
      <c r="D1286" s="55" t="n"/>
      <c r="E1286" s="93" t="n"/>
      <c r="F1286" s="94" t="n"/>
      <c r="G1286" s="94" t="n"/>
      <c r="H1286" s="94" t="n"/>
      <c r="I1286" s="94" t="n"/>
      <c r="J1286" s="55" t="n"/>
      <c r="K1286" s="95" t="n"/>
      <c r="L1286" s="116">
        <f>IF($A1286="","",DATE(YEAR($A1286),MONTH($A1286)+IF(AND(IFERROR(N(INDEX(Übersicht!$M$15:$M$22,MATCH($B1286,Übersicht!$A$15:$A$22,0))),0)&gt;1,DAY($A1286)&gt;=IFERROR(N(INDEX(Übersicht!$M$15:$M$22,MATCH($B1286,Übersicht!$A$15:$A$22,0))),0)),1,0),1))</f>
        <v/>
      </c>
    </row>
    <row r="1287">
      <c r="A1287" s="92" t="n"/>
      <c r="B1287" s="55" t="n"/>
      <c r="C1287" s="55" t="n"/>
      <c r="D1287" s="55" t="n"/>
      <c r="E1287" s="93" t="n"/>
      <c r="F1287" s="94" t="n"/>
      <c r="G1287" s="94" t="n"/>
      <c r="H1287" s="94" t="n"/>
      <c r="I1287" s="94" t="n"/>
      <c r="J1287" s="55" t="n"/>
      <c r="K1287" s="95" t="n"/>
      <c r="L1287" s="116">
        <f>IF($A1287="","",DATE(YEAR($A1287),MONTH($A1287)+IF(AND(IFERROR(N(INDEX(Übersicht!$M$15:$M$22,MATCH($B1287,Übersicht!$A$15:$A$22,0))),0)&gt;1,DAY($A1287)&gt;=IFERROR(N(INDEX(Übersicht!$M$15:$M$22,MATCH($B1287,Übersicht!$A$15:$A$22,0))),0)),1,0),1))</f>
        <v/>
      </c>
    </row>
    <row r="1288">
      <c r="A1288" s="92" t="n"/>
      <c r="B1288" s="55" t="n"/>
      <c r="C1288" s="55" t="n"/>
      <c r="D1288" s="55" t="n"/>
      <c r="E1288" s="93" t="n"/>
      <c r="F1288" s="94" t="n"/>
      <c r="G1288" s="94" t="n"/>
      <c r="H1288" s="94" t="n"/>
      <c r="I1288" s="94" t="n"/>
      <c r="J1288" s="55" t="n"/>
      <c r="K1288" s="95" t="n"/>
      <c r="L1288" s="116">
        <f>IF($A1288="","",DATE(YEAR($A1288),MONTH($A1288)+IF(AND(IFERROR(N(INDEX(Übersicht!$M$15:$M$22,MATCH($B1288,Übersicht!$A$15:$A$22,0))),0)&gt;1,DAY($A1288)&gt;=IFERROR(N(INDEX(Übersicht!$M$15:$M$22,MATCH($B1288,Übersicht!$A$15:$A$22,0))),0)),1,0),1))</f>
        <v/>
      </c>
    </row>
    <row r="1289">
      <c r="A1289" s="92" t="n"/>
      <c r="B1289" s="55" t="n"/>
      <c r="C1289" s="55" t="n"/>
      <c r="D1289" s="55" t="n"/>
      <c r="E1289" s="93" t="n"/>
      <c r="F1289" s="94" t="n"/>
      <c r="G1289" s="94" t="n"/>
      <c r="H1289" s="94" t="n"/>
      <c r="I1289" s="94" t="n"/>
      <c r="J1289" s="55" t="n"/>
      <c r="K1289" s="95" t="n"/>
      <c r="L1289" s="116">
        <f>IF($A1289="","",DATE(YEAR($A1289),MONTH($A1289)+IF(AND(IFERROR(N(INDEX(Übersicht!$M$15:$M$22,MATCH($B1289,Übersicht!$A$15:$A$22,0))),0)&gt;1,DAY($A1289)&gt;=IFERROR(N(INDEX(Übersicht!$M$15:$M$22,MATCH($B1289,Übersicht!$A$15:$A$22,0))),0)),1,0),1))</f>
        <v/>
      </c>
    </row>
    <row r="1290">
      <c r="A1290" s="92" t="n"/>
      <c r="B1290" s="55" t="n"/>
      <c r="C1290" s="55" t="n"/>
      <c r="D1290" s="55" t="n"/>
      <c r="E1290" s="93" t="n"/>
      <c r="F1290" s="94" t="n"/>
      <c r="G1290" s="94" t="n"/>
      <c r="H1290" s="94" t="n"/>
      <c r="I1290" s="94" t="n"/>
      <c r="J1290" s="55" t="n"/>
      <c r="K1290" s="95" t="n"/>
      <c r="L1290" s="116">
        <f>IF($A1290="","",DATE(YEAR($A1290),MONTH($A1290)+IF(AND(IFERROR(N(INDEX(Übersicht!$M$15:$M$22,MATCH($B1290,Übersicht!$A$15:$A$22,0))),0)&gt;1,DAY($A1290)&gt;=IFERROR(N(INDEX(Übersicht!$M$15:$M$22,MATCH($B1290,Übersicht!$A$15:$A$22,0))),0)),1,0),1))</f>
        <v/>
      </c>
    </row>
    <row r="1291">
      <c r="A1291" s="92" t="n"/>
      <c r="B1291" s="55" t="n"/>
      <c r="C1291" s="55" t="n"/>
      <c r="D1291" s="55" t="n"/>
      <c r="E1291" s="93" t="n"/>
      <c r="F1291" s="94" t="n"/>
      <c r="G1291" s="94" t="n"/>
      <c r="H1291" s="94" t="n"/>
      <c r="I1291" s="94" t="n"/>
      <c r="J1291" s="55" t="n"/>
      <c r="K1291" s="95" t="n"/>
      <c r="L1291" s="116">
        <f>IF($A1291="","",DATE(YEAR($A1291),MONTH($A1291)+IF(AND(IFERROR(N(INDEX(Übersicht!$M$15:$M$22,MATCH($B1291,Übersicht!$A$15:$A$22,0))),0)&gt;1,DAY($A1291)&gt;=IFERROR(N(INDEX(Übersicht!$M$15:$M$22,MATCH($B1291,Übersicht!$A$15:$A$22,0))),0)),1,0),1))</f>
        <v/>
      </c>
    </row>
    <row r="1292">
      <c r="A1292" s="92" t="n"/>
      <c r="B1292" s="55" t="n"/>
      <c r="C1292" s="55" t="n"/>
      <c r="D1292" s="55" t="n"/>
      <c r="E1292" s="93" t="n"/>
      <c r="F1292" s="94" t="n"/>
      <c r="G1292" s="94" t="n"/>
      <c r="H1292" s="94" t="n"/>
      <c r="I1292" s="94" t="n"/>
      <c r="J1292" s="55" t="n"/>
      <c r="K1292" s="95" t="n"/>
      <c r="L1292" s="116">
        <f>IF($A1292="","",DATE(YEAR($A1292),MONTH($A1292)+IF(AND(IFERROR(N(INDEX(Übersicht!$M$15:$M$22,MATCH($B1292,Übersicht!$A$15:$A$22,0))),0)&gt;1,DAY($A1292)&gt;=IFERROR(N(INDEX(Übersicht!$M$15:$M$22,MATCH($B1292,Übersicht!$A$15:$A$22,0))),0)),1,0),1))</f>
        <v/>
      </c>
    </row>
    <row r="1293">
      <c r="A1293" s="92" t="n"/>
      <c r="B1293" s="55" t="n"/>
      <c r="C1293" s="55" t="n"/>
      <c r="D1293" s="55" t="n"/>
      <c r="E1293" s="93" t="n"/>
      <c r="F1293" s="94" t="n"/>
      <c r="G1293" s="94" t="n"/>
      <c r="H1293" s="94" t="n"/>
      <c r="I1293" s="94" t="n"/>
      <c r="J1293" s="55" t="n"/>
      <c r="K1293" s="95" t="n"/>
      <c r="L1293" s="116">
        <f>IF($A1293="","",DATE(YEAR($A1293),MONTH($A1293)+IF(AND(IFERROR(N(INDEX(Übersicht!$M$15:$M$22,MATCH($B1293,Übersicht!$A$15:$A$22,0))),0)&gt;1,DAY($A1293)&gt;=IFERROR(N(INDEX(Übersicht!$M$15:$M$22,MATCH($B1293,Übersicht!$A$15:$A$22,0))),0)),1,0),1))</f>
        <v/>
      </c>
    </row>
    <row r="1294">
      <c r="A1294" s="92" t="n"/>
      <c r="B1294" s="55" t="n"/>
      <c r="C1294" s="55" t="n"/>
      <c r="D1294" s="55" t="n"/>
      <c r="E1294" s="93" t="n"/>
      <c r="F1294" s="94" t="n"/>
      <c r="G1294" s="94" t="n"/>
      <c r="H1294" s="94" t="n"/>
      <c r="I1294" s="94" t="n"/>
      <c r="J1294" s="55" t="n"/>
      <c r="K1294" s="95" t="n"/>
      <c r="L1294" s="116">
        <f>IF($A1294="","",DATE(YEAR($A1294),MONTH($A1294)+IF(AND(IFERROR(N(INDEX(Übersicht!$M$15:$M$22,MATCH($B1294,Übersicht!$A$15:$A$22,0))),0)&gt;1,DAY($A1294)&gt;=IFERROR(N(INDEX(Übersicht!$M$15:$M$22,MATCH($B1294,Übersicht!$A$15:$A$22,0))),0)),1,0),1))</f>
        <v/>
      </c>
    </row>
    <row r="1295">
      <c r="A1295" s="92" t="n"/>
      <c r="B1295" s="55" t="n"/>
      <c r="C1295" s="55" t="n"/>
      <c r="D1295" s="55" t="n"/>
      <c r="E1295" s="93" t="n"/>
      <c r="F1295" s="94" t="n"/>
      <c r="G1295" s="94" t="n"/>
      <c r="H1295" s="94" t="n"/>
      <c r="I1295" s="94" t="n"/>
      <c r="J1295" s="55" t="n"/>
      <c r="K1295" s="95" t="n"/>
      <c r="L1295" s="116">
        <f>IF($A1295="","",DATE(YEAR($A1295),MONTH($A1295)+IF(AND(IFERROR(N(INDEX(Übersicht!$M$15:$M$22,MATCH($B1295,Übersicht!$A$15:$A$22,0))),0)&gt;1,DAY($A1295)&gt;=IFERROR(N(INDEX(Übersicht!$M$15:$M$22,MATCH($B1295,Übersicht!$A$15:$A$22,0))),0)),1,0),1))</f>
        <v/>
      </c>
    </row>
    <row r="1296">
      <c r="A1296" s="92" t="n"/>
      <c r="B1296" s="55" t="n"/>
      <c r="C1296" s="55" t="n"/>
      <c r="D1296" s="55" t="n"/>
      <c r="E1296" s="93" t="n"/>
      <c r="F1296" s="94" t="n"/>
      <c r="G1296" s="94" t="n"/>
      <c r="H1296" s="94" t="n"/>
      <c r="I1296" s="94" t="n"/>
      <c r="J1296" s="55" t="n"/>
      <c r="K1296" s="95" t="n"/>
      <c r="L1296" s="116">
        <f>IF($A1296="","",DATE(YEAR($A1296),MONTH($A1296)+IF(AND(IFERROR(N(INDEX(Übersicht!$M$15:$M$22,MATCH($B1296,Übersicht!$A$15:$A$22,0))),0)&gt;1,DAY($A1296)&gt;=IFERROR(N(INDEX(Übersicht!$M$15:$M$22,MATCH($B1296,Übersicht!$A$15:$A$22,0))),0)),1,0),1))</f>
        <v/>
      </c>
    </row>
    <row r="1297">
      <c r="A1297" s="92" t="n"/>
      <c r="B1297" s="55" t="n"/>
      <c r="C1297" s="55" t="n"/>
      <c r="D1297" s="55" t="n"/>
      <c r="E1297" s="93" t="n"/>
      <c r="F1297" s="94" t="n"/>
      <c r="G1297" s="94" t="n"/>
      <c r="H1297" s="94" t="n"/>
      <c r="I1297" s="94" t="n"/>
      <c r="J1297" s="55" t="n"/>
      <c r="K1297" s="95" t="n"/>
      <c r="L1297" s="116">
        <f>IF($A1297="","",DATE(YEAR($A1297),MONTH($A1297)+IF(AND(IFERROR(N(INDEX(Übersicht!$M$15:$M$22,MATCH($B1297,Übersicht!$A$15:$A$22,0))),0)&gt;1,DAY($A1297)&gt;=IFERROR(N(INDEX(Übersicht!$M$15:$M$22,MATCH($B1297,Übersicht!$A$15:$A$22,0))),0)),1,0),1))</f>
        <v/>
      </c>
    </row>
    <row r="1298">
      <c r="A1298" s="92" t="n"/>
      <c r="B1298" s="55" t="n"/>
      <c r="C1298" s="55" t="n"/>
      <c r="D1298" s="55" t="n"/>
      <c r="E1298" s="93" t="n"/>
      <c r="F1298" s="94" t="n"/>
      <c r="G1298" s="94" t="n"/>
      <c r="H1298" s="94" t="n"/>
      <c r="I1298" s="94" t="n"/>
      <c r="J1298" s="55" t="n"/>
      <c r="K1298" s="95" t="n"/>
      <c r="L1298" s="116">
        <f>IF($A1298="","",DATE(YEAR($A1298),MONTH($A1298)+IF(AND(IFERROR(N(INDEX(Übersicht!$M$15:$M$22,MATCH($B1298,Übersicht!$A$15:$A$22,0))),0)&gt;1,DAY($A1298)&gt;=IFERROR(N(INDEX(Übersicht!$M$15:$M$22,MATCH($B1298,Übersicht!$A$15:$A$22,0))),0)),1,0),1))</f>
        <v/>
      </c>
    </row>
    <row r="1299">
      <c r="A1299" s="92" t="n"/>
      <c r="B1299" s="55" t="n"/>
      <c r="C1299" s="55" t="n"/>
      <c r="D1299" s="55" t="n"/>
      <c r="E1299" s="93" t="n"/>
      <c r="F1299" s="94" t="n"/>
      <c r="G1299" s="94" t="n"/>
      <c r="H1299" s="94" t="n"/>
      <c r="I1299" s="94" t="n"/>
      <c r="J1299" s="55" t="n"/>
      <c r="K1299" s="95" t="n"/>
      <c r="L1299" s="116">
        <f>IF($A1299="","",DATE(YEAR($A1299),MONTH($A1299)+IF(AND(IFERROR(N(INDEX(Übersicht!$M$15:$M$22,MATCH($B1299,Übersicht!$A$15:$A$22,0))),0)&gt;1,DAY($A1299)&gt;=IFERROR(N(INDEX(Übersicht!$M$15:$M$22,MATCH($B1299,Übersicht!$A$15:$A$22,0))),0)),1,0),1))</f>
        <v/>
      </c>
    </row>
    <row r="1300">
      <c r="A1300" s="92" t="n"/>
      <c r="B1300" s="55" t="n"/>
      <c r="C1300" s="55" t="n"/>
      <c r="D1300" s="55" t="n"/>
      <c r="E1300" s="93" t="n"/>
      <c r="F1300" s="94" t="n"/>
      <c r="G1300" s="94" t="n"/>
      <c r="H1300" s="94" t="n"/>
      <c r="I1300" s="94" t="n"/>
      <c r="J1300" s="55" t="n"/>
      <c r="K1300" s="95" t="n"/>
      <c r="L1300" s="116">
        <f>IF($A1300="","",DATE(YEAR($A1300),MONTH($A1300)+IF(AND(IFERROR(N(INDEX(Übersicht!$M$15:$M$22,MATCH($B1300,Übersicht!$A$15:$A$22,0))),0)&gt;1,DAY($A1300)&gt;=IFERROR(N(INDEX(Übersicht!$M$15:$M$22,MATCH($B1300,Übersicht!$A$15:$A$22,0))),0)),1,0),1))</f>
        <v/>
      </c>
    </row>
    <row r="1301">
      <c r="A1301" s="92" t="n"/>
      <c r="B1301" s="55" t="n"/>
      <c r="C1301" s="55" t="n"/>
      <c r="D1301" s="55" t="n"/>
      <c r="E1301" s="93" t="n"/>
      <c r="F1301" s="94" t="n"/>
      <c r="G1301" s="94" t="n"/>
      <c r="H1301" s="94" t="n"/>
      <c r="I1301" s="94" t="n"/>
      <c r="J1301" s="55" t="n"/>
      <c r="K1301" s="95" t="n"/>
      <c r="L1301" s="116">
        <f>IF($A1301="","",DATE(YEAR($A1301),MONTH($A1301)+IF(AND(IFERROR(N(INDEX(Übersicht!$M$15:$M$22,MATCH($B1301,Übersicht!$A$15:$A$22,0))),0)&gt;1,DAY($A1301)&gt;=IFERROR(N(INDEX(Übersicht!$M$15:$M$22,MATCH($B1301,Übersicht!$A$15:$A$22,0))),0)),1,0),1))</f>
        <v/>
      </c>
    </row>
    <row r="1302">
      <c r="A1302" s="92" t="n"/>
      <c r="B1302" s="55" t="n"/>
      <c r="C1302" s="55" t="n"/>
      <c r="D1302" s="55" t="n"/>
      <c r="E1302" s="93" t="n"/>
      <c r="F1302" s="94" t="n"/>
      <c r="G1302" s="94" t="n"/>
      <c r="H1302" s="94" t="n"/>
      <c r="I1302" s="94" t="n"/>
      <c r="J1302" s="55" t="n"/>
      <c r="K1302" s="95" t="n"/>
      <c r="L1302" s="116">
        <f>IF($A1302="","",DATE(YEAR($A1302),MONTH($A1302)+IF(AND(IFERROR(N(INDEX(Übersicht!$M$15:$M$22,MATCH($B1302,Übersicht!$A$15:$A$22,0))),0)&gt;1,DAY($A1302)&gt;=IFERROR(N(INDEX(Übersicht!$M$15:$M$22,MATCH($B1302,Übersicht!$A$15:$A$22,0))),0)),1,0),1))</f>
        <v/>
      </c>
    </row>
    <row r="1303">
      <c r="A1303" s="92" t="n"/>
      <c r="B1303" s="55" t="n"/>
      <c r="C1303" s="55" t="n"/>
      <c r="D1303" s="55" t="n"/>
      <c r="E1303" s="93" t="n"/>
      <c r="F1303" s="94" t="n"/>
      <c r="G1303" s="94" t="n"/>
      <c r="H1303" s="94" t="n"/>
      <c r="I1303" s="94" t="n"/>
      <c r="J1303" s="55" t="n"/>
      <c r="K1303" s="95" t="n"/>
      <c r="L1303" s="116">
        <f>IF($A1303="","",DATE(YEAR($A1303),MONTH($A1303)+IF(AND(IFERROR(N(INDEX(Übersicht!$M$15:$M$22,MATCH($B1303,Übersicht!$A$15:$A$22,0))),0)&gt;1,DAY($A1303)&gt;=IFERROR(N(INDEX(Übersicht!$M$15:$M$22,MATCH($B1303,Übersicht!$A$15:$A$22,0))),0)),1,0),1))</f>
        <v/>
      </c>
    </row>
    <row r="1304">
      <c r="A1304" s="92" t="n"/>
      <c r="B1304" s="55" t="n"/>
      <c r="C1304" s="55" t="n"/>
      <c r="D1304" s="55" t="n"/>
      <c r="E1304" s="93" t="n"/>
      <c r="F1304" s="94" t="n"/>
      <c r="G1304" s="94" t="n"/>
      <c r="H1304" s="94" t="n"/>
      <c r="I1304" s="94" t="n"/>
      <c r="J1304" s="55" t="n"/>
      <c r="K1304" s="95" t="n"/>
      <c r="L1304" s="116">
        <f>IF($A1304="","",DATE(YEAR($A1304),MONTH($A1304)+IF(AND(IFERROR(N(INDEX(Übersicht!$M$15:$M$22,MATCH($B1304,Übersicht!$A$15:$A$22,0))),0)&gt;1,DAY($A1304)&gt;=IFERROR(N(INDEX(Übersicht!$M$15:$M$22,MATCH($B1304,Übersicht!$A$15:$A$22,0))),0)),1,0),1))</f>
        <v/>
      </c>
    </row>
    <row r="1305">
      <c r="A1305" s="92" t="n"/>
      <c r="B1305" s="55" t="n"/>
      <c r="C1305" s="55" t="n"/>
      <c r="D1305" s="55" t="n"/>
      <c r="E1305" s="93" t="n"/>
      <c r="F1305" s="94" t="n"/>
      <c r="G1305" s="94" t="n"/>
      <c r="H1305" s="94" t="n"/>
      <c r="I1305" s="94" t="n"/>
      <c r="J1305" s="55" t="n"/>
      <c r="K1305" s="95" t="n"/>
      <c r="L1305" s="116">
        <f>IF($A1305="","",DATE(YEAR($A1305),MONTH($A1305)+IF(AND(IFERROR(N(INDEX(Übersicht!$M$15:$M$22,MATCH($B1305,Übersicht!$A$15:$A$22,0))),0)&gt;1,DAY($A1305)&gt;=IFERROR(N(INDEX(Übersicht!$M$15:$M$22,MATCH($B1305,Übersicht!$A$15:$A$22,0))),0)),1,0),1))</f>
        <v/>
      </c>
    </row>
    <row r="1306">
      <c r="A1306" s="92" t="n"/>
      <c r="B1306" s="55" t="n"/>
      <c r="C1306" s="55" t="n"/>
      <c r="D1306" s="55" t="n"/>
      <c r="E1306" s="93" t="n"/>
      <c r="F1306" s="94" t="n"/>
      <c r="G1306" s="94" t="n"/>
      <c r="H1306" s="94" t="n"/>
      <c r="I1306" s="94" t="n"/>
      <c r="J1306" s="55" t="n"/>
      <c r="K1306" s="95" t="n"/>
      <c r="L1306" s="116">
        <f>IF($A1306="","",DATE(YEAR($A1306),MONTH($A1306)+IF(AND(IFERROR(N(INDEX(Übersicht!$M$15:$M$22,MATCH($B1306,Übersicht!$A$15:$A$22,0))),0)&gt;1,DAY($A1306)&gt;=IFERROR(N(INDEX(Übersicht!$M$15:$M$22,MATCH($B1306,Übersicht!$A$15:$A$22,0))),0)),1,0),1))</f>
        <v/>
      </c>
    </row>
    <row r="1307">
      <c r="A1307" s="92" t="n"/>
      <c r="B1307" s="55" t="n"/>
      <c r="C1307" s="55" t="n"/>
      <c r="D1307" s="55" t="n"/>
      <c r="E1307" s="93" t="n"/>
      <c r="F1307" s="94" t="n"/>
      <c r="G1307" s="94" t="n"/>
      <c r="H1307" s="94" t="n"/>
      <c r="I1307" s="94" t="n"/>
      <c r="J1307" s="55" t="n"/>
      <c r="K1307" s="95" t="n"/>
      <c r="L1307" s="116">
        <f>IF($A1307="","",DATE(YEAR($A1307),MONTH($A1307)+IF(AND(IFERROR(N(INDEX(Übersicht!$M$15:$M$22,MATCH($B1307,Übersicht!$A$15:$A$22,0))),0)&gt;1,DAY($A1307)&gt;=IFERROR(N(INDEX(Übersicht!$M$15:$M$22,MATCH($B1307,Übersicht!$A$15:$A$22,0))),0)),1,0),1))</f>
        <v/>
      </c>
    </row>
    <row r="1308">
      <c r="A1308" s="92" t="n"/>
      <c r="B1308" s="55" t="n"/>
      <c r="C1308" s="55" t="n"/>
      <c r="D1308" s="55" t="n"/>
      <c r="E1308" s="93" t="n"/>
      <c r="F1308" s="94" t="n"/>
      <c r="G1308" s="94" t="n"/>
      <c r="H1308" s="94" t="n"/>
      <c r="I1308" s="94" t="n"/>
      <c r="J1308" s="55" t="n"/>
      <c r="K1308" s="95" t="n"/>
      <c r="L1308" s="116">
        <f>IF($A1308="","",DATE(YEAR($A1308),MONTH($A1308)+IF(AND(IFERROR(N(INDEX(Übersicht!$M$15:$M$22,MATCH($B1308,Übersicht!$A$15:$A$22,0))),0)&gt;1,DAY($A1308)&gt;=IFERROR(N(INDEX(Übersicht!$M$15:$M$22,MATCH($B1308,Übersicht!$A$15:$A$22,0))),0)),1,0),1))</f>
        <v/>
      </c>
    </row>
    <row r="1309">
      <c r="A1309" s="92" t="n"/>
      <c r="B1309" s="55" t="n"/>
      <c r="C1309" s="55" t="n"/>
      <c r="D1309" s="55" t="n"/>
      <c r="E1309" s="93" t="n"/>
      <c r="F1309" s="94" t="n"/>
      <c r="G1309" s="94" t="n"/>
      <c r="H1309" s="94" t="n"/>
      <c r="I1309" s="94" t="n"/>
      <c r="J1309" s="55" t="n"/>
      <c r="K1309" s="95" t="n"/>
      <c r="L1309" s="116">
        <f>IF($A1309="","",DATE(YEAR($A1309),MONTH($A1309)+IF(AND(IFERROR(N(INDEX(Übersicht!$M$15:$M$22,MATCH($B1309,Übersicht!$A$15:$A$22,0))),0)&gt;1,DAY($A1309)&gt;=IFERROR(N(INDEX(Übersicht!$M$15:$M$22,MATCH($B1309,Übersicht!$A$15:$A$22,0))),0)),1,0),1))</f>
        <v/>
      </c>
    </row>
    <row r="1310">
      <c r="A1310" s="92" t="n"/>
      <c r="B1310" s="55" t="n"/>
      <c r="C1310" s="55" t="n"/>
      <c r="D1310" s="55" t="n"/>
      <c r="E1310" s="93" t="n"/>
      <c r="F1310" s="94" t="n"/>
      <c r="G1310" s="94" t="n"/>
      <c r="H1310" s="94" t="n"/>
      <c r="I1310" s="94" t="n"/>
      <c r="J1310" s="55" t="n"/>
      <c r="K1310" s="95" t="n"/>
      <c r="L1310" s="116">
        <f>IF($A1310="","",DATE(YEAR($A1310),MONTH($A1310)+IF(AND(IFERROR(N(INDEX(Übersicht!$M$15:$M$22,MATCH($B1310,Übersicht!$A$15:$A$22,0))),0)&gt;1,DAY($A1310)&gt;=IFERROR(N(INDEX(Übersicht!$M$15:$M$22,MATCH($B1310,Übersicht!$A$15:$A$22,0))),0)),1,0),1))</f>
        <v/>
      </c>
    </row>
    <row r="1311">
      <c r="A1311" s="92" t="n"/>
      <c r="B1311" s="55" t="n"/>
      <c r="C1311" s="55" t="n"/>
      <c r="D1311" s="55" t="n"/>
      <c r="E1311" s="93" t="n"/>
      <c r="F1311" s="94" t="n"/>
      <c r="G1311" s="94" t="n"/>
      <c r="H1311" s="94" t="n"/>
      <c r="I1311" s="94" t="n"/>
      <c r="J1311" s="55" t="n"/>
      <c r="K1311" s="95" t="n"/>
      <c r="L1311" s="116">
        <f>IF($A1311="","",DATE(YEAR($A1311),MONTH($A1311)+IF(AND(IFERROR(N(INDEX(Übersicht!$M$15:$M$22,MATCH($B1311,Übersicht!$A$15:$A$22,0))),0)&gt;1,DAY($A1311)&gt;=IFERROR(N(INDEX(Übersicht!$M$15:$M$22,MATCH($B1311,Übersicht!$A$15:$A$22,0))),0)),1,0),1))</f>
        <v/>
      </c>
    </row>
    <row r="1312">
      <c r="A1312" s="92" t="n"/>
      <c r="B1312" s="55" t="n"/>
      <c r="C1312" s="55" t="n"/>
      <c r="D1312" s="55" t="n"/>
      <c r="E1312" s="93" t="n"/>
      <c r="F1312" s="94" t="n"/>
      <c r="G1312" s="94" t="n"/>
      <c r="H1312" s="94" t="n"/>
      <c r="I1312" s="94" t="n"/>
      <c r="J1312" s="55" t="n"/>
      <c r="K1312" s="95" t="n"/>
      <c r="L1312" s="116">
        <f>IF($A1312="","",DATE(YEAR($A1312),MONTH($A1312)+IF(AND(IFERROR(N(INDEX(Übersicht!$M$15:$M$22,MATCH($B1312,Übersicht!$A$15:$A$22,0))),0)&gt;1,DAY($A1312)&gt;=IFERROR(N(INDEX(Übersicht!$M$15:$M$22,MATCH($B1312,Übersicht!$A$15:$A$22,0))),0)),1,0),1))</f>
        <v/>
      </c>
    </row>
    <row r="1313">
      <c r="A1313" s="92" t="n"/>
      <c r="B1313" s="55" t="n"/>
      <c r="C1313" s="55" t="n"/>
      <c r="D1313" s="55" t="n"/>
      <c r="E1313" s="93" t="n"/>
      <c r="F1313" s="94" t="n"/>
      <c r="G1313" s="94" t="n"/>
      <c r="H1313" s="94" t="n"/>
      <c r="I1313" s="94" t="n"/>
      <c r="J1313" s="55" t="n"/>
      <c r="K1313" s="95" t="n"/>
      <c r="L1313" s="116">
        <f>IF($A1313="","",DATE(YEAR($A1313),MONTH($A1313)+IF(AND(IFERROR(N(INDEX(Übersicht!$M$15:$M$22,MATCH($B1313,Übersicht!$A$15:$A$22,0))),0)&gt;1,DAY($A1313)&gt;=IFERROR(N(INDEX(Übersicht!$M$15:$M$22,MATCH($B1313,Übersicht!$A$15:$A$22,0))),0)),1,0),1))</f>
        <v/>
      </c>
    </row>
    <row r="1314">
      <c r="A1314" s="92" t="n"/>
      <c r="B1314" s="55" t="n"/>
      <c r="C1314" s="55" t="n"/>
      <c r="D1314" s="55" t="n"/>
      <c r="E1314" s="93" t="n"/>
      <c r="F1314" s="94" t="n"/>
      <c r="G1314" s="94" t="n"/>
      <c r="H1314" s="94" t="n"/>
      <c r="I1314" s="94" t="n"/>
      <c r="J1314" s="55" t="n"/>
      <c r="K1314" s="95" t="n"/>
      <c r="L1314" s="116">
        <f>IF($A1314="","",DATE(YEAR($A1314),MONTH($A1314)+IF(AND(IFERROR(N(INDEX(Übersicht!$M$15:$M$22,MATCH($B1314,Übersicht!$A$15:$A$22,0))),0)&gt;1,DAY($A1314)&gt;=IFERROR(N(INDEX(Übersicht!$M$15:$M$22,MATCH($B1314,Übersicht!$A$15:$A$22,0))),0)),1,0),1))</f>
        <v/>
      </c>
    </row>
    <row r="1315">
      <c r="A1315" s="92" t="n"/>
      <c r="B1315" s="55" t="n"/>
      <c r="C1315" s="55" t="n"/>
      <c r="D1315" s="55" t="n"/>
      <c r="E1315" s="93" t="n"/>
      <c r="F1315" s="94" t="n"/>
      <c r="G1315" s="94" t="n"/>
      <c r="H1315" s="94" t="n"/>
      <c r="I1315" s="94" t="n"/>
      <c r="J1315" s="55" t="n"/>
      <c r="K1315" s="95" t="n"/>
      <c r="L1315" s="116">
        <f>IF($A1315="","",DATE(YEAR($A1315),MONTH($A1315)+IF(AND(IFERROR(N(INDEX(Übersicht!$M$15:$M$22,MATCH($B1315,Übersicht!$A$15:$A$22,0))),0)&gt;1,DAY($A1315)&gt;=IFERROR(N(INDEX(Übersicht!$M$15:$M$22,MATCH($B1315,Übersicht!$A$15:$A$22,0))),0)),1,0),1))</f>
        <v/>
      </c>
    </row>
    <row r="1316">
      <c r="A1316" s="92" t="n"/>
      <c r="B1316" s="55" t="n"/>
      <c r="C1316" s="55" t="n"/>
      <c r="D1316" s="55" t="n"/>
      <c r="E1316" s="93" t="n"/>
      <c r="F1316" s="94" t="n"/>
      <c r="G1316" s="94" t="n"/>
      <c r="H1316" s="94" t="n"/>
      <c r="I1316" s="94" t="n"/>
      <c r="J1316" s="55" t="n"/>
      <c r="K1316" s="95" t="n"/>
      <c r="L1316" s="116">
        <f>IF($A1316="","",DATE(YEAR($A1316),MONTH($A1316)+IF(AND(IFERROR(N(INDEX(Übersicht!$M$15:$M$22,MATCH($B1316,Übersicht!$A$15:$A$22,0))),0)&gt;1,DAY($A1316)&gt;=IFERROR(N(INDEX(Übersicht!$M$15:$M$22,MATCH($B1316,Übersicht!$A$15:$A$22,0))),0)),1,0),1))</f>
        <v/>
      </c>
    </row>
    <row r="1317">
      <c r="A1317" s="92" t="n"/>
      <c r="B1317" s="55" t="n"/>
      <c r="C1317" s="55" t="n"/>
      <c r="D1317" s="55" t="n"/>
      <c r="E1317" s="93" t="n"/>
      <c r="F1317" s="94" t="n"/>
      <c r="G1317" s="94" t="n"/>
      <c r="H1317" s="94" t="n"/>
      <c r="I1317" s="94" t="n"/>
      <c r="J1317" s="55" t="n"/>
      <c r="K1317" s="95" t="n"/>
      <c r="L1317" s="116">
        <f>IF($A1317="","",DATE(YEAR($A1317),MONTH($A1317)+IF(AND(IFERROR(N(INDEX(Übersicht!$M$15:$M$22,MATCH($B1317,Übersicht!$A$15:$A$22,0))),0)&gt;1,DAY($A1317)&gt;=IFERROR(N(INDEX(Übersicht!$M$15:$M$22,MATCH($B1317,Übersicht!$A$15:$A$22,0))),0)),1,0),1))</f>
        <v/>
      </c>
    </row>
    <row r="1318">
      <c r="A1318" s="92" t="n"/>
      <c r="B1318" s="55" t="n"/>
      <c r="C1318" s="55" t="n"/>
      <c r="D1318" s="55" t="n"/>
      <c r="E1318" s="93" t="n"/>
      <c r="F1318" s="94" t="n"/>
      <c r="G1318" s="94" t="n"/>
      <c r="H1318" s="94" t="n"/>
      <c r="I1318" s="94" t="n"/>
      <c r="J1318" s="55" t="n"/>
      <c r="K1318" s="95" t="n"/>
      <c r="L1318" s="116">
        <f>IF($A1318="","",DATE(YEAR($A1318),MONTH($A1318)+IF(AND(IFERROR(N(INDEX(Übersicht!$M$15:$M$22,MATCH($B1318,Übersicht!$A$15:$A$22,0))),0)&gt;1,DAY($A1318)&gt;=IFERROR(N(INDEX(Übersicht!$M$15:$M$22,MATCH($B1318,Übersicht!$A$15:$A$22,0))),0)),1,0),1))</f>
        <v/>
      </c>
    </row>
    <row r="1319">
      <c r="A1319" s="92" t="n"/>
      <c r="B1319" s="55" t="n"/>
      <c r="C1319" s="55" t="n"/>
      <c r="D1319" s="55" t="n"/>
      <c r="E1319" s="93" t="n"/>
      <c r="F1319" s="94" t="n"/>
      <c r="G1319" s="94" t="n"/>
      <c r="H1319" s="94" t="n"/>
      <c r="I1319" s="94" t="n"/>
      <c r="J1319" s="55" t="n"/>
      <c r="K1319" s="95" t="n"/>
      <c r="L1319" s="116">
        <f>IF($A1319="","",DATE(YEAR($A1319),MONTH($A1319)+IF(AND(IFERROR(N(INDEX(Übersicht!$M$15:$M$22,MATCH($B1319,Übersicht!$A$15:$A$22,0))),0)&gt;1,DAY($A1319)&gt;=IFERROR(N(INDEX(Übersicht!$M$15:$M$22,MATCH($B1319,Übersicht!$A$15:$A$22,0))),0)),1,0),1))</f>
        <v/>
      </c>
    </row>
    <row r="1320">
      <c r="A1320" s="92" t="n"/>
      <c r="B1320" s="55" t="n"/>
      <c r="C1320" s="55" t="n"/>
      <c r="D1320" s="55" t="n"/>
      <c r="E1320" s="93" t="n"/>
      <c r="F1320" s="94" t="n"/>
      <c r="G1320" s="94" t="n"/>
      <c r="H1320" s="94" t="n"/>
      <c r="I1320" s="94" t="n"/>
      <c r="J1320" s="55" t="n"/>
      <c r="K1320" s="95" t="n"/>
      <c r="L1320" s="116">
        <f>IF($A1320="","",DATE(YEAR($A1320),MONTH($A1320)+IF(AND(IFERROR(N(INDEX(Übersicht!$M$15:$M$22,MATCH($B1320,Übersicht!$A$15:$A$22,0))),0)&gt;1,DAY($A1320)&gt;=IFERROR(N(INDEX(Übersicht!$M$15:$M$22,MATCH($B1320,Übersicht!$A$15:$A$22,0))),0)),1,0),1))</f>
        <v/>
      </c>
    </row>
    <row r="1321">
      <c r="A1321" s="92" t="n"/>
      <c r="B1321" s="55" t="n"/>
      <c r="C1321" s="55" t="n"/>
      <c r="D1321" s="55" t="n"/>
      <c r="E1321" s="93" t="n"/>
      <c r="F1321" s="94" t="n"/>
      <c r="G1321" s="94" t="n"/>
      <c r="H1321" s="94" t="n"/>
      <c r="I1321" s="94" t="n"/>
      <c r="J1321" s="55" t="n"/>
      <c r="K1321" s="95" t="n"/>
      <c r="L1321" s="116">
        <f>IF($A1321="","",DATE(YEAR($A1321),MONTH($A1321)+IF(AND(IFERROR(N(INDEX(Übersicht!$M$15:$M$22,MATCH($B1321,Übersicht!$A$15:$A$22,0))),0)&gt;1,DAY($A1321)&gt;=IFERROR(N(INDEX(Übersicht!$M$15:$M$22,MATCH($B1321,Übersicht!$A$15:$A$22,0))),0)),1,0),1))</f>
        <v/>
      </c>
    </row>
    <row r="1322">
      <c r="A1322" s="92" t="n"/>
      <c r="B1322" s="55" t="n"/>
      <c r="C1322" s="55" t="n"/>
      <c r="D1322" s="55" t="n"/>
      <c r="E1322" s="93" t="n"/>
      <c r="F1322" s="94" t="n"/>
      <c r="G1322" s="94" t="n"/>
      <c r="H1322" s="94" t="n"/>
      <c r="I1322" s="94" t="n"/>
      <c r="J1322" s="55" t="n"/>
      <c r="K1322" s="95" t="n"/>
      <c r="L1322" s="116">
        <f>IF($A1322="","",DATE(YEAR($A1322),MONTH($A1322)+IF(AND(IFERROR(N(INDEX(Übersicht!$M$15:$M$22,MATCH($B1322,Übersicht!$A$15:$A$22,0))),0)&gt;1,DAY($A1322)&gt;=IFERROR(N(INDEX(Übersicht!$M$15:$M$22,MATCH($B1322,Übersicht!$A$15:$A$22,0))),0)),1,0),1))</f>
        <v/>
      </c>
    </row>
    <row r="1323">
      <c r="A1323" s="92" t="n"/>
      <c r="B1323" s="55" t="n"/>
      <c r="C1323" s="55" t="n"/>
      <c r="D1323" s="55" t="n"/>
      <c r="E1323" s="93" t="n"/>
      <c r="F1323" s="94" t="n"/>
      <c r="G1323" s="94" t="n"/>
      <c r="H1323" s="94" t="n"/>
      <c r="I1323" s="94" t="n"/>
      <c r="J1323" s="55" t="n"/>
      <c r="K1323" s="95" t="n"/>
      <c r="L1323" s="116">
        <f>IF($A1323="","",DATE(YEAR($A1323),MONTH($A1323)+IF(AND(IFERROR(N(INDEX(Übersicht!$M$15:$M$22,MATCH($B1323,Übersicht!$A$15:$A$22,0))),0)&gt;1,DAY($A1323)&gt;=IFERROR(N(INDEX(Übersicht!$M$15:$M$22,MATCH($B1323,Übersicht!$A$15:$A$22,0))),0)),1,0),1))</f>
        <v/>
      </c>
    </row>
    <row r="1324">
      <c r="A1324" s="92" t="n"/>
      <c r="B1324" s="55" t="n"/>
      <c r="C1324" s="55" t="n"/>
      <c r="D1324" s="55" t="n"/>
      <c r="E1324" s="93" t="n"/>
      <c r="F1324" s="94" t="n"/>
      <c r="G1324" s="94" t="n"/>
      <c r="H1324" s="94" t="n"/>
      <c r="I1324" s="94" t="n"/>
      <c r="J1324" s="55" t="n"/>
      <c r="K1324" s="95" t="n"/>
      <c r="L1324" s="116">
        <f>IF($A1324="","",DATE(YEAR($A1324),MONTH($A1324)+IF(AND(IFERROR(N(INDEX(Übersicht!$M$15:$M$22,MATCH($B1324,Übersicht!$A$15:$A$22,0))),0)&gt;1,DAY($A1324)&gt;=IFERROR(N(INDEX(Übersicht!$M$15:$M$22,MATCH($B1324,Übersicht!$A$15:$A$22,0))),0)),1,0),1))</f>
        <v/>
      </c>
    </row>
    <row r="1325">
      <c r="A1325" s="92" t="n"/>
      <c r="B1325" s="55" t="n"/>
      <c r="C1325" s="55" t="n"/>
      <c r="D1325" s="55" t="n"/>
      <c r="E1325" s="93" t="n"/>
      <c r="F1325" s="94" t="n"/>
      <c r="G1325" s="94" t="n"/>
      <c r="H1325" s="94" t="n"/>
      <c r="I1325" s="94" t="n"/>
      <c r="J1325" s="55" t="n"/>
      <c r="K1325" s="95" t="n"/>
      <c r="L1325" s="116">
        <f>IF($A1325="","",DATE(YEAR($A1325),MONTH($A1325)+IF(AND(IFERROR(N(INDEX(Übersicht!$M$15:$M$22,MATCH($B1325,Übersicht!$A$15:$A$22,0))),0)&gt;1,DAY($A1325)&gt;=IFERROR(N(INDEX(Übersicht!$M$15:$M$22,MATCH($B1325,Übersicht!$A$15:$A$22,0))),0)),1,0),1))</f>
        <v/>
      </c>
    </row>
    <row r="1326">
      <c r="A1326" s="92" t="n"/>
      <c r="B1326" s="55" t="n"/>
      <c r="C1326" s="55" t="n"/>
      <c r="D1326" s="55" t="n"/>
      <c r="E1326" s="93" t="n"/>
      <c r="F1326" s="94" t="n"/>
      <c r="G1326" s="94" t="n"/>
      <c r="H1326" s="94" t="n"/>
      <c r="I1326" s="94" t="n"/>
      <c r="J1326" s="55" t="n"/>
      <c r="K1326" s="95" t="n"/>
      <c r="L1326" s="116">
        <f>IF($A1326="","",DATE(YEAR($A1326),MONTH($A1326)+IF(AND(IFERROR(N(INDEX(Übersicht!$M$15:$M$22,MATCH($B1326,Übersicht!$A$15:$A$22,0))),0)&gt;1,DAY($A1326)&gt;=IFERROR(N(INDEX(Übersicht!$M$15:$M$22,MATCH($B1326,Übersicht!$A$15:$A$22,0))),0)),1,0),1))</f>
        <v/>
      </c>
    </row>
    <row r="1327">
      <c r="A1327" s="92" t="n"/>
      <c r="B1327" s="55" t="n"/>
      <c r="C1327" s="55" t="n"/>
      <c r="D1327" s="55" t="n"/>
      <c r="E1327" s="93" t="n"/>
      <c r="F1327" s="94" t="n"/>
      <c r="G1327" s="94" t="n"/>
      <c r="H1327" s="94" t="n"/>
      <c r="I1327" s="94" t="n"/>
      <c r="J1327" s="55" t="n"/>
      <c r="K1327" s="95" t="n"/>
      <c r="L1327" s="116">
        <f>IF($A1327="","",DATE(YEAR($A1327),MONTH($A1327)+IF(AND(IFERROR(N(INDEX(Übersicht!$M$15:$M$22,MATCH($B1327,Übersicht!$A$15:$A$22,0))),0)&gt;1,DAY($A1327)&gt;=IFERROR(N(INDEX(Übersicht!$M$15:$M$22,MATCH($B1327,Übersicht!$A$15:$A$22,0))),0)),1,0),1))</f>
        <v/>
      </c>
    </row>
    <row r="1328">
      <c r="A1328" s="92" t="n"/>
      <c r="B1328" s="55" t="n"/>
      <c r="C1328" s="55" t="n"/>
      <c r="D1328" s="55" t="n"/>
      <c r="E1328" s="93" t="n"/>
      <c r="F1328" s="94" t="n"/>
      <c r="G1328" s="94" t="n"/>
      <c r="H1328" s="94" t="n"/>
      <c r="I1328" s="94" t="n"/>
      <c r="J1328" s="55" t="n"/>
      <c r="K1328" s="95" t="n"/>
      <c r="L1328" s="116">
        <f>IF($A1328="","",DATE(YEAR($A1328),MONTH($A1328)+IF(AND(IFERROR(N(INDEX(Übersicht!$M$15:$M$22,MATCH($B1328,Übersicht!$A$15:$A$22,0))),0)&gt;1,DAY($A1328)&gt;=IFERROR(N(INDEX(Übersicht!$M$15:$M$22,MATCH($B1328,Übersicht!$A$15:$A$22,0))),0)),1,0),1))</f>
        <v/>
      </c>
    </row>
    <row r="1329">
      <c r="A1329" s="92" t="n"/>
      <c r="B1329" s="55" t="n"/>
      <c r="C1329" s="55" t="n"/>
      <c r="D1329" s="55" t="n"/>
      <c r="E1329" s="93" t="n"/>
      <c r="F1329" s="94" t="n"/>
      <c r="G1329" s="94" t="n"/>
      <c r="H1329" s="94" t="n"/>
      <c r="I1329" s="94" t="n"/>
      <c r="J1329" s="55" t="n"/>
      <c r="K1329" s="95" t="n"/>
      <c r="L1329" s="116">
        <f>IF($A1329="","",DATE(YEAR($A1329),MONTH($A1329)+IF(AND(IFERROR(N(INDEX(Übersicht!$M$15:$M$22,MATCH($B1329,Übersicht!$A$15:$A$22,0))),0)&gt;1,DAY($A1329)&gt;=IFERROR(N(INDEX(Übersicht!$M$15:$M$22,MATCH($B1329,Übersicht!$A$15:$A$22,0))),0)),1,0),1))</f>
        <v/>
      </c>
    </row>
    <row r="1330">
      <c r="A1330" s="92" t="n"/>
      <c r="B1330" s="55" t="n"/>
      <c r="C1330" s="55" t="n"/>
      <c r="D1330" s="55" t="n"/>
      <c r="E1330" s="93" t="n"/>
      <c r="F1330" s="94" t="n"/>
      <c r="G1330" s="94" t="n"/>
      <c r="H1330" s="94" t="n"/>
      <c r="I1330" s="94" t="n"/>
      <c r="J1330" s="55" t="n"/>
      <c r="K1330" s="95" t="n"/>
      <c r="L1330" s="116">
        <f>IF($A1330="","",DATE(YEAR($A1330),MONTH($A1330)+IF(AND(IFERROR(N(INDEX(Übersicht!$M$15:$M$22,MATCH($B1330,Übersicht!$A$15:$A$22,0))),0)&gt;1,DAY($A1330)&gt;=IFERROR(N(INDEX(Übersicht!$M$15:$M$22,MATCH($B1330,Übersicht!$A$15:$A$22,0))),0)),1,0),1))</f>
        <v/>
      </c>
    </row>
    <row r="1331">
      <c r="A1331" s="92" t="n"/>
      <c r="B1331" s="55" t="n"/>
      <c r="C1331" s="55" t="n"/>
      <c r="D1331" s="55" t="n"/>
      <c r="E1331" s="93" t="n"/>
      <c r="F1331" s="94" t="n"/>
      <c r="G1331" s="94" t="n"/>
      <c r="H1331" s="94" t="n"/>
      <c r="I1331" s="94" t="n"/>
      <c r="J1331" s="55" t="n"/>
      <c r="K1331" s="95" t="n"/>
      <c r="L1331" s="116">
        <f>IF($A1331="","",DATE(YEAR($A1331),MONTH($A1331)+IF(AND(IFERROR(N(INDEX(Übersicht!$M$15:$M$22,MATCH($B1331,Übersicht!$A$15:$A$22,0))),0)&gt;1,DAY($A1331)&gt;=IFERROR(N(INDEX(Übersicht!$M$15:$M$22,MATCH($B1331,Übersicht!$A$15:$A$22,0))),0)),1,0),1))</f>
        <v/>
      </c>
    </row>
    <row r="1332">
      <c r="A1332" s="92" t="n"/>
      <c r="B1332" s="55" t="n"/>
      <c r="C1332" s="55" t="n"/>
      <c r="D1332" s="55" t="n"/>
      <c r="E1332" s="93" t="n"/>
      <c r="F1332" s="94" t="n"/>
      <c r="G1332" s="94" t="n"/>
      <c r="H1332" s="94" t="n"/>
      <c r="I1332" s="94" t="n"/>
      <c r="J1332" s="55" t="n"/>
      <c r="K1332" s="95" t="n"/>
      <c r="L1332" s="116">
        <f>IF($A1332="","",DATE(YEAR($A1332),MONTH($A1332)+IF(AND(IFERROR(N(INDEX(Übersicht!$M$15:$M$22,MATCH($B1332,Übersicht!$A$15:$A$22,0))),0)&gt;1,DAY($A1332)&gt;=IFERROR(N(INDEX(Übersicht!$M$15:$M$22,MATCH($B1332,Übersicht!$A$15:$A$22,0))),0)),1,0),1))</f>
        <v/>
      </c>
    </row>
    <row r="1333">
      <c r="A1333" s="92" t="n"/>
      <c r="B1333" s="55" t="n"/>
      <c r="C1333" s="55" t="n"/>
      <c r="D1333" s="55" t="n"/>
      <c r="E1333" s="93" t="n"/>
      <c r="F1333" s="94" t="n"/>
      <c r="G1333" s="94" t="n"/>
      <c r="H1333" s="94" t="n"/>
      <c r="I1333" s="94" t="n"/>
      <c r="J1333" s="55" t="n"/>
      <c r="K1333" s="95" t="n"/>
      <c r="L1333" s="116">
        <f>IF($A1333="","",DATE(YEAR($A1333),MONTH($A1333)+IF(AND(IFERROR(N(INDEX(Übersicht!$M$15:$M$22,MATCH($B1333,Übersicht!$A$15:$A$22,0))),0)&gt;1,DAY($A1333)&gt;=IFERROR(N(INDEX(Übersicht!$M$15:$M$22,MATCH($B1333,Übersicht!$A$15:$A$22,0))),0)),1,0),1))</f>
        <v/>
      </c>
    </row>
    <row r="1334">
      <c r="A1334" s="92" t="n"/>
      <c r="B1334" s="55" t="n"/>
      <c r="C1334" s="55" t="n"/>
      <c r="D1334" s="55" t="n"/>
      <c r="E1334" s="93" t="n"/>
      <c r="F1334" s="94" t="n"/>
      <c r="G1334" s="94" t="n"/>
      <c r="H1334" s="94" t="n"/>
      <c r="I1334" s="94" t="n"/>
      <c r="J1334" s="55" t="n"/>
      <c r="K1334" s="95" t="n"/>
      <c r="L1334" s="116">
        <f>IF($A1334="","",DATE(YEAR($A1334),MONTH($A1334)+IF(AND(IFERROR(N(INDEX(Übersicht!$M$15:$M$22,MATCH($B1334,Übersicht!$A$15:$A$22,0))),0)&gt;1,DAY($A1334)&gt;=IFERROR(N(INDEX(Übersicht!$M$15:$M$22,MATCH($B1334,Übersicht!$A$15:$A$22,0))),0)),1,0),1))</f>
        <v/>
      </c>
    </row>
    <row r="1335">
      <c r="A1335" s="92" t="n"/>
      <c r="B1335" s="55" t="n"/>
      <c r="C1335" s="55" t="n"/>
      <c r="D1335" s="55" t="n"/>
      <c r="E1335" s="93" t="n"/>
      <c r="F1335" s="94" t="n"/>
      <c r="G1335" s="94" t="n"/>
      <c r="H1335" s="94" t="n"/>
      <c r="I1335" s="94" t="n"/>
      <c r="J1335" s="55" t="n"/>
      <c r="K1335" s="95" t="n"/>
      <c r="L1335" s="116">
        <f>IF($A1335="","",DATE(YEAR($A1335),MONTH($A1335)+IF(AND(IFERROR(N(INDEX(Übersicht!$M$15:$M$22,MATCH($B1335,Übersicht!$A$15:$A$22,0))),0)&gt;1,DAY($A1335)&gt;=IFERROR(N(INDEX(Übersicht!$M$15:$M$22,MATCH($B1335,Übersicht!$A$15:$A$22,0))),0)),1,0),1))</f>
        <v/>
      </c>
    </row>
    <row r="1336">
      <c r="A1336" s="92" t="n"/>
      <c r="B1336" s="55" t="n"/>
      <c r="C1336" s="55" t="n"/>
      <c r="D1336" s="55" t="n"/>
      <c r="E1336" s="93" t="n"/>
      <c r="F1336" s="94" t="n"/>
      <c r="G1336" s="94" t="n"/>
      <c r="H1336" s="94" t="n"/>
      <c r="I1336" s="94" t="n"/>
      <c r="J1336" s="55" t="n"/>
      <c r="K1336" s="95" t="n"/>
      <c r="L1336" s="116">
        <f>IF($A1336="","",DATE(YEAR($A1336),MONTH($A1336)+IF(AND(IFERROR(N(INDEX(Übersicht!$M$15:$M$22,MATCH($B1336,Übersicht!$A$15:$A$22,0))),0)&gt;1,DAY($A1336)&gt;=IFERROR(N(INDEX(Übersicht!$M$15:$M$22,MATCH($B1336,Übersicht!$A$15:$A$22,0))),0)),1,0),1))</f>
        <v/>
      </c>
    </row>
    <row r="1337">
      <c r="A1337" s="92" t="n"/>
      <c r="B1337" s="55" t="n"/>
      <c r="C1337" s="55" t="n"/>
      <c r="D1337" s="55" t="n"/>
      <c r="E1337" s="93" t="n"/>
      <c r="F1337" s="94" t="n"/>
      <c r="G1337" s="94" t="n"/>
      <c r="H1337" s="94" t="n"/>
      <c r="I1337" s="94" t="n"/>
      <c r="J1337" s="55" t="n"/>
      <c r="K1337" s="95" t="n"/>
      <c r="L1337" s="116">
        <f>IF($A1337="","",DATE(YEAR($A1337),MONTH($A1337)+IF(AND(IFERROR(N(INDEX(Übersicht!$M$15:$M$22,MATCH($B1337,Übersicht!$A$15:$A$22,0))),0)&gt;1,DAY($A1337)&gt;=IFERROR(N(INDEX(Übersicht!$M$15:$M$22,MATCH($B1337,Übersicht!$A$15:$A$22,0))),0)),1,0),1))</f>
        <v/>
      </c>
    </row>
    <row r="1338">
      <c r="A1338" s="92" t="n"/>
      <c r="B1338" s="55" t="n"/>
      <c r="C1338" s="55" t="n"/>
      <c r="D1338" s="55" t="n"/>
      <c r="E1338" s="93" t="n"/>
      <c r="F1338" s="94" t="n"/>
      <c r="G1338" s="94" t="n"/>
      <c r="H1338" s="94" t="n"/>
      <c r="I1338" s="94" t="n"/>
      <c r="J1338" s="55" t="n"/>
      <c r="K1338" s="95" t="n"/>
      <c r="L1338" s="116">
        <f>IF($A1338="","",DATE(YEAR($A1338),MONTH($A1338)+IF(AND(IFERROR(N(INDEX(Übersicht!$M$15:$M$22,MATCH($B1338,Übersicht!$A$15:$A$22,0))),0)&gt;1,DAY($A1338)&gt;=IFERROR(N(INDEX(Übersicht!$M$15:$M$22,MATCH($B1338,Übersicht!$A$15:$A$22,0))),0)),1,0),1))</f>
        <v/>
      </c>
    </row>
    <row r="1339">
      <c r="A1339" s="92" t="n"/>
      <c r="B1339" s="55" t="n"/>
      <c r="C1339" s="55" t="n"/>
      <c r="D1339" s="55" t="n"/>
      <c r="E1339" s="93" t="n"/>
      <c r="F1339" s="94" t="n"/>
      <c r="G1339" s="94" t="n"/>
      <c r="H1339" s="94" t="n"/>
      <c r="I1339" s="94" t="n"/>
      <c r="J1339" s="55" t="n"/>
      <c r="K1339" s="95" t="n"/>
      <c r="L1339" s="116">
        <f>IF($A1339="","",DATE(YEAR($A1339),MONTH($A1339)+IF(AND(IFERROR(N(INDEX(Übersicht!$M$15:$M$22,MATCH($B1339,Übersicht!$A$15:$A$22,0))),0)&gt;1,DAY($A1339)&gt;=IFERROR(N(INDEX(Übersicht!$M$15:$M$22,MATCH($B1339,Übersicht!$A$15:$A$22,0))),0)),1,0),1))</f>
        <v/>
      </c>
    </row>
    <row r="1340">
      <c r="A1340" s="92" t="n"/>
      <c r="B1340" s="55" t="n"/>
      <c r="C1340" s="55" t="n"/>
      <c r="D1340" s="55" t="n"/>
      <c r="E1340" s="93" t="n"/>
      <c r="F1340" s="94" t="n"/>
      <c r="G1340" s="94" t="n"/>
      <c r="H1340" s="94" t="n"/>
      <c r="I1340" s="94" t="n"/>
      <c r="J1340" s="55" t="n"/>
      <c r="K1340" s="95" t="n"/>
      <c r="L1340" s="116">
        <f>IF($A1340="","",DATE(YEAR($A1340),MONTH($A1340)+IF(AND(IFERROR(N(INDEX(Übersicht!$M$15:$M$22,MATCH($B1340,Übersicht!$A$15:$A$22,0))),0)&gt;1,DAY($A1340)&gt;=IFERROR(N(INDEX(Übersicht!$M$15:$M$22,MATCH($B1340,Übersicht!$A$15:$A$22,0))),0)),1,0),1))</f>
        <v/>
      </c>
    </row>
    <row r="1341">
      <c r="A1341" s="92" t="n"/>
      <c r="B1341" s="55" t="n"/>
      <c r="C1341" s="55" t="n"/>
      <c r="D1341" s="55" t="n"/>
      <c r="E1341" s="93" t="n"/>
      <c r="F1341" s="94" t="n"/>
      <c r="G1341" s="94" t="n"/>
      <c r="H1341" s="94" t="n"/>
      <c r="I1341" s="94" t="n"/>
      <c r="J1341" s="55" t="n"/>
      <c r="K1341" s="95" t="n"/>
      <c r="L1341" s="116">
        <f>IF($A1341="","",DATE(YEAR($A1341),MONTH($A1341)+IF(AND(IFERROR(N(INDEX(Übersicht!$M$15:$M$22,MATCH($B1341,Übersicht!$A$15:$A$22,0))),0)&gt;1,DAY($A1341)&gt;=IFERROR(N(INDEX(Übersicht!$M$15:$M$22,MATCH($B1341,Übersicht!$A$15:$A$22,0))),0)),1,0),1))</f>
        <v/>
      </c>
    </row>
    <row r="1342">
      <c r="A1342" s="92" t="n"/>
      <c r="B1342" s="55" t="n"/>
      <c r="C1342" s="55" t="n"/>
      <c r="D1342" s="55" t="n"/>
      <c r="E1342" s="93" t="n"/>
      <c r="F1342" s="94" t="n"/>
      <c r="G1342" s="94" t="n"/>
      <c r="H1342" s="94" t="n"/>
      <c r="I1342" s="94" t="n"/>
      <c r="J1342" s="55" t="n"/>
      <c r="K1342" s="95" t="n"/>
      <c r="L1342" s="116">
        <f>IF($A1342="","",DATE(YEAR($A1342),MONTH($A1342)+IF(AND(IFERROR(N(INDEX(Übersicht!$M$15:$M$22,MATCH($B1342,Übersicht!$A$15:$A$22,0))),0)&gt;1,DAY($A1342)&gt;=IFERROR(N(INDEX(Übersicht!$M$15:$M$22,MATCH($B1342,Übersicht!$A$15:$A$22,0))),0)),1,0),1))</f>
        <v/>
      </c>
    </row>
    <row r="1343">
      <c r="A1343" s="92" t="n"/>
      <c r="B1343" s="55" t="n"/>
      <c r="C1343" s="55" t="n"/>
      <c r="D1343" s="55" t="n"/>
      <c r="E1343" s="93" t="n"/>
      <c r="F1343" s="94" t="n"/>
      <c r="G1343" s="94" t="n"/>
      <c r="H1343" s="94" t="n"/>
      <c r="I1343" s="94" t="n"/>
      <c r="J1343" s="55" t="n"/>
      <c r="K1343" s="95" t="n"/>
      <c r="L1343" s="116">
        <f>IF($A1343="","",DATE(YEAR($A1343),MONTH($A1343)+IF(AND(IFERROR(N(INDEX(Übersicht!$M$15:$M$22,MATCH($B1343,Übersicht!$A$15:$A$22,0))),0)&gt;1,DAY($A1343)&gt;=IFERROR(N(INDEX(Übersicht!$M$15:$M$22,MATCH($B1343,Übersicht!$A$15:$A$22,0))),0)),1,0),1))</f>
        <v/>
      </c>
    </row>
    <row r="1344">
      <c r="A1344" s="92" t="n"/>
      <c r="B1344" s="55" t="n"/>
      <c r="C1344" s="55" t="n"/>
      <c r="D1344" s="55" t="n"/>
      <c r="E1344" s="93" t="n"/>
      <c r="F1344" s="94" t="n"/>
      <c r="G1344" s="94" t="n"/>
      <c r="H1344" s="94" t="n"/>
      <c r="I1344" s="94" t="n"/>
      <c r="J1344" s="55" t="n"/>
      <c r="K1344" s="95" t="n"/>
      <c r="L1344" s="116">
        <f>IF($A1344="","",DATE(YEAR($A1344),MONTH($A1344)+IF(AND(IFERROR(N(INDEX(Übersicht!$M$15:$M$22,MATCH($B1344,Übersicht!$A$15:$A$22,0))),0)&gt;1,DAY($A1344)&gt;=IFERROR(N(INDEX(Übersicht!$M$15:$M$22,MATCH($B1344,Übersicht!$A$15:$A$22,0))),0)),1,0),1))</f>
        <v/>
      </c>
    </row>
    <row r="1345">
      <c r="A1345" s="92" t="n"/>
      <c r="B1345" s="55" t="n"/>
      <c r="C1345" s="55" t="n"/>
      <c r="D1345" s="55" t="n"/>
      <c r="E1345" s="93" t="n"/>
      <c r="F1345" s="94" t="n"/>
      <c r="G1345" s="94" t="n"/>
      <c r="H1345" s="94" t="n"/>
      <c r="I1345" s="94" t="n"/>
      <c r="J1345" s="55" t="n"/>
      <c r="K1345" s="95" t="n"/>
      <c r="L1345" s="116">
        <f>IF($A1345="","",DATE(YEAR($A1345),MONTH($A1345)+IF(AND(IFERROR(N(INDEX(Übersicht!$M$15:$M$22,MATCH($B1345,Übersicht!$A$15:$A$22,0))),0)&gt;1,DAY($A1345)&gt;=IFERROR(N(INDEX(Übersicht!$M$15:$M$22,MATCH($B1345,Übersicht!$A$15:$A$22,0))),0)),1,0),1))</f>
        <v/>
      </c>
    </row>
    <row r="1346">
      <c r="A1346" s="92" t="n"/>
      <c r="B1346" s="55" t="n"/>
      <c r="C1346" s="55" t="n"/>
      <c r="D1346" s="55" t="n"/>
      <c r="E1346" s="93" t="n"/>
      <c r="F1346" s="94" t="n"/>
      <c r="G1346" s="94" t="n"/>
      <c r="H1346" s="94" t="n"/>
      <c r="I1346" s="94" t="n"/>
      <c r="J1346" s="55" t="n"/>
      <c r="K1346" s="95" t="n"/>
      <c r="L1346" s="116">
        <f>IF($A1346="","",DATE(YEAR($A1346),MONTH($A1346)+IF(AND(IFERROR(N(INDEX(Übersicht!$M$15:$M$22,MATCH($B1346,Übersicht!$A$15:$A$22,0))),0)&gt;1,DAY($A1346)&gt;=IFERROR(N(INDEX(Übersicht!$M$15:$M$22,MATCH($B1346,Übersicht!$A$15:$A$22,0))),0)),1,0),1))</f>
        <v/>
      </c>
    </row>
    <row r="1347">
      <c r="A1347" s="92" t="n"/>
      <c r="B1347" s="55" t="n"/>
      <c r="C1347" s="55" t="n"/>
      <c r="D1347" s="55" t="n"/>
      <c r="E1347" s="93" t="n"/>
      <c r="F1347" s="94" t="n"/>
      <c r="G1347" s="94" t="n"/>
      <c r="H1347" s="94" t="n"/>
      <c r="I1347" s="94" t="n"/>
      <c r="J1347" s="55" t="n"/>
      <c r="K1347" s="95" t="n"/>
      <c r="L1347" s="116">
        <f>IF($A1347="","",DATE(YEAR($A1347),MONTH($A1347)+IF(AND(IFERROR(N(INDEX(Übersicht!$M$15:$M$22,MATCH($B1347,Übersicht!$A$15:$A$22,0))),0)&gt;1,DAY($A1347)&gt;=IFERROR(N(INDEX(Übersicht!$M$15:$M$22,MATCH($B1347,Übersicht!$A$15:$A$22,0))),0)),1,0),1))</f>
        <v/>
      </c>
    </row>
    <row r="1348">
      <c r="A1348" s="92" t="n"/>
      <c r="B1348" s="55" t="n"/>
      <c r="C1348" s="55" t="n"/>
      <c r="D1348" s="55" t="n"/>
      <c r="E1348" s="93" t="n"/>
      <c r="F1348" s="94" t="n"/>
      <c r="G1348" s="94" t="n"/>
      <c r="H1348" s="94" t="n"/>
      <c r="I1348" s="94" t="n"/>
      <c r="J1348" s="55" t="n"/>
      <c r="K1348" s="95" t="n"/>
      <c r="L1348" s="116">
        <f>IF($A1348="","",DATE(YEAR($A1348),MONTH($A1348)+IF(AND(IFERROR(N(INDEX(Übersicht!$M$15:$M$22,MATCH($B1348,Übersicht!$A$15:$A$22,0))),0)&gt;1,DAY($A1348)&gt;=IFERROR(N(INDEX(Übersicht!$M$15:$M$22,MATCH($B1348,Übersicht!$A$15:$A$22,0))),0)),1,0),1))</f>
        <v/>
      </c>
    </row>
    <row r="1349">
      <c r="A1349" s="92" t="n"/>
      <c r="B1349" s="55" t="n"/>
      <c r="C1349" s="55" t="n"/>
      <c r="D1349" s="55" t="n"/>
      <c r="E1349" s="93" t="n"/>
      <c r="F1349" s="94" t="n"/>
      <c r="G1349" s="94" t="n"/>
      <c r="H1349" s="94" t="n"/>
      <c r="I1349" s="94" t="n"/>
      <c r="J1349" s="55" t="n"/>
      <c r="K1349" s="95" t="n"/>
      <c r="L1349" s="116">
        <f>IF($A1349="","",DATE(YEAR($A1349),MONTH($A1349)+IF(AND(IFERROR(N(INDEX(Übersicht!$M$15:$M$22,MATCH($B1349,Übersicht!$A$15:$A$22,0))),0)&gt;1,DAY($A1349)&gt;=IFERROR(N(INDEX(Übersicht!$M$15:$M$22,MATCH($B1349,Übersicht!$A$15:$A$22,0))),0)),1,0),1))</f>
        <v/>
      </c>
    </row>
    <row r="1350">
      <c r="A1350" s="92" t="n"/>
      <c r="B1350" s="55" t="n"/>
      <c r="C1350" s="55" t="n"/>
      <c r="D1350" s="55" t="n"/>
      <c r="E1350" s="93" t="n"/>
      <c r="F1350" s="94" t="n"/>
      <c r="G1350" s="94" t="n"/>
      <c r="H1350" s="94" t="n"/>
      <c r="I1350" s="94" t="n"/>
      <c r="J1350" s="55" t="n"/>
      <c r="K1350" s="95" t="n"/>
      <c r="L1350" s="116">
        <f>IF($A1350="","",DATE(YEAR($A1350),MONTH($A1350)+IF(AND(IFERROR(N(INDEX(Übersicht!$M$15:$M$22,MATCH($B1350,Übersicht!$A$15:$A$22,0))),0)&gt;1,DAY($A1350)&gt;=IFERROR(N(INDEX(Übersicht!$M$15:$M$22,MATCH($B1350,Übersicht!$A$15:$A$22,0))),0)),1,0),1))</f>
        <v/>
      </c>
    </row>
    <row r="1351">
      <c r="A1351" s="92" t="n"/>
      <c r="B1351" s="55" t="n"/>
      <c r="C1351" s="55" t="n"/>
      <c r="D1351" s="55" t="n"/>
      <c r="E1351" s="93" t="n"/>
      <c r="F1351" s="94" t="n"/>
      <c r="G1351" s="94" t="n"/>
      <c r="H1351" s="94" t="n"/>
      <c r="I1351" s="94" t="n"/>
      <c r="J1351" s="55" t="n"/>
      <c r="K1351" s="95" t="n"/>
      <c r="L1351" s="116">
        <f>IF($A1351="","",DATE(YEAR($A1351),MONTH($A1351)+IF(AND(IFERROR(N(INDEX(Übersicht!$M$15:$M$22,MATCH($B1351,Übersicht!$A$15:$A$22,0))),0)&gt;1,DAY($A1351)&gt;=IFERROR(N(INDEX(Übersicht!$M$15:$M$22,MATCH($B1351,Übersicht!$A$15:$A$22,0))),0)),1,0),1))</f>
        <v/>
      </c>
    </row>
    <row r="1352">
      <c r="A1352" s="92" t="n"/>
      <c r="B1352" s="55" t="n"/>
      <c r="C1352" s="55" t="n"/>
      <c r="D1352" s="55" t="n"/>
      <c r="E1352" s="93" t="n"/>
      <c r="F1352" s="94" t="n"/>
      <c r="G1352" s="94" t="n"/>
      <c r="H1352" s="94" t="n"/>
      <c r="I1352" s="94" t="n"/>
      <c r="J1352" s="55" t="n"/>
      <c r="K1352" s="95" t="n"/>
      <c r="L1352" s="116">
        <f>IF($A1352="","",DATE(YEAR($A1352),MONTH($A1352)+IF(AND(IFERROR(N(INDEX(Übersicht!$M$15:$M$22,MATCH($B1352,Übersicht!$A$15:$A$22,0))),0)&gt;1,DAY($A1352)&gt;=IFERROR(N(INDEX(Übersicht!$M$15:$M$22,MATCH($B1352,Übersicht!$A$15:$A$22,0))),0)),1,0),1))</f>
        <v/>
      </c>
    </row>
    <row r="1353">
      <c r="A1353" s="92" t="n"/>
      <c r="B1353" s="55" t="n"/>
      <c r="C1353" s="55" t="n"/>
      <c r="D1353" s="55" t="n"/>
      <c r="E1353" s="93" t="n"/>
      <c r="F1353" s="94" t="n"/>
      <c r="G1353" s="94" t="n"/>
      <c r="H1353" s="94" t="n"/>
      <c r="I1353" s="94" t="n"/>
      <c r="J1353" s="55" t="n"/>
      <c r="K1353" s="95" t="n"/>
      <c r="L1353" s="116">
        <f>IF($A1353="","",DATE(YEAR($A1353),MONTH($A1353)+IF(AND(IFERROR(N(INDEX(Übersicht!$M$15:$M$22,MATCH($B1353,Übersicht!$A$15:$A$22,0))),0)&gt;1,DAY($A1353)&gt;=IFERROR(N(INDEX(Übersicht!$M$15:$M$22,MATCH($B1353,Übersicht!$A$15:$A$22,0))),0)),1,0),1))</f>
        <v/>
      </c>
    </row>
    <row r="1354">
      <c r="A1354" s="92" t="n"/>
      <c r="B1354" s="55" t="n"/>
      <c r="C1354" s="55" t="n"/>
      <c r="D1354" s="55" t="n"/>
      <c r="E1354" s="93" t="n"/>
      <c r="F1354" s="94" t="n"/>
      <c r="G1354" s="94" t="n"/>
      <c r="H1354" s="94" t="n"/>
      <c r="I1354" s="94" t="n"/>
      <c r="J1354" s="55" t="n"/>
      <c r="K1354" s="95" t="n"/>
      <c r="L1354" s="116">
        <f>IF($A1354="","",DATE(YEAR($A1354),MONTH($A1354)+IF(AND(IFERROR(N(INDEX(Übersicht!$M$15:$M$22,MATCH($B1354,Übersicht!$A$15:$A$22,0))),0)&gt;1,DAY($A1354)&gt;=IFERROR(N(INDEX(Übersicht!$M$15:$M$22,MATCH($B1354,Übersicht!$A$15:$A$22,0))),0)),1,0),1))</f>
        <v/>
      </c>
    </row>
    <row r="1355">
      <c r="A1355" s="92" t="n"/>
      <c r="B1355" s="55" t="n"/>
      <c r="C1355" s="55" t="n"/>
      <c r="D1355" s="55" t="n"/>
      <c r="E1355" s="93" t="n"/>
      <c r="F1355" s="94" t="n"/>
      <c r="G1355" s="94" t="n"/>
      <c r="H1355" s="94" t="n"/>
      <c r="I1355" s="94" t="n"/>
      <c r="J1355" s="55" t="n"/>
      <c r="K1355" s="95" t="n"/>
      <c r="L1355" s="116">
        <f>IF($A1355="","",DATE(YEAR($A1355),MONTH($A1355)+IF(AND(IFERROR(N(INDEX(Übersicht!$M$15:$M$22,MATCH($B1355,Übersicht!$A$15:$A$22,0))),0)&gt;1,DAY($A1355)&gt;=IFERROR(N(INDEX(Übersicht!$M$15:$M$22,MATCH($B1355,Übersicht!$A$15:$A$22,0))),0)),1,0),1))</f>
        <v/>
      </c>
    </row>
    <row r="1356">
      <c r="A1356" s="92" t="n"/>
      <c r="B1356" s="55" t="n"/>
      <c r="C1356" s="55" t="n"/>
      <c r="D1356" s="55" t="n"/>
      <c r="E1356" s="93" t="n"/>
      <c r="F1356" s="94" t="n"/>
      <c r="G1356" s="94" t="n"/>
      <c r="H1356" s="94" t="n"/>
      <c r="I1356" s="94" t="n"/>
      <c r="J1356" s="55" t="n"/>
      <c r="K1356" s="95" t="n"/>
      <c r="L1356" s="116">
        <f>IF($A1356="","",DATE(YEAR($A1356),MONTH($A1356)+IF(AND(IFERROR(N(INDEX(Übersicht!$M$15:$M$22,MATCH($B1356,Übersicht!$A$15:$A$22,0))),0)&gt;1,DAY($A1356)&gt;=IFERROR(N(INDEX(Übersicht!$M$15:$M$22,MATCH($B1356,Übersicht!$A$15:$A$22,0))),0)),1,0),1))</f>
        <v/>
      </c>
    </row>
    <row r="1357">
      <c r="A1357" s="92" t="n"/>
      <c r="B1357" s="55" t="n"/>
      <c r="C1357" s="55" t="n"/>
      <c r="D1357" s="55" t="n"/>
      <c r="E1357" s="93" t="n"/>
      <c r="F1357" s="94" t="n"/>
      <c r="G1357" s="94" t="n"/>
      <c r="H1357" s="94" t="n"/>
      <c r="I1357" s="94" t="n"/>
      <c r="J1357" s="55" t="n"/>
      <c r="K1357" s="95" t="n"/>
      <c r="L1357" s="116">
        <f>IF($A1357="","",DATE(YEAR($A1357),MONTH($A1357)+IF(AND(IFERROR(N(INDEX(Übersicht!$M$15:$M$22,MATCH($B1357,Übersicht!$A$15:$A$22,0))),0)&gt;1,DAY($A1357)&gt;=IFERROR(N(INDEX(Übersicht!$M$15:$M$22,MATCH($B1357,Übersicht!$A$15:$A$22,0))),0)),1,0),1))</f>
        <v/>
      </c>
    </row>
    <row r="1358">
      <c r="A1358" s="92" t="n"/>
      <c r="B1358" s="55" t="n"/>
      <c r="C1358" s="55" t="n"/>
      <c r="D1358" s="55" t="n"/>
      <c r="E1358" s="93" t="n"/>
      <c r="F1358" s="94" t="n"/>
      <c r="G1358" s="94" t="n"/>
      <c r="H1358" s="94" t="n"/>
      <c r="I1358" s="94" t="n"/>
      <c r="J1358" s="55" t="n"/>
      <c r="K1358" s="95" t="n"/>
      <c r="L1358" s="116">
        <f>IF($A1358="","",DATE(YEAR($A1358),MONTH($A1358)+IF(AND(IFERROR(N(INDEX(Übersicht!$M$15:$M$22,MATCH($B1358,Übersicht!$A$15:$A$22,0))),0)&gt;1,DAY($A1358)&gt;=IFERROR(N(INDEX(Übersicht!$M$15:$M$22,MATCH($B1358,Übersicht!$A$15:$A$22,0))),0)),1,0),1))</f>
        <v/>
      </c>
    </row>
    <row r="1359">
      <c r="A1359" s="92" t="n"/>
      <c r="B1359" s="55" t="n"/>
      <c r="C1359" s="55" t="n"/>
      <c r="D1359" s="55" t="n"/>
      <c r="E1359" s="93" t="n"/>
      <c r="F1359" s="94" t="n"/>
      <c r="G1359" s="94" t="n"/>
      <c r="H1359" s="94" t="n"/>
      <c r="I1359" s="94" t="n"/>
      <c r="J1359" s="55" t="n"/>
      <c r="K1359" s="95" t="n"/>
      <c r="L1359" s="116">
        <f>IF($A1359="","",DATE(YEAR($A1359),MONTH($A1359)+IF(AND(IFERROR(N(INDEX(Übersicht!$M$15:$M$22,MATCH($B1359,Übersicht!$A$15:$A$22,0))),0)&gt;1,DAY($A1359)&gt;=IFERROR(N(INDEX(Übersicht!$M$15:$M$22,MATCH($B1359,Übersicht!$A$15:$A$22,0))),0)),1,0),1))</f>
        <v/>
      </c>
    </row>
    <row r="1360">
      <c r="A1360" s="92" t="n"/>
      <c r="B1360" s="55" t="n"/>
      <c r="C1360" s="55" t="n"/>
      <c r="D1360" s="55" t="n"/>
      <c r="E1360" s="93" t="n"/>
      <c r="F1360" s="94" t="n"/>
      <c r="G1360" s="94" t="n"/>
      <c r="H1360" s="94" t="n"/>
      <c r="I1360" s="94" t="n"/>
      <c r="J1360" s="55" t="n"/>
      <c r="K1360" s="95" t="n"/>
      <c r="L1360" s="116">
        <f>IF($A1360="","",DATE(YEAR($A1360),MONTH($A1360)+IF(AND(IFERROR(N(INDEX(Übersicht!$M$15:$M$22,MATCH($B1360,Übersicht!$A$15:$A$22,0))),0)&gt;1,DAY($A1360)&gt;=IFERROR(N(INDEX(Übersicht!$M$15:$M$22,MATCH($B1360,Übersicht!$A$15:$A$22,0))),0)),1,0),1))</f>
        <v/>
      </c>
    </row>
    <row r="1361">
      <c r="A1361" s="92" t="n"/>
      <c r="B1361" s="55" t="n"/>
      <c r="C1361" s="55" t="n"/>
      <c r="D1361" s="55" t="n"/>
      <c r="E1361" s="93" t="n"/>
      <c r="F1361" s="94" t="n"/>
      <c r="G1361" s="94" t="n"/>
      <c r="H1361" s="94" t="n"/>
      <c r="I1361" s="94" t="n"/>
      <c r="J1361" s="55" t="n"/>
      <c r="K1361" s="95" t="n"/>
      <c r="L1361" s="116">
        <f>IF($A1361="","",DATE(YEAR($A1361),MONTH($A1361)+IF(AND(IFERROR(N(INDEX(Übersicht!$M$15:$M$22,MATCH($B1361,Übersicht!$A$15:$A$22,0))),0)&gt;1,DAY($A1361)&gt;=IFERROR(N(INDEX(Übersicht!$M$15:$M$22,MATCH($B1361,Übersicht!$A$15:$A$22,0))),0)),1,0),1))</f>
        <v/>
      </c>
    </row>
    <row r="1362">
      <c r="A1362" s="92" t="n"/>
      <c r="B1362" s="55" t="n"/>
      <c r="C1362" s="55" t="n"/>
      <c r="D1362" s="55" t="n"/>
      <c r="E1362" s="93" t="n"/>
      <c r="F1362" s="94" t="n"/>
      <c r="G1362" s="94" t="n"/>
      <c r="H1362" s="94" t="n"/>
      <c r="I1362" s="94" t="n"/>
      <c r="J1362" s="55" t="n"/>
      <c r="K1362" s="95" t="n"/>
      <c r="L1362" s="116">
        <f>IF($A1362="","",DATE(YEAR($A1362),MONTH($A1362)+IF(AND(IFERROR(N(INDEX(Übersicht!$M$15:$M$22,MATCH($B1362,Übersicht!$A$15:$A$22,0))),0)&gt;1,DAY($A1362)&gt;=IFERROR(N(INDEX(Übersicht!$M$15:$M$22,MATCH($B1362,Übersicht!$A$15:$A$22,0))),0)),1,0),1))</f>
        <v/>
      </c>
    </row>
    <row r="1363">
      <c r="A1363" s="92" t="n"/>
      <c r="B1363" s="55" t="n"/>
      <c r="C1363" s="55" t="n"/>
      <c r="D1363" s="55" t="n"/>
      <c r="E1363" s="93" t="n"/>
      <c r="F1363" s="94" t="n"/>
      <c r="G1363" s="94" t="n"/>
      <c r="H1363" s="94" t="n"/>
      <c r="I1363" s="94" t="n"/>
      <c r="J1363" s="55" t="n"/>
      <c r="K1363" s="95" t="n"/>
      <c r="L1363" s="116">
        <f>IF($A1363="","",DATE(YEAR($A1363),MONTH($A1363)+IF(AND(IFERROR(N(INDEX(Übersicht!$M$15:$M$22,MATCH($B1363,Übersicht!$A$15:$A$22,0))),0)&gt;1,DAY($A1363)&gt;=IFERROR(N(INDEX(Übersicht!$M$15:$M$22,MATCH($B1363,Übersicht!$A$15:$A$22,0))),0)),1,0),1))</f>
        <v/>
      </c>
    </row>
    <row r="1364">
      <c r="A1364" s="92" t="n"/>
      <c r="B1364" s="55" t="n"/>
      <c r="C1364" s="55" t="n"/>
      <c r="D1364" s="55" t="n"/>
      <c r="E1364" s="93" t="n"/>
      <c r="F1364" s="94" t="n"/>
      <c r="G1364" s="94" t="n"/>
      <c r="H1364" s="94" t="n"/>
      <c r="I1364" s="94" t="n"/>
      <c r="J1364" s="55" t="n"/>
      <c r="K1364" s="95" t="n"/>
      <c r="L1364" s="116">
        <f>IF($A1364="","",DATE(YEAR($A1364),MONTH($A1364)+IF(AND(IFERROR(N(INDEX(Übersicht!$M$15:$M$22,MATCH($B1364,Übersicht!$A$15:$A$22,0))),0)&gt;1,DAY($A1364)&gt;=IFERROR(N(INDEX(Übersicht!$M$15:$M$22,MATCH($B1364,Übersicht!$A$15:$A$22,0))),0)),1,0),1))</f>
        <v/>
      </c>
    </row>
    <row r="1365">
      <c r="A1365" s="92" t="n"/>
      <c r="B1365" s="55" t="n"/>
      <c r="C1365" s="55" t="n"/>
      <c r="D1365" s="55" t="n"/>
      <c r="E1365" s="93" t="n"/>
      <c r="F1365" s="94" t="n"/>
      <c r="G1365" s="94" t="n"/>
      <c r="H1365" s="94" t="n"/>
      <c r="I1365" s="94" t="n"/>
      <c r="J1365" s="55" t="n"/>
      <c r="K1365" s="95" t="n"/>
      <c r="L1365" s="116">
        <f>IF($A1365="","",DATE(YEAR($A1365),MONTH($A1365)+IF(AND(IFERROR(N(INDEX(Übersicht!$M$15:$M$22,MATCH($B1365,Übersicht!$A$15:$A$22,0))),0)&gt;1,DAY($A1365)&gt;=IFERROR(N(INDEX(Übersicht!$M$15:$M$22,MATCH($B1365,Übersicht!$A$15:$A$22,0))),0)),1,0),1))</f>
        <v/>
      </c>
    </row>
    <row r="1366">
      <c r="A1366" s="92" t="n"/>
      <c r="B1366" s="55" t="n"/>
      <c r="C1366" s="55" t="n"/>
      <c r="D1366" s="55" t="n"/>
      <c r="E1366" s="93" t="n"/>
      <c r="F1366" s="94" t="n"/>
      <c r="G1366" s="94" t="n"/>
      <c r="H1366" s="94" t="n"/>
      <c r="I1366" s="94" t="n"/>
      <c r="J1366" s="55" t="n"/>
      <c r="K1366" s="95" t="n"/>
      <c r="L1366" s="116">
        <f>IF($A1366="","",DATE(YEAR($A1366),MONTH($A1366)+IF(AND(IFERROR(N(INDEX(Übersicht!$M$15:$M$22,MATCH($B1366,Übersicht!$A$15:$A$22,0))),0)&gt;1,DAY($A1366)&gt;=IFERROR(N(INDEX(Übersicht!$M$15:$M$22,MATCH($B1366,Übersicht!$A$15:$A$22,0))),0)),1,0),1))</f>
        <v/>
      </c>
    </row>
    <row r="1367">
      <c r="A1367" s="92" t="n"/>
      <c r="B1367" s="55" t="n"/>
      <c r="C1367" s="55" t="n"/>
      <c r="D1367" s="55" t="n"/>
      <c r="E1367" s="93" t="n"/>
      <c r="F1367" s="94" t="n"/>
      <c r="G1367" s="94" t="n"/>
      <c r="H1367" s="94" t="n"/>
      <c r="I1367" s="94" t="n"/>
      <c r="J1367" s="55" t="n"/>
      <c r="K1367" s="95" t="n"/>
      <c r="L1367" s="116">
        <f>IF($A1367="","",DATE(YEAR($A1367),MONTH($A1367)+IF(AND(IFERROR(N(INDEX(Übersicht!$M$15:$M$22,MATCH($B1367,Übersicht!$A$15:$A$22,0))),0)&gt;1,DAY($A1367)&gt;=IFERROR(N(INDEX(Übersicht!$M$15:$M$22,MATCH($B1367,Übersicht!$A$15:$A$22,0))),0)),1,0),1))</f>
        <v/>
      </c>
    </row>
    <row r="1368">
      <c r="A1368" s="92" t="n"/>
      <c r="B1368" s="55" t="n"/>
      <c r="C1368" s="55" t="n"/>
      <c r="D1368" s="55" t="n"/>
      <c r="E1368" s="93" t="n"/>
      <c r="F1368" s="94" t="n"/>
      <c r="G1368" s="94" t="n"/>
      <c r="H1368" s="94" t="n"/>
      <c r="I1368" s="94" t="n"/>
      <c r="J1368" s="55" t="n"/>
      <c r="K1368" s="95" t="n"/>
      <c r="L1368" s="116">
        <f>IF($A1368="","",DATE(YEAR($A1368),MONTH($A1368)+IF(AND(IFERROR(N(INDEX(Übersicht!$M$15:$M$22,MATCH($B1368,Übersicht!$A$15:$A$22,0))),0)&gt;1,DAY($A1368)&gt;=IFERROR(N(INDEX(Übersicht!$M$15:$M$22,MATCH($B1368,Übersicht!$A$15:$A$22,0))),0)),1,0),1))</f>
        <v/>
      </c>
    </row>
    <row r="1369">
      <c r="A1369" s="92" t="n"/>
      <c r="B1369" s="55" t="n"/>
      <c r="C1369" s="55" t="n"/>
      <c r="D1369" s="55" t="n"/>
      <c r="E1369" s="93" t="n"/>
      <c r="F1369" s="94" t="n"/>
      <c r="G1369" s="94" t="n"/>
      <c r="H1369" s="94" t="n"/>
      <c r="I1369" s="94" t="n"/>
      <c r="J1369" s="55" t="n"/>
      <c r="K1369" s="95" t="n"/>
      <c r="L1369" s="116">
        <f>IF($A1369="","",DATE(YEAR($A1369),MONTH($A1369)+IF(AND(IFERROR(N(INDEX(Übersicht!$M$15:$M$22,MATCH($B1369,Übersicht!$A$15:$A$22,0))),0)&gt;1,DAY($A1369)&gt;=IFERROR(N(INDEX(Übersicht!$M$15:$M$22,MATCH($B1369,Übersicht!$A$15:$A$22,0))),0)),1,0),1))</f>
        <v/>
      </c>
    </row>
    <row r="1370">
      <c r="A1370" s="92" t="n"/>
      <c r="B1370" s="55" t="n"/>
      <c r="C1370" s="55" t="n"/>
      <c r="D1370" s="55" t="n"/>
      <c r="E1370" s="93" t="n"/>
      <c r="F1370" s="94" t="n"/>
      <c r="G1370" s="94" t="n"/>
      <c r="H1370" s="94" t="n"/>
      <c r="I1370" s="94" t="n"/>
      <c r="J1370" s="55" t="n"/>
      <c r="K1370" s="95" t="n"/>
      <c r="L1370" s="116">
        <f>IF($A1370="","",DATE(YEAR($A1370),MONTH($A1370)+IF(AND(IFERROR(N(INDEX(Übersicht!$M$15:$M$22,MATCH($B1370,Übersicht!$A$15:$A$22,0))),0)&gt;1,DAY($A1370)&gt;=IFERROR(N(INDEX(Übersicht!$M$15:$M$22,MATCH($B1370,Übersicht!$A$15:$A$22,0))),0)),1,0),1))</f>
        <v/>
      </c>
    </row>
    <row r="1371">
      <c r="A1371" s="92" t="n"/>
      <c r="B1371" s="55" t="n"/>
      <c r="C1371" s="55" t="n"/>
      <c r="D1371" s="55" t="n"/>
      <c r="E1371" s="93" t="n"/>
      <c r="F1371" s="94" t="n"/>
      <c r="G1371" s="94" t="n"/>
      <c r="H1371" s="94" t="n"/>
      <c r="I1371" s="94" t="n"/>
      <c r="J1371" s="55" t="n"/>
      <c r="K1371" s="95" t="n"/>
      <c r="L1371" s="116">
        <f>IF($A1371="","",DATE(YEAR($A1371),MONTH($A1371)+IF(AND(IFERROR(N(INDEX(Übersicht!$M$15:$M$22,MATCH($B1371,Übersicht!$A$15:$A$22,0))),0)&gt;1,DAY($A1371)&gt;=IFERROR(N(INDEX(Übersicht!$M$15:$M$22,MATCH($B1371,Übersicht!$A$15:$A$22,0))),0)),1,0),1))</f>
        <v/>
      </c>
    </row>
    <row r="1372">
      <c r="A1372" s="92" t="n"/>
      <c r="B1372" s="55" t="n"/>
      <c r="C1372" s="55" t="n"/>
      <c r="D1372" s="55" t="n"/>
      <c r="E1372" s="93" t="n"/>
      <c r="F1372" s="94" t="n"/>
      <c r="G1372" s="94" t="n"/>
      <c r="H1372" s="94" t="n"/>
      <c r="I1372" s="94" t="n"/>
      <c r="J1372" s="55" t="n"/>
      <c r="K1372" s="95" t="n"/>
      <c r="L1372" s="116">
        <f>IF($A1372="","",DATE(YEAR($A1372),MONTH($A1372)+IF(AND(IFERROR(N(INDEX(Übersicht!$M$15:$M$22,MATCH($B1372,Übersicht!$A$15:$A$22,0))),0)&gt;1,DAY($A1372)&gt;=IFERROR(N(INDEX(Übersicht!$M$15:$M$22,MATCH($B1372,Übersicht!$A$15:$A$22,0))),0)),1,0),1))</f>
        <v/>
      </c>
    </row>
    <row r="1373">
      <c r="A1373" s="92" t="n"/>
      <c r="B1373" s="55" t="n"/>
      <c r="C1373" s="55" t="n"/>
      <c r="D1373" s="55" t="n"/>
      <c r="E1373" s="93" t="n"/>
      <c r="F1373" s="94" t="n"/>
      <c r="G1373" s="94" t="n"/>
      <c r="H1373" s="94" t="n"/>
      <c r="I1373" s="94" t="n"/>
      <c r="J1373" s="55" t="n"/>
      <c r="K1373" s="95" t="n"/>
      <c r="L1373" s="116">
        <f>IF($A1373="","",DATE(YEAR($A1373),MONTH($A1373)+IF(AND(IFERROR(N(INDEX(Übersicht!$M$15:$M$22,MATCH($B1373,Übersicht!$A$15:$A$22,0))),0)&gt;1,DAY($A1373)&gt;=IFERROR(N(INDEX(Übersicht!$M$15:$M$22,MATCH($B1373,Übersicht!$A$15:$A$22,0))),0)),1,0),1))</f>
        <v/>
      </c>
    </row>
    <row r="1374">
      <c r="A1374" s="92" t="n"/>
      <c r="B1374" s="55" t="n"/>
      <c r="C1374" s="55" t="n"/>
      <c r="D1374" s="55" t="n"/>
      <c r="E1374" s="93" t="n"/>
      <c r="F1374" s="94" t="n"/>
      <c r="G1374" s="94" t="n"/>
      <c r="H1374" s="94" t="n"/>
      <c r="I1374" s="94" t="n"/>
      <c r="J1374" s="55" t="n"/>
      <c r="K1374" s="95" t="n"/>
      <c r="L1374" s="116">
        <f>IF($A1374="","",DATE(YEAR($A1374),MONTH($A1374)+IF(AND(IFERROR(N(INDEX(Übersicht!$M$15:$M$22,MATCH($B1374,Übersicht!$A$15:$A$22,0))),0)&gt;1,DAY($A1374)&gt;=IFERROR(N(INDEX(Übersicht!$M$15:$M$22,MATCH($B1374,Übersicht!$A$15:$A$22,0))),0)),1,0),1))</f>
        <v/>
      </c>
    </row>
    <row r="1375">
      <c r="A1375" s="92" t="n"/>
      <c r="B1375" s="55" t="n"/>
      <c r="C1375" s="55" t="n"/>
      <c r="D1375" s="55" t="n"/>
      <c r="E1375" s="93" t="n"/>
      <c r="F1375" s="94" t="n"/>
      <c r="G1375" s="94" t="n"/>
      <c r="H1375" s="94" t="n"/>
      <c r="I1375" s="94" t="n"/>
      <c r="J1375" s="55" t="n"/>
      <c r="K1375" s="95" t="n"/>
      <c r="L1375" s="116">
        <f>IF($A1375="","",DATE(YEAR($A1375),MONTH($A1375)+IF(AND(IFERROR(N(INDEX(Übersicht!$M$15:$M$22,MATCH($B1375,Übersicht!$A$15:$A$22,0))),0)&gt;1,DAY($A1375)&gt;=IFERROR(N(INDEX(Übersicht!$M$15:$M$22,MATCH($B1375,Übersicht!$A$15:$A$22,0))),0)),1,0),1))</f>
        <v/>
      </c>
    </row>
    <row r="1376">
      <c r="A1376" s="92" t="n"/>
      <c r="B1376" s="55" t="n"/>
      <c r="C1376" s="55" t="n"/>
      <c r="D1376" s="55" t="n"/>
      <c r="E1376" s="93" t="n"/>
      <c r="F1376" s="94" t="n"/>
      <c r="G1376" s="94" t="n"/>
      <c r="H1376" s="94" t="n"/>
      <c r="I1376" s="94" t="n"/>
      <c r="J1376" s="55" t="n"/>
      <c r="K1376" s="95" t="n"/>
      <c r="L1376" s="116">
        <f>IF($A1376="","",DATE(YEAR($A1376),MONTH($A1376)+IF(AND(IFERROR(N(INDEX(Übersicht!$M$15:$M$22,MATCH($B1376,Übersicht!$A$15:$A$22,0))),0)&gt;1,DAY($A1376)&gt;=IFERROR(N(INDEX(Übersicht!$M$15:$M$22,MATCH($B1376,Übersicht!$A$15:$A$22,0))),0)),1,0),1))</f>
        <v/>
      </c>
    </row>
    <row r="1377">
      <c r="A1377" s="92" t="n"/>
      <c r="B1377" s="55" t="n"/>
      <c r="C1377" s="55" t="n"/>
      <c r="D1377" s="55" t="n"/>
      <c r="E1377" s="93" t="n"/>
      <c r="F1377" s="94" t="n"/>
      <c r="G1377" s="94" t="n"/>
      <c r="H1377" s="94" t="n"/>
      <c r="I1377" s="94" t="n"/>
      <c r="J1377" s="55" t="n"/>
      <c r="K1377" s="95" t="n"/>
      <c r="L1377" s="116">
        <f>IF($A1377="","",DATE(YEAR($A1377),MONTH($A1377)+IF(AND(IFERROR(N(INDEX(Übersicht!$M$15:$M$22,MATCH($B1377,Übersicht!$A$15:$A$22,0))),0)&gt;1,DAY($A1377)&gt;=IFERROR(N(INDEX(Übersicht!$M$15:$M$22,MATCH($B1377,Übersicht!$A$15:$A$22,0))),0)),1,0),1))</f>
        <v/>
      </c>
    </row>
    <row r="1378">
      <c r="A1378" s="92" t="n"/>
      <c r="B1378" s="55" t="n"/>
      <c r="C1378" s="55" t="n"/>
      <c r="D1378" s="55" t="n"/>
      <c r="E1378" s="93" t="n"/>
      <c r="F1378" s="94" t="n"/>
      <c r="G1378" s="94" t="n"/>
      <c r="H1378" s="94" t="n"/>
      <c r="I1378" s="94" t="n"/>
      <c r="J1378" s="55" t="n"/>
      <c r="K1378" s="95" t="n"/>
      <c r="L1378" s="116">
        <f>IF($A1378="","",DATE(YEAR($A1378),MONTH($A1378)+IF(AND(IFERROR(N(INDEX(Übersicht!$M$15:$M$22,MATCH($B1378,Übersicht!$A$15:$A$22,0))),0)&gt;1,DAY($A1378)&gt;=IFERROR(N(INDEX(Übersicht!$M$15:$M$22,MATCH($B1378,Übersicht!$A$15:$A$22,0))),0)),1,0),1))</f>
        <v/>
      </c>
    </row>
    <row r="1379">
      <c r="A1379" s="92" t="n"/>
      <c r="B1379" s="55" t="n"/>
      <c r="C1379" s="55" t="n"/>
      <c r="D1379" s="55" t="n"/>
      <c r="E1379" s="93" t="n"/>
      <c r="F1379" s="94" t="n"/>
      <c r="G1379" s="94" t="n"/>
      <c r="H1379" s="94" t="n"/>
      <c r="I1379" s="94" t="n"/>
      <c r="J1379" s="55" t="n"/>
      <c r="K1379" s="95" t="n"/>
      <c r="L1379" s="116">
        <f>IF($A1379="","",DATE(YEAR($A1379),MONTH($A1379)+IF(AND(IFERROR(N(INDEX(Übersicht!$M$15:$M$22,MATCH($B1379,Übersicht!$A$15:$A$22,0))),0)&gt;1,DAY($A1379)&gt;=IFERROR(N(INDEX(Übersicht!$M$15:$M$22,MATCH($B1379,Übersicht!$A$15:$A$22,0))),0)),1,0),1))</f>
        <v/>
      </c>
    </row>
    <row r="1380">
      <c r="A1380" s="92" t="n"/>
      <c r="B1380" s="55" t="n"/>
      <c r="C1380" s="55" t="n"/>
      <c r="D1380" s="55" t="n"/>
      <c r="E1380" s="93" t="n"/>
      <c r="F1380" s="94" t="n"/>
      <c r="G1380" s="94" t="n"/>
      <c r="H1380" s="94" t="n"/>
      <c r="I1380" s="94" t="n"/>
      <c r="J1380" s="55" t="n"/>
      <c r="K1380" s="95" t="n"/>
      <c r="L1380" s="116">
        <f>IF($A1380="","",DATE(YEAR($A1380),MONTH($A1380)+IF(AND(IFERROR(N(INDEX(Übersicht!$M$15:$M$22,MATCH($B1380,Übersicht!$A$15:$A$22,0))),0)&gt;1,DAY($A1380)&gt;=IFERROR(N(INDEX(Übersicht!$M$15:$M$22,MATCH($B1380,Übersicht!$A$15:$A$22,0))),0)),1,0),1))</f>
        <v/>
      </c>
    </row>
    <row r="1381">
      <c r="A1381" s="92" t="n"/>
      <c r="B1381" s="55" t="n"/>
      <c r="C1381" s="55" t="n"/>
      <c r="D1381" s="55" t="n"/>
      <c r="E1381" s="93" t="n"/>
      <c r="F1381" s="94" t="n"/>
      <c r="G1381" s="94" t="n"/>
      <c r="H1381" s="94" t="n"/>
      <c r="I1381" s="94" t="n"/>
      <c r="J1381" s="55" t="n"/>
      <c r="K1381" s="95" t="n"/>
      <c r="L1381" s="116">
        <f>IF($A1381="","",DATE(YEAR($A1381),MONTH($A1381)+IF(AND(IFERROR(N(INDEX(Übersicht!$M$15:$M$22,MATCH($B1381,Übersicht!$A$15:$A$22,0))),0)&gt;1,DAY($A1381)&gt;=IFERROR(N(INDEX(Übersicht!$M$15:$M$22,MATCH($B1381,Übersicht!$A$15:$A$22,0))),0)),1,0),1))</f>
        <v/>
      </c>
    </row>
    <row r="1382">
      <c r="A1382" s="92" t="n"/>
      <c r="B1382" s="55" t="n"/>
      <c r="C1382" s="55" t="n"/>
      <c r="D1382" s="55" t="n"/>
      <c r="E1382" s="93" t="n"/>
      <c r="F1382" s="94" t="n"/>
      <c r="G1382" s="94" t="n"/>
      <c r="H1382" s="94" t="n"/>
      <c r="I1382" s="94" t="n"/>
      <c r="J1382" s="55" t="n"/>
      <c r="K1382" s="95" t="n"/>
      <c r="L1382" s="116">
        <f>IF($A1382="","",DATE(YEAR($A1382),MONTH($A1382)+IF(AND(IFERROR(N(INDEX(Übersicht!$M$15:$M$22,MATCH($B1382,Übersicht!$A$15:$A$22,0))),0)&gt;1,DAY($A1382)&gt;=IFERROR(N(INDEX(Übersicht!$M$15:$M$22,MATCH($B1382,Übersicht!$A$15:$A$22,0))),0)),1,0),1))</f>
        <v/>
      </c>
    </row>
    <row r="1383">
      <c r="A1383" s="92" t="n"/>
      <c r="B1383" s="55" t="n"/>
      <c r="C1383" s="55" t="n"/>
      <c r="D1383" s="55" t="n"/>
      <c r="E1383" s="93" t="n"/>
      <c r="F1383" s="94" t="n"/>
      <c r="G1383" s="94" t="n"/>
      <c r="H1383" s="94" t="n"/>
      <c r="I1383" s="94" t="n"/>
      <c r="J1383" s="55" t="n"/>
      <c r="K1383" s="95" t="n"/>
      <c r="L1383" s="116">
        <f>IF($A1383="","",DATE(YEAR($A1383),MONTH($A1383)+IF(AND(IFERROR(N(INDEX(Übersicht!$M$15:$M$22,MATCH($B1383,Übersicht!$A$15:$A$22,0))),0)&gt;1,DAY($A1383)&gt;=IFERROR(N(INDEX(Übersicht!$M$15:$M$22,MATCH($B1383,Übersicht!$A$15:$A$22,0))),0)),1,0),1))</f>
        <v/>
      </c>
    </row>
    <row r="1384">
      <c r="A1384" s="92" t="n"/>
      <c r="B1384" s="55" t="n"/>
      <c r="C1384" s="55" t="n"/>
      <c r="D1384" s="55" t="n"/>
      <c r="E1384" s="93" t="n"/>
      <c r="F1384" s="94" t="n"/>
      <c r="G1384" s="94" t="n"/>
      <c r="H1384" s="94" t="n"/>
      <c r="I1384" s="94" t="n"/>
      <c r="J1384" s="55" t="n"/>
      <c r="K1384" s="95" t="n"/>
      <c r="L1384" s="116">
        <f>IF($A1384="","",DATE(YEAR($A1384),MONTH($A1384)+IF(AND(IFERROR(N(INDEX(Übersicht!$M$15:$M$22,MATCH($B1384,Übersicht!$A$15:$A$22,0))),0)&gt;1,DAY($A1384)&gt;=IFERROR(N(INDEX(Übersicht!$M$15:$M$22,MATCH($B1384,Übersicht!$A$15:$A$22,0))),0)),1,0),1))</f>
        <v/>
      </c>
    </row>
    <row r="1385">
      <c r="A1385" s="92" t="n"/>
      <c r="B1385" s="55" t="n"/>
      <c r="C1385" s="55" t="n"/>
      <c r="D1385" s="55" t="n"/>
      <c r="E1385" s="93" t="n"/>
      <c r="F1385" s="94" t="n"/>
      <c r="G1385" s="94" t="n"/>
      <c r="H1385" s="94" t="n"/>
      <c r="I1385" s="94" t="n"/>
      <c r="J1385" s="55" t="n"/>
      <c r="K1385" s="95" t="n"/>
      <c r="L1385" s="116">
        <f>IF($A1385="","",DATE(YEAR($A1385),MONTH($A1385)+IF(AND(IFERROR(N(INDEX(Übersicht!$M$15:$M$22,MATCH($B1385,Übersicht!$A$15:$A$22,0))),0)&gt;1,DAY($A1385)&gt;=IFERROR(N(INDEX(Übersicht!$M$15:$M$22,MATCH($B1385,Übersicht!$A$15:$A$22,0))),0)),1,0),1))</f>
        <v/>
      </c>
    </row>
    <row r="1386">
      <c r="A1386" s="92" t="n"/>
      <c r="B1386" s="55" t="n"/>
      <c r="C1386" s="55" t="n"/>
      <c r="D1386" s="55" t="n"/>
      <c r="E1386" s="93" t="n"/>
      <c r="F1386" s="94" t="n"/>
      <c r="G1386" s="94" t="n"/>
      <c r="H1386" s="94" t="n"/>
      <c r="I1386" s="94" t="n"/>
      <c r="J1386" s="55" t="n"/>
      <c r="K1386" s="95" t="n"/>
      <c r="L1386" s="116">
        <f>IF($A1386="","",DATE(YEAR($A1386),MONTH($A1386)+IF(AND(IFERROR(N(INDEX(Übersicht!$M$15:$M$22,MATCH($B1386,Übersicht!$A$15:$A$22,0))),0)&gt;1,DAY($A1386)&gt;=IFERROR(N(INDEX(Übersicht!$M$15:$M$22,MATCH($B1386,Übersicht!$A$15:$A$22,0))),0)),1,0),1))</f>
        <v/>
      </c>
    </row>
    <row r="1387">
      <c r="A1387" s="92" t="n"/>
      <c r="B1387" s="55" t="n"/>
      <c r="C1387" s="55" t="n"/>
      <c r="D1387" s="55" t="n"/>
      <c r="E1387" s="93" t="n"/>
      <c r="F1387" s="94" t="n"/>
      <c r="G1387" s="94" t="n"/>
      <c r="H1387" s="94" t="n"/>
      <c r="I1387" s="94" t="n"/>
      <c r="J1387" s="55" t="n"/>
      <c r="K1387" s="95" t="n"/>
      <c r="L1387" s="116">
        <f>IF($A1387="","",DATE(YEAR($A1387),MONTH($A1387)+IF(AND(IFERROR(N(INDEX(Übersicht!$M$15:$M$22,MATCH($B1387,Übersicht!$A$15:$A$22,0))),0)&gt;1,DAY($A1387)&gt;=IFERROR(N(INDEX(Übersicht!$M$15:$M$22,MATCH($B1387,Übersicht!$A$15:$A$22,0))),0)),1,0),1))</f>
        <v/>
      </c>
    </row>
    <row r="1388">
      <c r="A1388" s="92" t="n"/>
      <c r="B1388" s="55" t="n"/>
      <c r="C1388" s="55" t="n"/>
      <c r="D1388" s="55" t="n"/>
      <c r="E1388" s="93" t="n"/>
      <c r="F1388" s="94" t="n"/>
      <c r="G1388" s="94" t="n"/>
      <c r="H1388" s="94" t="n"/>
      <c r="I1388" s="94" t="n"/>
      <c r="J1388" s="55" t="n"/>
      <c r="K1388" s="95" t="n"/>
      <c r="L1388" s="116">
        <f>IF($A1388="","",DATE(YEAR($A1388),MONTH($A1388)+IF(AND(IFERROR(N(INDEX(Übersicht!$M$15:$M$22,MATCH($B1388,Übersicht!$A$15:$A$22,0))),0)&gt;1,DAY($A1388)&gt;=IFERROR(N(INDEX(Übersicht!$M$15:$M$22,MATCH($B1388,Übersicht!$A$15:$A$22,0))),0)),1,0),1))</f>
        <v/>
      </c>
    </row>
    <row r="1389">
      <c r="A1389" s="92" t="n"/>
      <c r="B1389" s="55" t="n"/>
      <c r="C1389" s="55" t="n"/>
      <c r="D1389" s="55" t="n"/>
      <c r="E1389" s="93" t="n"/>
      <c r="F1389" s="94" t="n"/>
      <c r="G1389" s="94" t="n"/>
      <c r="H1389" s="94" t="n"/>
      <c r="I1389" s="94" t="n"/>
      <c r="J1389" s="55" t="n"/>
      <c r="K1389" s="95" t="n"/>
      <c r="L1389" s="116">
        <f>IF($A1389="","",DATE(YEAR($A1389),MONTH($A1389)+IF(AND(IFERROR(N(INDEX(Übersicht!$M$15:$M$22,MATCH($B1389,Übersicht!$A$15:$A$22,0))),0)&gt;1,DAY($A1389)&gt;=IFERROR(N(INDEX(Übersicht!$M$15:$M$22,MATCH($B1389,Übersicht!$A$15:$A$22,0))),0)),1,0),1))</f>
        <v/>
      </c>
    </row>
    <row r="1390">
      <c r="A1390" s="92" t="n"/>
      <c r="B1390" s="55" t="n"/>
      <c r="C1390" s="55" t="n"/>
      <c r="D1390" s="55" t="n"/>
      <c r="E1390" s="93" t="n"/>
      <c r="F1390" s="94" t="n"/>
      <c r="G1390" s="94" t="n"/>
      <c r="H1390" s="94" t="n"/>
      <c r="I1390" s="94" t="n"/>
      <c r="J1390" s="55" t="n"/>
      <c r="K1390" s="95" t="n"/>
      <c r="L1390" s="116">
        <f>IF($A1390="","",DATE(YEAR($A1390),MONTH($A1390)+IF(AND(IFERROR(N(INDEX(Übersicht!$M$15:$M$22,MATCH($B1390,Übersicht!$A$15:$A$22,0))),0)&gt;1,DAY($A1390)&gt;=IFERROR(N(INDEX(Übersicht!$M$15:$M$22,MATCH($B1390,Übersicht!$A$15:$A$22,0))),0)),1,0),1))</f>
        <v/>
      </c>
    </row>
    <row r="1391">
      <c r="A1391" s="92" t="n"/>
      <c r="B1391" s="55" t="n"/>
      <c r="C1391" s="55" t="n"/>
      <c r="D1391" s="55" t="n"/>
      <c r="E1391" s="93" t="n"/>
      <c r="F1391" s="94" t="n"/>
      <c r="G1391" s="94" t="n"/>
      <c r="H1391" s="94" t="n"/>
      <c r="I1391" s="94" t="n"/>
      <c r="J1391" s="55" t="n"/>
      <c r="K1391" s="95" t="n"/>
      <c r="L1391" s="116">
        <f>IF($A1391="","",DATE(YEAR($A1391),MONTH($A1391)+IF(AND(IFERROR(N(INDEX(Übersicht!$M$15:$M$22,MATCH($B1391,Übersicht!$A$15:$A$22,0))),0)&gt;1,DAY($A1391)&gt;=IFERROR(N(INDEX(Übersicht!$M$15:$M$22,MATCH($B1391,Übersicht!$A$15:$A$22,0))),0)),1,0),1))</f>
        <v/>
      </c>
    </row>
    <row r="1392">
      <c r="A1392" s="92" t="n"/>
      <c r="B1392" s="55" t="n"/>
      <c r="C1392" s="55" t="n"/>
      <c r="D1392" s="55" t="n"/>
      <c r="E1392" s="93" t="n"/>
      <c r="F1392" s="94" t="n"/>
      <c r="G1392" s="94" t="n"/>
      <c r="H1392" s="94" t="n"/>
      <c r="I1392" s="94" t="n"/>
      <c r="J1392" s="55" t="n"/>
      <c r="K1392" s="95" t="n"/>
      <c r="L1392" s="116">
        <f>IF($A1392="","",DATE(YEAR($A1392),MONTH($A1392)+IF(AND(IFERROR(N(INDEX(Übersicht!$M$15:$M$22,MATCH($B1392,Übersicht!$A$15:$A$22,0))),0)&gt;1,DAY($A1392)&gt;=IFERROR(N(INDEX(Übersicht!$M$15:$M$22,MATCH($B1392,Übersicht!$A$15:$A$22,0))),0)),1,0),1))</f>
        <v/>
      </c>
    </row>
    <row r="1393">
      <c r="A1393" s="92" t="n"/>
      <c r="B1393" s="55" t="n"/>
      <c r="C1393" s="55" t="n"/>
      <c r="D1393" s="55" t="n"/>
      <c r="E1393" s="93" t="n"/>
      <c r="F1393" s="94" t="n"/>
      <c r="G1393" s="94" t="n"/>
      <c r="H1393" s="94" t="n"/>
      <c r="I1393" s="94" t="n"/>
      <c r="J1393" s="55" t="n"/>
      <c r="K1393" s="95" t="n"/>
      <c r="L1393" s="116">
        <f>IF($A1393="","",DATE(YEAR($A1393),MONTH($A1393)+IF(AND(IFERROR(N(INDEX(Übersicht!$M$15:$M$22,MATCH($B1393,Übersicht!$A$15:$A$22,0))),0)&gt;1,DAY($A1393)&gt;=IFERROR(N(INDEX(Übersicht!$M$15:$M$22,MATCH($B1393,Übersicht!$A$15:$A$22,0))),0)),1,0),1))</f>
        <v/>
      </c>
    </row>
    <row r="1394">
      <c r="A1394" s="92" t="n"/>
      <c r="B1394" s="55" t="n"/>
      <c r="C1394" s="55" t="n"/>
      <c r="D1394" s="55" t="n"/>
      <c r="E1394" s="93" t="n"/>
      <c r="F1394" s="94" t="n"/>
      <c r="G1394" s="94" t="n"/>
      <c r="H1394" s="94" t="n"/>
      <c r="I1394" s="94" t="n"/>
      <c r="J1394" s="55" t="n"/>
      <c r="K1394" s="95" t="n"/>
      <c r="L1394" s="116">
        <f>IF($A1394="","",DATE(YEAR($A1394),MONTH($A1394)+IF(AND(IFERROR(N(INDEX(Übersicht!$M$15:$M$22,MATCH($B1394,Übersicht!$A$15:$A$22,0))),0)&gt;1,DAY($A1394)&gt;=IFERROR(N(INDEX(Übersicht!$M$15:$M$22,MATCH($B1394,Übersicht!$A$15:$A$22,0))),0)),1,0),1))</f>
        <v/>
      </c>
    </row>
    <row r="1395">
      <c r="A1395" s="92" t="n"/>
      <c r="B1395" s="55" t="n"/>
      <c r="C1395" s="55" t="n"/>
      <c r="D1395" s="55" t="n"/>
      <c r="E1395" s="93" t="n"/>
      <c r="F1395" s="94" t="n"/>
      <c r="G1395" s="94" t="n"/>
      <c r="H1395" s="94" t="n"/>
      <c r="I1395" s="94" t="n"/>
      <c r="J1395" s="55" t="n"/>
      <c r="K1395" s="95" t="n"/>
      <c r="L1395" s="116">
        <f>IF($A1395="","",DATE(YEAR($A1395),MONTH($A1395)+IF(AND(IFERROR(N(INDEX(Übersicht!$M$15:$M$22,MATCH($B1395,Übersicht!$A$15:$A$22,0))),0)&gt;1,DAY($A1395)&gt;=IFERROR(N(INDEX(Übersicht!$M$15:$M$22,MATCH($B1395,Übersicht!$A$15:$A$22,0))),0)),1,0),1))</f>
        <v/>
      </c>
    </row>
    <row r="1396">
      <c r="A1396" s="92" t="n"/>
      <c r="B1396" s="55" t="n"/>
      <c r="C1396" s="55" t="n"/>
      <c r="D1396" s="55" t="n"/>
      <c r="E1396" s="93" t="n"/>
      <c r="F1396" s="94" t="n"/>
      <c r="G1396" s="94" t="n"/>
      <c r="H1396" s="94" t="n"/>
      <c r="I1396" s="94" t="n"/>
      <c r="J1396" s="55" t="n"/>
      <c r="K1396" s="95" t="n"/>
      <c r="L1396" s="116">
        <f>IF($A1396="","",DATE(YEAR($A1396),MONTH($A1396)+IF(AND(IFERROR(N(INDEX(Übersicht!$M$15:$M$22,MATCH($B1396,Übersicht!$A$15:$A$22,0))),0)&gt;1,DAY($A1396)&gt;=IFERROR(N(INDEX(Übersicht!$M$15:$M$22,MATCH($B1396,Übersicht!$A$15:$A$22,0))),0)),1,0),1))</f>
        <v/>
      </c>
    </row>
    <row r="1397">
      <c r="A1397" s="92" t="n"/>
      <c r="B1397" s="55" t="n"/>
      <c r="C1397" s="55" t="n"/>
      <c r="D1397" s="55" t="n"/>
      <c r="E1397" s="93" t="n"/>
      <c r="F1397" s="94" t="n"/>
      <c r="G1397" s="94" t="n"/>
      <c r="H1397" s="94" t="n"/>
      <c r="I1397" s="94" t="n"/>
      <c r="J1397" s="55" t="n"/>
      <c r="K1397" s="95" t="n"/>
      <c r="L1397" s="116">
        <f>IF($A1397="","",DATE(YEAR($A1397),MONTH($A1397)+IF(AND(IFERROR(N(INDEX(Übersicht!$M$15:$M$22,MATCH($B1397,Übersicht!$A$15:$A$22,0))),0)&gt;1,DAY($A1397)&gt;=IFERROR(N(INDEX(Übersicht!$M$15:$M$22,MATCH($B1397,Übersicht!$A$15:$A$22,0))),0)),1,0),1))</f>
        <v/>
      </c>
    </row>
    <row r="1398">
      <c r="A1398" s="92" t="n"/>
      <c r="B1398" s="55" t="n"/>
      <c r="C1398" s="55" t="n"/>
      <c r="D1398" s="55" t="n"/>
      <c r="E1398" s="93" t="n"/>
      <c r="F1398" s="94" t="n"/>
      <c r="G1398" s="94" t="n"/>
      <c r="H1398" s="94" t="n"/>
      <c r="I1398" s="94" t="n"/>
      <c r="J1398" s="55" t="n"/>
      <c r="K1398" s="95" t="n"/>
      <c r="L1398" s="116">
        <f>IF($A1398="","",DATE(YEAR($A1398),MONTH($A1398)+IF(AND(IFERROR(N(INDEX(Übersicht!$M$15:$M$22,MATCH($B1398,Übersicht!$A$15:$A$22,0))),0)&gt;1,DAY($A1398)&gt;=IFERROR(N(INDEX(Übersicht!$M$15:$M$22,MATCH($B1398,Übersicht!$A$15:$A$22,0))),0)),1,0),1))</f>
        <v/>
      </c>
    </row>
    <row r="1399">
      <c r="A1399" s="92" t="n"/>
      <c r="B1399" s="55" t="n"/>
      <c r="C1399" s="55" t="n"/>
      <c r="D1399" s="55" t="n"/>
      <c r="E1399" s="93" t="n"/>
      <c r="F1399" s="94" t="n"/>
      <c r="G1399" s="94" t="n"/>
      <c r="H1399" s="94" t="n"/>
      <c r="I1399" s="94" t="n"/>
      <c r="J1399" s="55" t="n"/>
      <c r="K1399" s="95" t="n"/>
      <c r="L1399" s="116">
        <f>IF($A1399="","",DATE(YEAR($A1399),MONTH($A1399)+IF(AND(IFERROR(N(INDEX(Übersicht!$M$15:$M$22,MATCH($B1399,Übersicht!$A$15:$A$22,0))),0)&gt;1,DAY($A1399)&gt;=IFERROR(N(INDEX(Übersicht!$M$15:$M$22,MATCH($B1399,Übersicht!$A$15:$A$22,0))),0)),1,0),1))</f>
        <v/>
      </c>
    </row>
    <row r="1400">
      <c r="A1400" s="92" t="n"/>
      <c r="B1400" s="55" t="n"/>
      <c r="C1400" s="55" t="n"/>
      <c r="D1400" s="55" t="n"/>
      <c r="E1400" s="93" t="n"/>
      <c r="F1400" s="94" t="n"/>
      <c r="G1400" s="94" t="n"/>
      <c r="H1400" s="94" t="n"/>
      <c r="I1400" s="94" t="n"/>
      <c r="J1400" s="55" t="n"/>
      <c r="K1400" s="95" t="n"/>
      <c r="L1400" s="116">
        <f>IF($A1400="","",DATE(YEAR($A1400),MONTH($A1400)+IF(AND(IFERROR(N(INDEX(Übersicht!$M$15:$M$22,MATCH($B1400,Übersicht!$A$15:$A$22,0))),0)&gt;1,DAY($A1400)&gt;=IFERROR(N(INDEX(Übersicht!$M$15:$M$22,MATCH($B1400,Übersicht!$A$15:$A$22,0))),0)),1,0),1))</f>
        <v/>
      </c>
    </row>
    <row r="1401">
      <c r="A1401" s="92" t="n"/>
      <c r="B1401" s="55" t="n"/>
      <c r="C1401" s="55" t="n"/>
      <c r="D1401" s="55" t="n"/>
      <c r="E1401" s="93" t="n"/>
      <c r="F1401" s="94" t="n"/>
      <c r="G1401" s="94" t="n"/>
      <c r="H1401" s="94" t="n"/>
      <c r="I1401" s="94" t="n"/>
      <c r="J1401" s="55" t="n"/>
      <c r="K1401" s="95" t="n"/>
      <c r="L1401" s="116">
        <f>IF($A1401="","",DATE(YEAR($A1401),MONTH($A1401)+IF(AND(IFERROR(N(INDEX(Übersicht!$M$15:$M$22,MATCH($B1401,Übersicht!$A$15:$A$22,0))),0)&gt;1,DAY($A1401)&gt;=IFERROR(N(INDEX(Übersicht!$M$15:$M$22,MATCH($B1401,Übersicht!$A$15:$A$22,0))),0)),1,0),1))</f>
        <v/>
      </c>
    </row>
    <row r="1402">
      <c r="A1402" s="92" t="n"/>
      <c r="B1402" s="55" t="n"/>
      <c r="C1402" s="55" t="n"/>
      <c r="D1402" s="55" t="n"/>
      <c r="E1402" s="93" t="n"/>
      <c r="F1402" s="94" t="n"/>
      <c r="G1402" s="94" t="n"/>
      <c r="H1402" s="94" t="n"/>
      <c r="I1402" s="94" t="n"/>
      <c r="J1402" s="55" t="n"/>
      <c r="K1402" s="95" t="n"/>
      <c r="L1402" s="116">
        <f>IF($A1402="","",DATE(YEAR($A1402),MONTH($A1402)+IF(AND(IFERROR(N(INDEX(Übersicht!$M$15:$M$22,MATCH($B1402,Übersicht!$A$15:$A$22,0))),0)&gt;1,DAY($A1402)&gt;=IFERROR(N(INDEX(Übersicht!$M$15:$M$22,MATCH($B1402,Übersicht!$A$15:$A$22,0))),0)),1,0),1))</f>
        <v/>
      </c>
    </row>
    <row r="1403">
      <c r="A1403" s="92" t="n"/>
      <c r="B1403" s="55" t="n"/>
      <c r="C1403" s="55" t="n"/>
      <c r="D1403" s="55" t="n"/>
      <c r="E1403" s="93" t="n"/>
      <c r="F1403" s="94" t="n"/>
      <c r="G1403" s="94" t="n"/>
      <c r="H1403" s="94" t="n"/>
      <c r="I1403" s="94" t="n"/>
      <c r="J1403" s="55" t="n"/>
      <c r="K1403" s="95" t="n"/>
      <c r="L1403" s="116">
        <f>IF($A1403="","",DATE(YEAR($A1403),MONTH($A1403)+IF(AND(IFERROR(N(INDEX(Übersicht!$M$15:$M$22,MATCH($B1403,Übersicht!$A$15:$A$22,0))),0)&gt;1,DAY($A1403)&gt;=IFERROR(N(INDEX(Übersicht!$M$15:$M$22,MATCH($B1403,Übersicht!$A$15:$A$22,0))),0)),1,0),1))</f>
        <v/>
      </c>
    </row>
    <row r="1404">
      <c r="A1404" s="92" t="n"/>
      <c r="B1404" s="55" t="n"/>
      <c r="C1404" s="55" t="n"/>
      <c r="D1404" s="55" t="n"/>
      <c r="E1404" s="93" t="n"/>
      <c r="F1404" s="94" t="n"/>
      <c r="G1404" s="94" t="n"/>
      <c r="H1404" s="94" t="n"/>
      <c r="I1404" s="94" t="n"/>
      <c r="J1404" s="55" t="n"/>
      <c r="K1404" s="95" t="n"/>
      <c r="L1404" s="116">
        <f>IF($A1404="","",DATE(YEAR($A1404),MONTH($A1404)+IF(AND(IFERROR(N(INDEX(Übersicht!$M$15:$M$22,MATCH($B1404,Übersicht!$A$15:$A$22,0))),0)&gt;1,DAY($A1404)&gt;=IFERROR(N(INDEX(Übersicht!$M$15:$M$22,MATCH($B1404,Übersicht!$A$15:$A$22,0))),0)),1,0),1))</f>
        <v/>
      </c>
    </row>
    <row r="1405">
      <c r="A1405" s="92" t="n"/>
      <c r="B1405" s="55" t="n"/>
      <c r="C1405" s="55" t="n"/>
      <c r="D1405" s="55" t="n"/>
      <c r="E1405" s="93" t="n"/>
      <c r="F1405" s="94" t="n"/>
      <c r="G1405" s="94" t="n"/>
      <c r="H1405" s="94" t="n"/>
      <c r="I1405" s="94" t="n"/>
      <c r="J1405" s="55" t="n"/>
      <c r="K1405" s="95" t="n"/>
      <c r="L1405" s="116">
        <f>IF($A1405="","",DATE(YEAR($A1405),MONTH($A1405)+IF(AND(IFERROR(N(INDEX(Übersicht!$M$15:$M$22,MATCH($B1405,Übersicht!$A$15:$A$22,0))),0)&gt;1,DAY($A1405)&gt;=IFERROR(N(INDEX(Übersicht!$M$15:$M$22,MATCH($B1405,Übersicht!$A$15:$A$22,0))),0)),1,0),1))</f>
        <v/>
      </c>
    </row>
    <row r="1406">
      <c r="A1406" s="92" t="n"/>
      <c r="B1406" s="55" t="n"/>
      <c r="C1406" s="55" t="n"/>
      <c r="D1406" s="55" t="n"/>
      <c r="E1406" s="93" t="n"/>
      <c r="F1406" s="94" t="n"/>
      <c r="G1406" s="94" t="n"/>
      <c r="H1406" s="94" t="n"/>
      <c r="I1406" s="94" t="n"/>
      <c r="J1406" s="55" t="n"/>
      <c r="K1406" s="95" t="n"/>
      <c r="L1406" s="116">
        <f>IF($A1406="","",DATE(YEAR($A1406),MONTH($A1406)+IF(AND(IFERROR(N(INDEX(Übersicht!$M$15:$M$22,MATCH($B1406,Übersicht!$A$15:$A$22,0))),0)&gt;1,DAY($A1406)&gt;=IFERROR(N(INDEX(Übersicht!$M$15:$M$22,MATCH($B1406,Übersicht!$A$15:$A$22,0))),0)),1,0),1))</f>
        <v/>
      </c>
    </row>
    <row r="1407">
      <c r="A1407" s="92" t="n"/>
      <c r="B1407" s="55" t="n"/>
      <c r="C1407" s="55" t="n"/>
      <c r="D1407" s="55" t="n"/>
      <c r="E1407" s="93" t="n"/>
      <c r="F1407" s="94" t="n"/>
      <c r="G1407" s="94" t="n"/>
      <c r="H1407" s="94" t="n"/>
      <c r="I1407" s="94" t="n"/>
      <c r="J1407" s="55" t="n"/>
      <c r="K1407" s="95" t="n"/>
      <c r="L1407" s="116">
        <f>IF($A1407="","",DATE(YEAR($A1407),MONTH($A1407)+IF(AND(IFERROR(N(INDEX(Übersicht!$M$15:$M$22,MATCH($B1407,Übersicht!$A$15:$A$22,0))),0)&gt;1,DAY($A1407)&gt;=IFERROR(N(INDEX(Übersicht!$M$15:$M$22,MATCH($B1407,Übersicht!$A$15:$A$22,0))),0)),1,0),1))</f>
        <v/>
      </c>
    </row>
    <row r="1408">
      <c r="A1408" s="92" t="n"/>
      <c r="B1408" s="55" t="n"/>
      <c r="C1408" s="55" t="n"/>
      <c r="D1408" s="55" t="n"/>
      <c r="E1408" s="93" t="n"/>
      <c r="F1408" s="94" t="n"/>
      <c r="G1408" s="94" t="n"/>
      <c r="H1408" s="94" t="n"/>
      <c r="I1408" s="94" t="n"/>
      <c r="J1408" s="55" t="n"/>
      <c r="K1408" s="95" t="n"/>
      <c r="L1408" s="116">
        <f>IF($A1408="","",DATE(YEAR($A1408),MONTH($A1408)+IF(AND(IFERROR(N(INDEX(Übersicht!$M$15:$M$22,MATCH($B1408,Übersicht!$A$15:$A$22,0))),0)&gt;1,DAY($A1408)&gt;=IFERROR(N(INDEX(Übersicht!$M$15:$M$22,MATCH($B1408,Übersicht!$A$15:$A$22,0))),0)),1,0),1))</f>
        <v/>
      </c>
    </row>
    <row r="1409">
      <c r="A1409" s="92" t="n"/>
      <c r="B1409" s="55" t="n"/>
      <c r="C1409" s="55" t="n"/>
      <c r="D1409" s="55" t="n"/>
      <c r="E1409" s="93" t="n"/>
      <c r="F1409" s="94" t="n"/>
      <c r="G1409" s="94" t="n"/>
      <c r="H1409" s="94" t="n"/>
      <c r="I1409" s="94" t="n"/>
      <c r="J1409" s="55" t="n"/>
      <c r="K1409" s="95" t="n"/>
      <c r="L1409" s="116">
        <f>IF($A1409="","",DATE(YEAR($A1409),MONTH($A1409)+IF(AND(IFERROR(N(INDEX(Übersicht!$M$15:$M$22,MATCH($B1409,Übersicht!$A$15:$A$22,0))),0)&gt;1,DAY($A1409)&gt;=IFERROR(N(INDEX(Übersicht!$M$15:$M$22,MATCH($B1409,Übersicht!$A$15:$A$22,0))),0)),1,0),1))</f>
        <v/>
      </c>
    </row>
    <row r="1410">
      <c r="A1410" s="92" t="n"/>
      <c r="B1410" s="55" t="n"/>
      <c r="C1410" s="55" t="n"/>
      <c r="D1410" s="55" t="n"/>
      <c r="E1410" s="93" t="n"/>
      <c r="F1410" s="94" t="n"/>
      <c r="G1410" s="94" t="n"/>
      <c r="H1410" s="94" t="n"/>
      <c r="I1410" s="94" t="n"/>
      <c r="J1410" s="55" t="n"/>
      <c r="K1410" s="95" t="n"/>
      <c r="L1410" s="116">
        <f>IF($A1410="","",DATE(YEAR($A1410),MONTH($A1410)+IF(AND(IFERROR(N(INDEX(Übersicht!$M$15:$M$22,MATCH($B1410,Übersicht!$A$15:$A$22,0))),0)&gt;1,DAY($A1410)&gt;=IFERROR(N(INDEX(Übersicht!$M$15:$M$22,MATCH($B1410,Übersicht!$A$15:$A$22,0))),0)),1,0),1))</f>
        <v/>
      </c>
    </row>
    <row r="1411">
      <c r="A1411" s="92" t="n"/>
      <c r="B1411" s="55" t="n"/>
      <c r="C1411" s="55" t="n"/>
      <c r="D1411" s="55" t="n"/>
      <c r="E1411" s="93" t="n"/>
      <c r="F1411" s="94" t="n"/>
      <c r="G1411" s="94" t="n"/>
      <c r="H1411" s="94" t="n"/>
      <c r="I1411" s="94" t="n"/>
      <c r="J1411" s="55" t="n"/>
      <c r="K1411" s="95" t="n"/>
      <c r="L1411" s="116">
        <f>IF($A1411="","",DATE(YEAR($A1411),MONTH($A1411)+IF(AND(IFERROR(N(INDEX(Übersicht!$M$15:$M$22,MATCH($B1411,Übersicht!$A$15:$A$22,0))),0)&gt;1,DAY($A1411)&gt;=IFERROR(N(INDEX(Übersicht!$M$15:$M$22,MATCH($B1411,Übersicht!$A$15:$A$22,0))),0)),1,0),1))</f>
        <v/>
      </c>
    </row>
    <row r="1412">
      <c r="A1412" s="92" t="n"/>
      <c r="B1412" s="55" t="n"/>
      <c r="C1412" s="55" t="n"/>
      <c r="D1412" s="55" t="n"/>
      <c r="E1412" s="93" t="n"/>
      <c r="F1412" s="94" t="n"/>
      <c r="G1412" s="94" t="n"/>
      <c r="H1412" s="94" t="n"/>
      <c r="I1412" s="94" t="n"/>
      <c r="J1412" s="55" t="n"/>
      <c r="K1412" s="95" t="n"/>
      <c r="L1412" s="116">
        <f>IF($A1412="","",DATE(YEAR($A1412),MONTH($A1412)+IF(AND(IFERROR(N(INDEX(Übersicht!$M$15:$M$22,MATCH($B1412,Übersicht!$A$15:$A$22,0))),0)&gt;1,DAY($A1412)&gt;=IFERROR(N(INDEX(Übersicht!$M$15:$M$22,MATCH($B1412,Übersicht!$A$15:$A$22,0))),0)),1,0),1))</f>
        <v/>
      </c>
    </row>
    <row r="1413">
      <c r="A1413" s="92" t="n"/>
      <c r="B1413" s="55" t="n"/>
      <c r="C1413" s="55" t="n"/>
      <c r="D1413" s="55" t="n"/>
      <c r="E1413" s="93" t="n"/>
      <c r="F1413" s="94" t="n"/>
      <c r="G1413" s="94" t="n"/>
      <c r="H1413" s="94" t="n"/>
      <c r="I1413" s="94" t="n"/>
      <c r="J1413" s="55" t="n"/>
      <c r="K1413" s="95" t="n"/>
      <c r="L1413" s="116">
        <f>IF($A1413="","",DATE(YEAR($A1413),MONTH($A1413)+IF(AND(IFERROR(N(INDEX(Übersicht!$M$15:$M$22,MATCH($B1413,Übersicht!$A$15:$A$22,0))),0)&gt;1,DAY($A1413)&gt;=IFERROR(N(INDEX(Übersicht!$M$15:$M$22,MATCH($B1413,Übersicht!$A$15:$A$22,0))),0)),1,0),1))</f>
        <v/>
      </c>
    </row>
    <row r="1414">
      <c r="A1414" s="92" t="n"/>
      <c r="B1414" s="55" t="n"/>
      <c r="C1414" s="55" t="n"/>
      <c r="D1414" s="55" t="n"/>
      <c r="E1414" s="93" t="n"/>
      <c r="F1414" s="94" t="n"/>
      <c r="G1414" s="94" t="n"/>
      <c r="H1414" s="94" t="n"/>
      <c r="I1414" s="94" t="n"/>
      <c r="J1414" s="55" t="n"/>
      <c r="K1414" s="95" t="n"/>
      <c r="L1414" s="116">
        <f>IF($A1414="","",DATE(YEAR($A1414),MONTH($A1414)+IF(AND(IFERROR(N(INDEX(Übersicht!$M$15:$M$22,MATCH($B1414,Übersicht!$A$15:$A$22,0))),0)&gt;1,DAY($A1414)&gt;=IFERROR(N(INDEX(Übersicht!$M$15:$M$22,MATCH($B1414,Übersicht!$A$15:$A$22,0))),0)),1,0),1))</f>
        <v/>
      </c>
    </row>
    <row r="1415">
      <c r="A1415" s="92" t="n"/>
      <c r="B1415" s="55" t="n"/>
      <c r="C1415" s="55" t="n"/>
      <c r="D1415" s="55" t="n"/>
      <c r="E1415" s="93" t="n"/>
      <c r="F1415" s="94" t="n"/>
      <c r="G1415" s="94" t="n"/>
      <c r="H1415" s="94" t="n"/>
      <c r="I1415" s="94" t="n"/>
      <c r="J1415" s="55" t="n"/>
      <c r="K1415" s="95" t="n"/>
      <c r="L1415" s="116">
        <f>IF($A1415="","",DATE(YEAR($A1415),MONTH($A1415)+IF(AND(IFERROR(N(INDEX(Übersicht!$M$15:$M$22,MATCH($B1415,Übersicht!$A$15:$A$22,0))),0)&gt;1,DAY($A1415)&gt;=IFERROR(N(INDEX(Übersicht!$M$15:$M$22,MATCH($B1415,Übersicht!$A$15:$A$22,0))),0)),1,0),1))</f>
        <v/>
      </c>
    </row>
    <row r="1416">
      <c r="A1416" s="92" t="n"/>
      <c r="B1416" s="55" t="n"/>
      <c r="C1416" s="55" t="n"/>
      <c r="D1416" s="55" t="n"/>
      <c r="E1416" s="93" t="n"/>
      <c r="F1416" s="94" t="n"/>
      <c r="G1416" s="94" t="n"/>
      <c r="H1416" s="94" t="n"/>
      <c r="I1416" s="94" t="n"/>
      <c r="J1416" s="55" t="n"/>
      <c r="K1416" s="95" t="n"/>
      <c r="L1416" s="116">
        <f>IF($A1416="","",DATE(YEAR($A1416),MONTH($A1416)+IF(AND(IFERROR(N(INDEX(Übersicht!$M$15:$M$22,MATCH($B1416,Übersicht!$A$15:$A$22,0))),0)&gt;1,DAY($A1416)&gt;=IFERROR(N(INDEX(Übersicht!$M$15:$M$22,MATCH($B1416,Übersicht!$A$15:$A$22,0))),0)),1,0),1))</f>
        <v/>
      </c>
    </row>
    <row r="1417">
      <c r="A1417" s="92" t="n"/>
      <c r="B1417" s="55" t="n"/>
      <c r="C1417" s="55" t="n"/>
      <c r="D1417" s="55" t="n"/>
      <c r="E1417" s="93" t="n"/>
      <c r="F1417" s="94" t="n"/>
      <c r="G1417" s="94" t="n"/>
      <c r="H1417" s="94" t="n"/>
      <c r="I1417" s="94" t="n"/>
      <c r="J1417" s="55" t="n"/>
      <c r="K1417" s="95" t="n"/>
      <c r="L1417" s="116">
        <f>IF($A1417="","",DATE(YEAR($A1417),MONTH($A1417)+IF(AND(IFERROR(N(INDEX(Übersicht!$M$15:$M$22,MATCH($B1417,Übersicht!$A$15:$A$22,0))),0)&gt;1,DAY($A1417)&gt;=IFERROR(N(INDEX(Übersicht!$M$15:$M$22,MATCH($B1417,Übersicht!$A$15:$A$22,0))),0)),1,0),1))</f>
        <v/>
      </c>
    </row>
    <row r="1418">
      <c r="A1418" s="92" t="n"/>
      <c r="B1418" s="55" t="n"/>
      <c r="C1418" s="55" t="n"/>
      <c r="D1418" s="55" t="n"/>
      <c r="E1418" s="93" t="n"/>
      <c r="F1418" s="94" t="n"/>
      <c r="G1418" s="94" t="n"/>
      <c r="H1418" s="94" t="n"/>
      <c r="I1418" s="94" t="n"/>
      <c r="J1418" s="55" t="n"/>
      <c r="K1418" s="95" t="n"/>
      <c r="L1418" s="116">
        <f>IF($A1418="","",DATE(YEAR($A1418),MONTH($A1418)+IF(AND(IFERROR(N(INDEX(Übersicht!$M$15:$M$22,MATCH($B1418,Übersicht!$A$15:$A$22,0))),0)&gt;1,DAY($A1418)&gt;=IFERROR(N(INDEX(Übersicht!$M$15:$M$22,MATCH($B1418,Übersicht!$A$15:$A$22,0))),0)),1,0),1))</f>
        <v/>
      </c>
    </row>
    <row r="1419">
      <c r="A1419" s="92" t="n"/>
      <c r="B1419" s="55" t="n"/>
      <c r="C1419" s="55" t="n"/>
      <c r="D1419" s="55" t="n"/>
      <c r="E1419" s="93" t="n"/>
      <c r="F1419" s="94" t="n"/>
      <c r="G1419" s="94" t="n"/>
      <c r="H1419" s="94" t="n"/>
      <c r="I1419" s="94" t="n"/>
      <c r="J1419" s="55" t="n"/>
      <c r="K1419" s="95" t="n"/>
      <c r="L1419" s="116">
        <f>IF($A1419="","",DATE(YEAR($A1419),MONTH($A1419)+IF(AND(IFERROR(N(INDEX(Übersicht!$M$15:$M$22,MATCH($B1419,Übersicht!$A$15:$A$22,0))),0)&gt;1,DAY($A1419)&gt;=IFERROR(N(INDEX(Übersicht!$M$15:$M$22,MATCH($B1419,Übersicht!$A$15:$A$22,0))),0)),1,0),1))</f>
        <v/>
      </c>
    </row>
    <row r="1420">
      <c r="A1420" s="92" t="n"/>
      <c r="B1420" s="55" t="n"/>
      <c r="C1420" s="55" t="n"/>
      <c r="D1420" s="55" t="n"/>
      <c r="E1420" s="93" t="n"/>
      <c r="F1420" s="94" t="n"/>
      <c r="G1420" s="94" t="n"/>
      <c r="H1420" s="94" t="n"/>
      <c r="I1420" s="94" t="n"/>
      <c r="J1420" s="55" t="n"/>
      <c r="K1420" s="95" t="n"/>
      <c r="L1420" s="116">
        <f>IF($A1420="","",DATE(YEAR($A1420),MONTH($A1420)+IF(AND(IFERROR(N(INDEX(Übersicht!$M$15:$M$22,MATCH($B1420,Übersicht!$A$15:$A$22,0))),0)&gt;1,DAY($A1420)&gt;=IFERROR(N(INDEX(Übersicht!$M$15:$M$22,MATCH($B1420,Übersicht!$A$15:$A$22,0))),0)),1,0),1))</f>
        <v/>
      </c>
    </row>
    <row r="1421">
      <c r="A1421" s="92" t="n"/>
      <c r="B1421" s="55" t="n"/>
      <c r="C1421" s="55" t="n"/>
      <c r="D1421" s="55" t="n"/>
      <c r="E1421" s="93" t="n"/>
      <c r="F1421" s="94" t="n"/>
      <c r="G1421" s="94" t="n"/>
      <c r="H1421" s="94" t="n"/>
      <c r="I1421" s="94" t="n"/>
      <c r="J1421" s="55" t="n"/>
      <c r="K1421" s="95" t="n"/>
      <c r="L1421" s="116">
        <f>IF($A1421="","",DATE(YEAR($A1421),MONTH($A1421)+IF(AND(IFERROR(N(INDEX(Übersicht!$M$15:$M$22,MATCH($B1421,Übersicht!$A$15:$A$22,0))),0)&gt;1,DAY($A1421)&gt;=IFERROR(N(INDEX(Übersicht!$M$15:$M$22,MATCH($B1421,Übersicht!$A$15:$A$22,0))),0)),1,0),1))</f>
        <v/>
      </c>
    </row>
    <row r="1422">
      <c r="A1422" s="92" t="n"/>
      <c r="B1422" s="55" t="n"/>
      <c r="C1422" s="55" t="n"/>
      <c r="D1422" s="55" t="n"/>
      <c r="E1422" s="93" t="n"/>
      <c r="F1422" s="94" t="n"/>
      <c r="G1422" s="94" t="n"/>
      <c r="H1422" s="94" t="n"/>
      <c r="I1422" s="94" t="n"/>
      <c r="J1422" s="55" t="n"/>
      <c r="K1422" s="95" t="n"/>
      <c r="L1422" s="116">
        <f>IF($A1422="","",DATE(YEAR($A1422),MONTH($A1422)+IF(AND(IFERROR(N(INDEX(Übersicht!$M$15:$M$22,MATCH($B1422,Übersicht!$A$15:$A$22,0))),0)&gt;1,DAY($A1422)&gt;=IFERROR(N(INDEX(Übersicht!$M$15:$M$22,MATCH($B1422,Übersicht!$A$15:$A$22,0))),0)),1,0),1))</f>
        <v/>
      </c>
    </row>
    <row r="1423">
      <c r="A1423" s="92" t="n"/>
      <c r="B1423" s="55" t="n"/>
      <c r="C1423" s="55" t="n"/>
      <c r="D1423" s="55" t="n"/>
      <c r="E1423" s="93" t="n"/>
      <c r="F1423" s="94" t="n"/>
      <c r="G1423" s="94" t="n"/>
      <c r="H1423" s="94" t="n"/>
      <c r="I1423" s="94" t="n"/>
      <c r="J1423" s="55" t="n"/>
      <c r="K1423" s="95" t="n"/>
      <c r="L1423" s="116">
        <f>IF($A1423="","",DATE(YEAR($A1423),MONTH($A1423)+IF(AND(IFERROR(N(INDEX(Übersicht!$M$15:$M$22,MATCH($B1423,Übersicht!$A$15:$A$22,0))),0)&gt;1,DAY($A1423)&gt;=IFERROR(N(INDEX(Übersicht!$M$15:$M$22,MATCH($B1423,Übersicht!$A$15:$A$22,0))),0)),1,0),1))</f>
        <v/>
      </c>
    </row>
    <row r="1424">
      <c r="A1424" s="92" t="n"/>
      <c r="B1424" s="55" t="n"/>
      <c r="C1424" s="55" t="n"/>
      <c r="D1424" s="55" t="n"/>
      <c r="E1424" s="93" t="n"/>
      <c r="F1424" s="94" t="n"/>
      <c r="G1424" s="94" t="n"/>
      <c r="H1424" s="94" t="n"/>
      <c r="I1424" s="94" t="n"/>
      <c r="J1424" s="55" t="n"/>
      <c r="K1424" s="95" t="n"/>
      <c r="L1424" s="116">
        <f>IF($A1424="","",DATE(YEAR($A1424),MONTH($A1424)+IF(AND(IFERROR(N(INDEX(Übersicht!$M$15:$M$22,MATCH($B1424,Übersicht!$A$15:$A$22,0))),0)&gt;1,DAY($A1424)&gt;=IFERROR(N(INDEX(Übersicht!$M$15:$M$22,MATCH($B1424,Übersicht!$A$15:$A$22,0))),0)),1,0),1))</f>
        <v/>
      </c>
    </row>
    <row r="1425">
      <c r="A1425" s="92" t="n"/>
      <c r="B1425" s="55" t="n"/>
      <c r="C1425" s="55" t="n"/>
      <c r="D1425" s="55" t="n"/>
      <c r="E1425" s="93" t="n"/>
      <c r="F1425" s="94" t="n"/>
      <c r="G1425" s="94" t="n"/>
      <c r="H1425" s="94" t="n"/>
      <c r="I1425" s="94" t="n"/>
      <c r="J1425" s="55" t="n"/>
      <c r="K1425" s="95" t="n"/>
      <c r="L1425" s="116">
        <f>IF($A1425="","",DATE(YEAR($A1425),MONTH($A1425)+IF(AND(IFERROR(N(INDEX(Übersicht!$M$15:$M$22,MATCH($B1425,Übersicht!$A$15:$A$22,0))),0)&gt;1,DAY($A1425)&gt;=IFERROR(N(INDEX(Übersicht!$M$15:$M$22,MATCH($B1425,Übersicht!$A$15:$A$22,0))),0)),1,0),1))</f>
        <v/>
      </c>
    </row>
    <row r="1426">
      <c r="A1426" s="92" t="n"/>
      <c r="B1426" s="55" t="n"/>
      <c r="C1426" s="55" t="n"/>
      <c r="D1426" s="55" t="n"/>
      <c r="E1426" s="93" t="n"/>
      <c r="F1426" s="94" t="n"/>
      <c r="G1426" s="94" t="n"/>
      <c r="H1426" s="94" t="n"/>
      <c r="I1426" s="94" t="n"/>
      <c r="J1426" s="55" t="n"/>
      <c r="K1426" s="95" t="n"/>
      <c r="L1426" s="116">
        <f>IF($A1426="","",DATE(YEAR($A1426),MONTH($A1426)+IF(AND(IFERROR(N(INDEX(Übersicht!$M$15:$M$22,MATCH($B1426,Übersicht!$A$15:$A$22,0))),0)&gt;1,DAY($A1426)&gt;=IFERROR(N(INDEX(Übersicht!$M$15:$M$22,MATCH($B1426,Übersicht!$A$15:$A$22,0))),0)),1,0),1))</f>
        <v/>
      </c>
    </row>
    <row r="1427">
      <c r="A1427" s="92" t="n"/>
      <c r="B1427" s="55" t="n"/>
      <c r="C1427" s="55" t="n"/>
      <c r="D1427" s="55" t="n"/>
      <c r="E1427" s="93" t="n"/>
      <c r="F1427" s="94" t="n"/>
      <c r="G1427" s="94" t="n"/>
      <c r="H1427" s="94" t="n"/>
      <c r="I1427" s="94" t="n"/>
      <c r="J1427" s="55" t="n"/>
      <c r="K1427" s="95" t="n"/>
      <c r="L1427" s="116">
        <f>IF($A1427="","",DATE(YEAR($A1427),MONTH($A1427)+IF(AND(IFERROR(N(INDEX(Übersicht!$M$15:$M$22,MATCH($B1427,Übersicht!$A$15:$A$22,0))),0)&gt;1,DAY($A1427)&gt;=IFERROR(N(INDEX(Übersicht!$M$15:$M$22,MATCH($B1427,Übersicht!$A$15:$A$22,0))),0)),1,0),1))</f>
        <v/>
      </c>
    </row>
    <row r="1428">
      <c r="A1428" s="92" t="n"/>
      <c r="B1428" s="55" t="n"/>
      <c r="C1428" s="55" t="n"/>
      <c r="D1428" s="55" t="n"/>
      <c r="E1428" s="93" t="n"/>
      <c r="F1428" s="94" t="n"/>
      <c r="G1428" s="94" t="n"/>
      <c r="H1428" s="94" t="n"/>
      <c r="I1428" s="94" t="n"/>
      <c r="J1428" s="55" t="n"/>
      <c r="K1428" s="95" t="n"/>
      <c r="L1428" s="116">
        <f>IF($A1428="","",DATE(YEAR($A1428),MONTH($A1428)+IF(AND(IFERROR(N(INDEX(Übersicht!$M$15:$M$22,MATCH($B1428,Übersicht!$A$15:$A$22,0))),0)&gt;1,DAY($A1428)&gt;=IFERROR(N(INDEX(Übersicht!$M$15:$M$22,MATCH($B1428,Übersicht!$A$15:$A$22,0))),0)),1,0),1))</f>
        <v/>
      </c>
    </row>
    <row r="1429">
      <c r="A1429" s="92" t="n"/>
      <c r="B1429" s="55" t="n"/>
      <c r="C1429" s="55" t="n"/>
      <c r="D1429" s="55" t="n"/>
      <c r="E1429" s="93" t="n"/>
      <c r="F1429" s="94" t="n"/>
      <c r="G1429" s="94" t="n"/>
      <c r="H1429" s="94" t="n"/>
      <c r="I1429" s="94" t="n"/>
      <c r="J1429" s="55" t="n"/>
      <c r="K1429" s="95" t="n"/>
      <c r="L1429" s="116">
        <f>IF($A1429="","",DATE(YEAR($A1429),MONTH($A1429)+IF(AND(IFERROR(N(INDEX(Übersicht!$M$15:$M$22,MATCH($B1429,Übersicht!$A$15:$A$22,0))),0)&gt;1,DAY($A1429)&gt;=IFERROR(N(INDEX(Übersicht!$M$15:$M$22,MATCH($B1429,Übersicht!$A$15:$A$22,0))),0)),1,0),1))</f>
        <v/>
      </c>
    </row>
    <row r="1430">
      <c r="A1430" s="92" t="n"/>
      <c r="B1430" s="55" t="n"/>
      <c r="C1430" s="55" t="n"/>
      <c r="D1430" s="55" t="n"/>
      <c r="E1430" s="93" t="n"/>
      <c r="F1430" s="94" t="n"/>
      <c r="G1430" s="94" t="n"/>
      <c r="H1430" s="94" t="n"/>
      <c r="I1430" s="94" t="n"/>
      <c r="J1430" s="55" t="n"/>
      <c r="K1430" s="95" t="n"/>
      <c r="L1430" s="116">
        <f>IF($A1430="","",DATE(YEAR($A1430),MONTH($A1430)+IF(AND(IFERROR(N(INDEX(Übersicht!$M$15:$M$22,MATCH($B1430,Übersicht!$A$15:$A$22,0))),0)&gt;1,DAY($A1430)&gt;=IFERROR(N(INDEX(Übersicht!$M$15:$M$22,MATCH($B1430,Übersicht!$A$15:$A$22,0))),0)),1,0),1))</f>
        <v/>
      </c>
    </row>
    <row r="1431">
      <c r="A1431" s="92" t="n"/>
      <c r="B1431" s="55" t="n"/>
      <c r="C1431" s="55" t="n"/>
      <c r="D1431" s="55" t="n"/>
      <c r="E1431" s="93" t="n"/>
      <c r="F1431" s="94" t="n"/>
      <c r="G1431" s="94" t="n"/>
      <c r="H1431" s="94" t="n"/>
      <c r="I1431" s="94" t="n"/>
      <c r="J1431" s="55" t="n"/>
      <c r="K1431" s="95" t="n"/>
      <c r="L1431" s="116">
        <f>IF($A1431="","",DATE(YEAR($A1431),MONTH($A1431)+IF(AND(IFERROR(N(INDEX(Übersicht!$M$15:$M$22,MATCH($B1431,Übersicht!$A$15:$A$22,0))),0)&gt;1,DAY($A1431)&gt;=IFERROR(N(INDEX(Übersicht!$M$15:$M$22,MATCH($B1431,Übersicht!$A$15:$A$22,0))),0)),1,0),1))</f>
        <v/>
      </c>
    </row>
    <row r="1432">
      <c r="A1432" s="92" t="n"/>
      <c r="B1432" s="55" t="n"/>
      <c r="C1432" s="55" t="n"/>
      <c r="D1432" s="55" t="n"/>
      <c r="E1432" s="93" t="n"/>
      <c r="F1432" s="94" t="n"/>
      <c r="G1432" s="94" t="n"/>
      <c r="H1432" s="94" t="n"/>
      <c r="I1432" s="94" t="n"/>
      <c r="J1432" s="55" t="n"/>
      <c r="K1432" s="95" t="n"/>
      <c r="L1432" s="116">
        <f>IF($A1432="","",DATE(YEAR($A1432),MONTH($A1432)+IF(AND(IFERROR(N(INDEX(Übersicht!$M$15:$M$22,MATCH($B1432,Übersicht!$A$15:$A$22,0))),0)&gt;1,DAY($A1432)&gt;=IFERROR(N(INDEX(Übersicht!$M$15:$M$22,MATCH($B1432,Übersicht!$A$15:$A$22,0))),0)),1,0),1))</f>
        <v/>
      </c>
    </row>
    <row r="1433">
      <c r="A1433" s="92" t="n"/>
      <c r="B1433" s="55" t="n"/>
      <c r="C1433" s="55" t="n"/>
      <c r="D1433" s="55" t="n"/>
      <c r="E1433" s="93" t="n"/>
      <c r="F1433" s="94" t="n"/>
      <c r="G1433" s="94" t="n"/>
      <c r="H1433" s="94" t="n"/>
      <c r="I1433" s="94" t="n"/>
      <c r="J1433" s="55" t="n"/>
      <c r="K1433" s="95" t="n"/>
      <c r="L1433" s="116">
        <f>IF($A1433="","",DATE(YEAR($A1433),MONTH($A1433)+IF(AND(IFERROR(N(INDEX(Übersicht!$M$15:$M$22,MATCH($B1433,Übersicht!$A$15:$A$22,0))),0)&gt;1,DAY($A1433)&gt;=IFERROR(N(INDEX(Übersicht!$M$15:$M$22,MATCH($B1433,Übersicht!$A$15:$A$22,0))),0)),1,0),1))</f>
        <v/>
      </c>
    </row>
    <row r="1434">
      <c r="A1434" s="92" t="n"/>
      <c r="B1434" s="55" t="n"/>
      <c r="C1434" s="55" t="n"/>
      <c r="D1434" s="55" t="n"/>
      <c r="E1434" s="93" t="n"/>
      <c r="F1434" s="94" t="n"/>
      <c r="G1434" s="94" t="n"/>
      <c r="H1434" s="94" t="n"/>
      <c r="I1434" s="94" t="n"/>
      <c r="J1434" s="55" t="n"/>
      <c r="K1434" s="95" t="n"/>
      <c r="L1434" s="116">
        <f>IF($A1434="","",DATE(YEAR($A1434),MONTH($A1434)+IF(AND(IFERROR(N(INDEX(Übersicht!$M$15:$M$22,MATCH($B1434,Übersicht!$A$15:$A$22,0))),0)&gt;1,DAY($A1434)&gt;=IFERROR(N(INDEX(Übersicht!$M$15:$M$22,MATCH($B1434,Übersicht!$A$15:$A$22,0))),0)),1,0),1))</f>
        <v/>
      </c>
    </row>
    <row r="1435">
      <c r="A1435" s="92" t="n"/>
      <c r="B1435" s="55" t="n"/>
      <c r="C1435" s="55" t="n"/>
      <c r="D1435" s="55" t="n"/>
      <c r="E1435" s="93" t="n"/>
      <c r="F1435" s="94" t="n"/>
      <c r="G1435" s="94" t="n"/>
      <c r="H1435" s="94" t="n"/>
      <c r="I1435" s="94" t="n"/>
      <c r="J1435" s="55" t="n"/>
      <c r="K1435" s="95" t="n"/>
      <c r="L1435" s="116">
        <f>IF($A1435="","",DATE(YEAR($A1435),MONTH($A1435)+IF(AND(IFERROR(N(INDEX(Übersicht!$M$15:$M$22,MATCH($B1435,Übersicht!$A$15:$A$22,0))),0)&gt;1,DAY($A1435)&gt;=IFERROR(N(INDEX(Übersicht!$M$15:$M$22,MATCH($B1435,Übersicht!$A$15:$A$22,0))),0)),1,0),1))</f>
        <v/>
      </c>
    </row>
    <row r="1436">
      <c r="A1436" s="92" t="n"/>
      <c r="B1436" s="55" t="n"/>
      <c r="C1436" s="55" t="n"/>
      <c r="D1436" s="55" t="n"/>
      <c r="E1436" s="93" t="n"/>
      <c r="F1436" s="94" t="n"/>
      <c r="G1436" s="94" t="n"/>
      <c r="H1436" s="94" t="n"/>
      <c r="I1436" s="94" t="n"/>
      <c r="J1436" s="55" t="n"/>
      <c r="K1436" s="95" t="n"/>
      <c r="L1436" s="116">
        <f>IF($A1436="","",DATE(YEAR($A1436),MONTH($A1436)+IF(AND(IFERROR(N(INDEX(Übersicht!$M$15:$M$22,MATCH($B1436,Übersicht!$A$15:$A$22,0))),0)&gt;1,DAY($A1436)&gt;=IFERROR(N(INDEX(Übersicht!$M$15:$M$22,MATCH($B1436,Übersicht!$A$15:$A$22,0))),0)),1,0),1))</f>
        <v/>
      </c>
    </row>
    <row r="1437">
      <c r="A1437" s="92" t="n"/>
      <c r="B1437" s="55" t="n"/>
      <c r="C1437" s="55" t="n"/>
      <c r="D1437" s="55" t="n"/>
      <c r="E1437" s="93" t="n"/>
      <c r="F1437" s="94" t="n"/>
      <c r="G1437" s="94" t="n"/>
      <c r="H1437" s="94" t="n"/>
      <c r="I1437" s="94" t="n"/>
      <c r="J1437" s="55" t="n"/>
      <c r="K1437" s="95" t="n"/>
      <c r="L1437" s="116">
        <f>IF($A1437="","",DATE(YEAR($A1437),MONTH($A1437)+IF(AND(IFERROR(N(INDEX(Übersicht!$M$15:$M$22,MATCH($B1437,Übersicht!$A$15:$A$22,0))),0)&gt;1,DAY($A1437)&gt;=IFERROR(N(INDEX(Übersicht!$M$15:$M$22,MATCH($B1437,Übersicht!$A$15:$A$22,0))),0)),1,0),1))</f>
        <v/>
      </c>
    </row>
    <row r="1438">
      <c r="A1438" s="92" t="n"/>
      <c r="B1438" s="55" t="n"/>
      <c r="C1438" s="55" t="n"/>
      <c r="D1438" s="55" t="n"/>
      <c r="E1438" s="93" t="n"/>
      <c r="F1438" s="94" t="n"/>
      <c r="G1438" s="94" t="n"/>
      <c r="H1438" s="94" t="n"/>
      <c r="I1438" s="94" t="n"/>
      <c r="J1438" s="55" t="n"/>
      <c r="K1438" s="95" t="n"/>
      <c r="L1438" s="116">
        <f>IF($A1438="","",DATE(YEAR($A1438),MONTH($A1438)+IF(AND(IFERROR(N(INDEX(Übersicht!$M$15:$M$22,MATCH($B1438,Übersicht!$A$15:$A$22,0))),0)&gt;1,DAY($A1438)&gt;=IFERROR(N(INDEX(Übersicht!$M$15:$M$22,MATCH($B1438,Übersicht!$A$15:$A$22,0))),0)),1,0),1))</f>
        <v/>
      </c>
    </row>
    <row r="1439">
      <c r="A1439" s="92" t="n"/>
      <c r="B1439" s="55" t="n"/>
      <c r="C1439" s="55" t="n"/>
      <c r="D1439" s="55" t="n"/>
      <c r="E1439" s="93" t="n"/>
      <c r="F1439" s="94" t="n"/>
      <c r="G1439" s="94" t="n"/>
      <c r="H1439" s="94" t="n"/>
      <c r="I1439" s="94" t="n"/>
      <c r="J1439" s="55" t="n"/>
      <c r="K1439" s="95" t="n"/>
      <c r="L1439" s="116">
        <f>IF($A1439="","",DATE(YEAR($A1439),MONTH($A1439)+IF(AND(IFERROR(N(INDEX(Übersicht!$M$15:$M$22,MATCH($B1439,Übersicht!$A$15:$A$22,0))),0)&gt;1,DAY($A1439)&gt;=IFERROR(N(INDEX(Übersicht!$M$15:$M$22,MATCH($B1439,Übersicht!$A$15:$A$22,0))),0)),1,0),1))</f>
        <v/>
      </c>
    </row>
    <row r="1440">
      <c r="A1440" s="92" t="n"/>
      <c r="B1440" s="55" t="n"/>
      <c r="C1440" s="55" t="n"/>
      <c r="D1440" s="55" t="n"/>
      <c r="E1440" s="93" t="n"/>
      <c r="F1440" s="94" t="n"/>
      <c r="G1440" s="94" t="n"/>
      <c r="H1440" s="94" t="n"/>
      <c r="I1440" s="94" t="n"/>
      <c r="J1440" s="55" t="n"/>
      <c r="K1440" s="95" t="n"/>
      <c r="L1440" s="116">
        <f>IF($A1440="","",DATE(YEAR($A1440),MONTH($A1440)+IF(AND(IFERROR(N(INDEX(Übersicht!$M$15:$M$22,MATCH($B1440,Übersicht!$A$15:$A$22,0))),0)&gt;1,DAY($A1440)&gt;=IFERROR(N(INDEX(Übersicht!$M$15:$M$22,MATCH($B1440,Übersicht!$A$15:$A$22,0))),0)),1,0),1))</f>
        <v/>
      </c>
    </row>
    <row r="1441">
      <c r="A1441" s="92" t="n"/>
      <c r="B1441" s="55" t="n"/>
      <c r="C1441" s="55" t="n"/>
      <c r="D1441" s="55" t="n"/>
      <c r="E1441" s="93" t="n"/>
      <c r="F1441" s="94" t="n"/>
      <c r="G1441" s="94" t="n"/>
      <c r="H1441" s="94" t="n"/>
      <c r="I1441" s="94" t="n"/>
      <c r="J1441" s="55" t="n"/>
      <c r="K1441" s="95" t="n"/>
      <c r="L1441" s="116">
        <f>IF($A1441="","",DATE(YEAR($A1441),MONTH($A1441)+IF(AND(IFERROR(N(INDEX(Übersicht!$M$15:$M$22,MATCH($B1441,Übersicht!$A$15:$A$22,0))),0)&gt;1,DAY($A1441)&gt;=IFERROR(N(INDEX(Übersicht!$M$15:$M$22,MATCH($B1441,Übersicht!$A$15:$A$22,0))),0)),1,0),1))</f>
        <v/>
      </c>
    </row>
    <row r="1442">
      <c r="A1442" s="92" t="n"/>
      <c r="B1442" s="55" t="n"/>
      <c r="C1442" s="55" t="n"/>
      <c r="D1442" s="55" t="n"/>
      <c r="E1442" s="93" t="n"/>
      <c r="F1442" s="94" t="n"/>
      <c r="G1442" s="94" t="n"/>
      <c r="H1442" s="94" t="n"/>
      <c r="I1442" s="94" t="n"/>
      <c r="J1442" s="55" t="n"/>
      <c r="K1442" s="95" t="n"/>
      <c r="L1442" s="116">
        <f>IF($A1442="","",DATE(YEAR($A1442),MONTH($A1442)+IF(AND(IFERROR(N(INDEX(Übersicht!$M$15:$M$22,MATCH($B1442,Übersicht!$A$15:$A$22,0))),0)&gt;1,DAY($A1442)&gt;=IFERROR(N(INDEX(Übersicht!$M$15:$M$22,MATCH($B1442,Übersicht!$A$15:$A$22,0))),0)),1,0),1))</f>
        <v/>
      </c>
    </row>
    <row r="1443">
      <c r="A1443" s="92" t="n"/>
      <c r="B1443" s="55" t="n"/>
      <c r="C1443" s="55" t="n"/>
      <c r="D1443" s="55" t="n"/>
      <c r="E1443" s="93" t="n"/>
      <c r="F1443" s="94" t="n"/>
      <c r="G1443" s="94" t="n"/>
      <c r="H1443" s="94" t="n"/>
      <c r="I1443" s="94" t="n"/>
      <c r="J1443" s="55" t="n"/>
      <c r="K1443" s="95" t="n"/>
      <c r="L1443" s="116">
        <f>IF($A1443="","",DATE(YEAR($A1443),MONTH($A1443)+IF(AND(IFERROR(N(INDEX(Übersicht!$M$15:$M$22,MATCH($B1443,Übersicht!$A$15:$A$22,0))),0)&gt;1,DAY($A1443)&gt;=IFERROR(N(INDEX(Übersicht!$M$15:$M$22,MATCH($B1443,Übersicht!$A$15:$A$22,0))),0)),1,0),1))</f>
        <v/>
      </c>
    </row>
    <row r="1444">
      <c r="A1444" s="92" t="n"/>
      <c r="B1444" s="55" t="n"/>
      <c r="C1444" s="55" t="n"/>
      <c r="D1444" s="55" t="n"/>
      <c r="E1444" s="93" t="n"/>
      <c r="F1444" s="94" t="n"/>
      <c r="G1444" s="94" t="n"/>
      <c r="H1444" s="94" t="n"/>
      <c r="I1444" s="94" t="n"/>
      <c r="J1444" s="55" t="n"/>
      <c r="K1444" s="95" t="n"/>
      <c r="L1444" s="116">
        <f>IF($A1444="","",DATE(YEAR($A1444),MONTH($A1444)+IF(AND(IFERROR(N(INDEX(Übersicht!$M$15:$M$22,MATCH($B1444,Übersicht!$A$15:$A$22,0))),0)&gt;1,DAY($A1444)&gt;=IFERROR(N(INDEX(Übersicht!$M$15:$M$22,MATCH($B1444,Übersicht!$A$15:$A$22,0))),0)),1,0),1))</f>
        <v/>
      </c>
    </row>
    <row r="1445">
      <c r="A1445" s="92" t="n"/>
      <c r="B1445" s="55" t="n"/>
      <c r="C1445" s="55" t="n"/>
      <c r="D1445" s="55" t="n"/>
      <c r="E1445" s="93" t="n"/>
      <c r="F1445" s="94" t="n"/>
      <c r="G1445" s="94" t="n"/>
      <c r="H1445" s="94" t="n"/>
      <c r="I1445" s="94" t="n"/>
      <c r="J1445" s="55" t="n"/>
      <c r="K1445" s="95" t="n"/>
      <c r="L1445" s="116">
        <f>IF($A1445="","",DATE(YEAR($A1445),MONTH($A1445)+IF(AND(IFERROR(N(INDEX(Übersicht!$M$15:$M$22,MATCH($B1445,Übersicht!$A$15:$A$22,0))),0)&gt;1,DAY($A1445)&gt;=IFERROR(N(INDEX(Übersicht!$M$15:$M$22,MATCH($B1445,Übersicht!$A$15:$A$22,0))),0)),1,0),1))</f>
        <v/>
      </c>
    </row>
    <row r="1446">
      <c r="A1446" s="92" t="n"/>
      <c r="B1446" s="55" t="n"/>
      <c r="C1446" s="55" t="n"/>
      <c r="D1446" s="55" t="n"/>
      <c r="E1446" s="93" t="n"/>
      <c r="F1446" s="94" t="n"/>
      <c r="G1446" s="94" t="n"/>
      <c r="H1446" s="94" t="n"/>
      <c r="I1446" s="94" t="n"/>
      <c r="J1446" s="55" t="n"/>
      <c r="K1446" s="95" t="n"/>
      <c r="L1446" s="116">
        <f>IF($A1446="","",DATE(YEAR($A1446),MONTH($A1446)+IF(AND(IFERROR(N(INDEX(Übersicht!$M$15:$M$22,MATCH($B1446,Übersicht!$A$15:$A$22,0))),0)&gt;1,DAY($A1446)&gt;=IFERROR(N(INDEX(Übersicht!$M$15:$M$22,MATCH($B1446,Übersicht!$A$15:$A$22,0))),0)),1,0),1))</f>
        <v/>
      </c>
    </row>
    <row r="1447">
      <c r="A1447" s="92" t="n"/>
      <c r="B1447" s="55" t="n"/>
      <c r="C1447" s="55" t="n"/>
      <c r="D1447" s="55" t="n"/>
      <c r="E1447" s="93" t="n"/>
      <c r="F1447" s="94" t="n"/>
      <c r="G1447" s="94" t="n"/>
      <c r="H1447" s="94" t="n"/>
      <c r="I1447" s="94" t="n"/>
      <c r="J1447" s="55" t="n"/>
      <c r="K1447" s="95" t="n"/>
      <c r="L1447" s="116">
        <f>IF($A1447="","",DATE(YEAR($A1447),MONTH($A1447)+IF(AND(IFERROR(N(INDEX(Übersicht!$M$15:$M$22,MATCH($B1447,Übersicht!$A$15:$A$22,0))),0)&gt;1,DAY($A1447)&gt;=IFERROR(N(INDEX(Übersicht!$M$15:$M$22,MATCH($B1447,Übersicht!$A$15:$A$22,0))),0)),1,0),1))</f>
        <v/>
      </c>
    </row>
    <row r="1448">
      <c r="A1448" s="92" t="n"/>
      <c r="B1448" s="55" t="n"/>
      <c r="C1448" s="55" t="n"/>
      <c r="D1448" s="55" t="n"/>
      <c r="E1448" s="93" t="n"/>
      <c r="F1448" s="94" t="n"/>
      <c r="G1448" s="94" t="n"/>
      <c r="H1448" s="94" t="n"/>
      <c r="I1448" s="94" t="n"/>
      <c r="J1448" s="55" t="n"/>
      <c r="K1448" s="95" t="n"/>
      <c r="L1448" s="116">
        <f>IF($A1448="","",DATE(YEAR($A1448),MONTH($A1448)+IF(AND(IFERROR(N(INDEX(Übersicht!$M$15:$M$22,MATCH($B1448,Übersicht!$A$15:$A$22,0))),0)&gt;1,DAY($A1448)&gt;=IFERROR(N(INDEX(Übersicht!$M$15:$M$22,MATCH($B1448,Übersicht!$A$15:$A$22,0))),0)),1,0),1))</f>
        <v/>
      </c>
    </row>
    <row r="1449">
      <c r="A1449" s="92" t="n"/>
      <c r="B1449" s="55" t="n"/>
      <c r="C1449" s="55" t="n"/>
      <c r="D1449" s="55" t="n"/>
      <c r="E1449" s="93" t="n"/>
      <c r="F1449" s="94" t="n"/>
      <c r="G1449" s="94" t="n"/>
      <c r="H1449" s="94" t="n"/>
      <c r="I1449" s="94" t="n"/>
      <c r="J1449" s="55" t="n"/>
      <c r="K1449" s="95" t="n"/>
      <c r="L1449" s="116">
        <f>IF($A1449="","",DATE(YEAR($A1449),MONTH($A1449)+IF(AND(IFERROR(N(INDEX(Übersicht!$M$15:$M$22,MATCH($B1449,Übersicht!$A$15:$A$22,0))),0)&gt;1,DAY($A1449)&gt;=IFERROR(N(INDEX(Übersicht!$M$15:$M$22,MATCH($B1449,Übersicht!$A$15:$A$22,0))),0)),1,0),1))</f>
        <v/>
      </c>
    </row>
    <row r="1450">
      <c r="A1450" s="92" t="n"/>
      <c r="B1450" s="55" t="n"/>
      <c r="C1450" s="55" t="n"/>
      <c r="D1450" s="55" t="n"/>
      <c r="E1450" s="93" t="n"/>
      <c r="F1450" s="94" t="n"/>
      <c r="G1450" s="94" t="n"/>
      <c r="H1450" s="94" t="n"/>
      <c r="I1450" s="94" t="n"/>
      <c r="J1450" s="55" t="n"/>
      <c r="K1450" s="95" t="n"/>
      <c r="L1450" s="116">
        <f>IF($A1450="","",DATE(YEAR($A1450),MONTH($A1450)+IF(AND(IFERROR(N(INDEX(Übersicht!$M$15:$M$22,MATCH($B1450,Übersicht!$A$15:$A$22,0))),0)&gt;1,DAY($A1450)&gt;=IFERROR(N(INDEX(Übersicht!$M$15:$M$22,MATCH($B1450,Übersicht!$A$15:$A$22,0))),0)),1,0),1))</f>
        <v/>
      </c>
    </row>
    <row r="1451">
      <c r="A1451" s="92" t="n"/>
      <c r="B1451" s="55" t="n"/>
      <c r="C1451" s="55" t="n"/>
      <c r="D1451" s="55" t="n"/>
      <c r="E1451" s="93" t="n"/>
      <c r="F1451" s="94" t="n"/>
      <c r="G1451" s="94" t="n"/>
      <c r="H1451" s="94" t="n"/>
      <c r="I1451" s="94" t="n"/>
      <c r="J1451" s="55" t="n"/>
      <c r="K1451" s="95" t="n"/>
      <c r="L1451" s="116">
        <f>IF($A1451="","",DATE(YEAR($A1451),MONTH($A1451)+IF(AND(IFERROR(N(INDEX(Übersicht!$M$15:$M$22,MATCH($B1451,Übersicht!$A$15:$A$22,0))),0)&gt;1,DAY($A1451)&gt;=IFERROR(N(INDEX(Übersicht!$M$15:$M$22,MATCH($B1451,Übersicht!$A$15:$A$22,0))),0)),1,0),1))</f>
        <v/>
      </c>
    </row>
    <row r="1452">
      <c r="A1452" s="92" t="n"/>
      <c r="B1452" s="55" t="n"/>
      <c r="C1452" s="55" t="n"/>
      <c r="D1452" s="55" t="n"/>
      <c r="E1452" s="93" t="n"/>
      <c r="F1452" s="94" t="n"/>
      <c r="G1452" s="94" t="n"/>
      <c r="H1452" s="94" t="n"/>
      <c r="I1452" s="94" t="n"/>
      <c r="J1452" s="55" t="n"/>
      <c r="K1452" s="95" t="n"/>
      <c r="L1452" s="116">
        <f>IF($A1452="","",DATE(YEAR($A1452),MONTH($A1452)+IF(AND(IFERROR(N(INDEX(Übersicht!$M$15:$M$22,MATCH($B1452,Übersicht!$A$15:$A$22,0))),0)&gt;1,DAY($A1452)&gt;=IFERROR(N(INDEX(Übersicht!$M$15:$M$22,MATCH($B1452,Übersicht!$A$15:$A$22,0))),0)),1,0),1))</f>
        <v/>
      </c>
    </row>
    <row r="1453">
      <c r="A1453" s="92" t="n"/>
      <c r="B1453" s="55" t="n"/>
      <c r="C1453" s="55" t="n"/>
      <c r="D1453" s="55" t="n"/>
      <c r="E1453" s="93" t="n"/>
      <c r="F1453" s="94" t="n"/>
      <c r="G1453" s="94" t="n"/>
      <c r="H1453" s="94" t="n"/>
      <c r="I1453" s="94" t="n"/>
      <c r="J1453" s="55" t="n"/>
      <c r="K1453" s="95" t="n"/>
      <c r="L1453" s="116">
        <f>IF($A1453="","",DATE(YEAR($A1453),MONTH($A1453)+IF(AND(IFERROR(N(INDEX(Übersicht!$M$15:$M$22,MATCH($B1453,Übersicht!$A$15:$A$22,0))),0)&gt;1,DAY($A1453)&gt;=IFERROR(N(INDEX(Übersicht!$M$15:$M$22,MATCH($B1453,Übersicht!$A$15:$A$22,0))),0)),1,0),1))</f>
        <v/>
      </c>
    </row>
    <row r="1454">
      <c r="A1454" s="92" t="n"/>
      <c r="B1454" s="55" t="n"/>
      <c r="C1454" s="55" t="n"/>
      <c r="D1454" s="55" t="n"/>
      <c r="E1454" s="93" t="n"/>
      <c r="F1454" s="94" t="n"/>
      <c r="G1454" s="94" t="n"/>
      <c r="H1454" s="94" t="n"/>
      <c r="I1454" s="94" t="n"/>
      <c r="J1454" s="55" t="n"/>
      <c r="K1454" s="95" t="n"/>
      <c r="L1454" s="116">
        <f>IF($A1454="","",DATE(YEAR($A1454),MONTH($A1454)+IF(AND(IFERROR(N(INDEX(Übersicht!$M$15:$M$22,MATCH($B1454,Übersicht!$A$15:$A$22,0))),0)&gt;1,DAY($A1454)&gt;=IFERROR(N(INDEX(Übersicht!$M$15:$M$22,MATCH($B1454,Übersicht!$A$15:$A$22,0))),0)),1,0),1))</f>
        <v/>
      </c>
    </row>
    <row r="1455">
      <c r="A1455" s="92" t="n"/>
      <c r="B1455" s="55" t="n"/>
      <c r="C1455" s="55" t="n"/>
      <c r="D1455" s="55" t="n"/>
      <c r="E1455" s="93" t="n"/>
      <c r="F1455" s="94" t="n"/>
      <c r="G1455" s="94" t="n"/>
      <c r="H1455" s="94" t="n"/>
      <c r="I1455" s="94" t="n"/>
      <c r="J1455" s="55" t="n"/>
      <c r="K1455" s="95" t="n"/>
      <c r="L1455" s="116">
        <f>IF($A1455="","",DATE(YEAR($A1455),MONTH($A1455)+IF(AND(IFERROR(N(INDEX(Übersicht!$M$15:$M$22,MATCH($B1455,Übersicht!$A$15:$A$22,0))),0)&gt;1,DAY($A1455)&gt;=IFERROR(N(INDEX(Übersicht!$M$15:$M$22,MATCH($B1455,Übersicht!$A$15:$A$22,0))),0)),1,0),1))</f>
        <v/>
      </c>
    </row>
    <row r="1456">
      <c r="A1456" s="92" t="n"/>
      <c r="B1456" s="55" t="n"/>
      <c r="C1456" s="55" t="n"/>
      <c r="D1456" s="55" t="n"/>
      <c r="E1456" s="93" t="n"/>
      <c r="F1456" s="94" t="n"/>
      <c r="G1456" s="94" t="n"/>
      <c r="H1456" s="94" t="n"/>
      <c r="I1456" s="94" t="n"/>
      <c r="J1456" s="55" t="n"/>
      <c r="K1456" s="95" t="n"/>
      <c r="L1456" s="116">
        <f>IF($A1456="","",DATE(YEAR($A1456),MONTH($A1456)+IF(AND(IFERROR(N(INDEX(Übersicht!$M$15:$M$22,MATCH($B1456,Übersicht!$A$15:$A$22,0))),0)&gt;1,DAY($A1456)&gt;=IFERROR(N(INDEX(Übersicht!$M$15:$M$22,MATCH($B1456,Übersicht!$A$15:$A$22,0))),0)),1,0),1))</f>
        <v/>
      </c>
    </row>
    <row r="1457">
      <c r="A1457" s="92" t="n"/>
      <c r="B1457" s="55" t="n"/>
      <c r="C1457" s="55" t="n"/>
      <c r="D1457" s="55" t="n"/>
      <c r="E1457" s="93" t="n"/>
      <c r="F1457" s="94" t="n"/>
      <c r="G1457" s="94" t="n"/>
      <c r="H1457" s="94" t="n"/>
      <c r="I1457" s="94" t="n"/>
      <c r="J1457" s="55" t="n"/>
      <c r="K1457" s="95" t="n"/>
      <c r="L1457" s="116">
        <f>IF($A1457="","",DATE(YEAR($A1457),MONTH($A1457)+IF(AND(IFERROR(N(INDEX(Übersicht!$M$15:$M$22,MATCH($B1457,Übersicht!$A$15:$A$22,0))),0)&gt;1,DAY($A1457)&gt;=IFERROR(N(INDEX(Übersicht!$M$15:$M$22,MATCH($B1457,Übersicht!$A$15:$A$22,0))),0)),1,0),1))</f>
        <v/>
      </c>
    </row>
    <row r="1458">
      <c r="A1458" s="92" t="n"/>
      <c r="B1458" s="55" t="n"/>
      <c r="C1458" s="55" t="n"/>
      <c r="D1458" s="55" t="n"/>
      <c r="E1458" s="93" t="n"/>
      <c r="F1458" s="94" t="n"/>
      <c r="G1458" s="94" t="n"/>
      <c r="H1458" s="94" t="n"/>
      <c r="I1458" s="94" t="n"/>
      <c r="J1458" s="55" t="n"/>
      <c r="K1458" s="95" t="n"/>
      <c r="L1458" s="116">
        <f>IF($A1458="","",DATE(YEAR($A1458),MONTH($A1458)+IF(AND(IFERROR(N(INDEX(Übersicht!$M$15:$M$22,MATCH($B1458,Übersicht!$A$15:$A$22,0))),0)&gt;1,DAY($A1458)&gt;=IFERROR(N(INDEX(Übersicht!$M$15:$M$22,MATCH($B1458,Übersicht!$A$15:$A$22,0))),0)),1,0),1))</f>
        <v/>
      </c>
    </row>
    <row r="1459">
      <c r="A1459" s="92" t="n"/>
      <c r="B1459" s="55" t="n"/>
      <c r="C1459" s="55" t="n"/>
      <c r="D1459" s="55" t="n"/>
      <c r="E1459" s="93" t="n"/>
      <c r="F1459" s="94" t="n"/>
      <c r="G1459" s="94" t="n"/>
      <c r="H1459" s="94" t="n"/>
      <c r="I1459" s="94" t="n"/>
      <c r="J1459" s="55" t="n"/>
      <c r="K1459" s="95" t="n"/>
      <c r="L1459" s="116">
        <f>IF($A1459="","",DATE(YEAR($A1459),MONTH($A1459)+IF(AND(IFERROR(N(INDEX(Übersicht!$M$15:$M$22,MATCH($B1459,Übersicht!$A$15:$A$22,0))),0)&gt;1,DAY($A1459)&gt;=IFERROR(N(INDEX(Übersicht!$M$15:$M$22,MATCH($B1459,Übersicht!$A$15:$A$22,0))),0)),1,0),1))</f>
        <v/>
      </c>
    </row>
    <row r="1460">
      <c r="A1460" s="92" t="n"/>
      <c r="B1460" s="55" t="n"/>
      <c r="C1460" s="55" t="n"/>
      <c r="D1460" s="55" t="n"/>
      <c r="E1460" s="93" t="n"/>
      <c r="F1460" s="94" t="n"/>
      <c r="G1460" s="94" t="n"/>
      <c r="H1460" s="94" t="n"/>
      <c r="I1460" s="94" t="n"/>
      <c r="J1460" s="55" t="n"/>
      <c r="K1460" s="95" t="n"/>
      <c r="L1460" s="116">
        <f>IF($A1460="","",DATE(YEAR($A1460),MONTH($A1460)+IF(AND(IFERROR(N(INDEX(Übersicht!$M$15:$M$22,MATCH($B1460,Übersicht!$A$15:$A$22,0))),0)&gt;1,DAY($A1460)&gt;=IFERROR(N(INDEX(Übersicht!$M$15:$M$22,MATCH($B1460,Übersicht!$A$15:$A$22,0))),0)),1,0),1))</f>
        <v/>
      </c>
    </row>
    <row r="1461">
      <c r="A1461" s="92" t="n"/>
      <c r="B1461" s="55" t="n"/>
      <c r="C1461" s="55" t="n"/>
      <c r="D1461" s="55" t="n"/>
      <c r="E1461" s="93" t="n"/>
      <c r="F1461" s="94" t="n"/>
      <c r="G1461" s="94" t="n"/>
      <c r="H1461" s="94" t="n"/>
      <c r="I1461" s="94" t="n"/>
      <c r="J1461" s="55" t="n"/>
      <c r="K1461" s="95" t="n"/>
      <c r="L1461" s="116">
        <f>IF($A1461="","",DATE(YEAR($A1461),MONTH($A1461)+IF(AND(IFERROR(N(INDEX(Übersicht!$M$15:$M$22,MATCH($B1461,Übersicht!$A$15:$A$22,0))),0)&gt;1,DAY($A1461)&gt;=IFERROR(N(INDEX(Übersicht!$M$15:$M$22,MATCH($B1461,Übersicht!$A$15:$A$22,0))),0)),1,0),1))</f>
        <v/>
      </c>
    </row>
    <row r="1462">
      <c r="A1462" s="92" t="n"/>
      <c r="B1462" s="55" t="n"/>
      <c r="C1462" s="55" t="n"/>
      <c r="D1462" s="55" t="n"/>
      <c r="E1462" s="93" t="n"/>
      <c r="F1462" s="94" t="n"/>
      <c r="G1462" s="94" t="n"/>
      <c r="H1462" s="94" t="n"/>
      <c r="I1462" s="94" t="n"/>
      <c r="J1462" s="55" t="n"/>
      <c r="K1462" s="95" t="n"/>
      <c r="L1462" s="116">
        <f>IF($A1462="","",DATE(YEAR($A1462),MONTH($A1462)+IF(AND(IFERROR(N(INDEX(Übersicht!$M$15:$M$22,MATCH($B1462,Übersicht!$A$15:$A$22,0))),0)&gt;1,DAY($A1462)&gt;=IFERROR(N(INDEX(Übersicht!$M$15:$M$22,MATCH($B1462,Übersicht!$A$15:$A$22,0))),0)),1,0),1))</f>
        <v/>
      </c>
    </row>
    <row r="1463">
      <c r="A1463" s="92" t="n"/>
      <c r="B1463" s="55" t="n"/>
      <c r="C1463" s="55" t="n"/>
      <c r="D1463" s="55" t="n"/>
      <c r="E1463" s="93" t="n"/>
      <c r="F1463" s="94" t="n"/>
      <c r="G1463" s="94" t="n"/>
      <c r="H1463" s="94" t="n"/>
      <c r="I1463" s="94" t="n"/>
      <c r="J1463" s="55" t="n"/>
      <c r="K1463" s="95" t="n"/>
      <c r="L1463" s="116">
        <f>IF($A1463="","",DATE(YEAR($A1463),MONTH($A1463)+IF(AND(IFERROR(N(INDEX(Übersicht!$M$15:$M$22,MATCH($B1463,Übersicht!$A$15:$A$22,0))),0)&gt;1,DAY($A1463)&gt;=IFERROR(N(INDEX(Übersicht!$M$15:$M$22,MATCH($B1463,Übersicht!$A$15:$A$22,0))),0)),1,0),1))</f>
        <v/>
      </c>
    </row>
    <row r="1464">
      <c r="A1464" s="92" t="n"/>
      <c r="B1464" s="55" t="n"/>
      <c r="C1464" s="55" t="n"/>
      <c r="D1464" s="55" t="n"/>
      <c r="E1464" s="93" t="n"/>
      <c r="F1464" s="94" t="n"/>
      <c r="G1464" s="94" t="n"/>
      <c r="H1464" s="94" t="n"/>
      <c r="I1464" s="94" t="n"/>
      <c r="J1464" s="55" t="n"/>
      <c r="K1464" s="95" t="n"/>
      <c r="L1464" s="116">
        <f>IF($A1464="","",DATE(YEAR($A1464),MONTH($A1464)+IF(AND(IFERROR(N(INDEX(Übersicht!$M$15:$M$22,MATCH($B1464,Übersicht!$A$15:$A$22,0))),0)&gt;1,DAY($A1464)&gt;=IFERROR(N(INDEX(Übersicht!$M$15:$M$22,MATCH($B1464,Übersicht!$A$15:$A$22,0))),0)),1,0),1))</f>
        <v/>
      </c>
    </row>
    <row r="1465">
      <c r="A1465" s="92" t="n"/>
      <c r="B1465" s="55" t="n"/>
      <c r="C1465" s="55" t="n"/>
      <c r="D1465" s="55" t="n"/>
      <c r="E1465" s="93" t="n"/>
      <c r="F1465" s="94" t="n"/>
      <c r="G1465" s="94" t="n"/>
      <c r="H1465" s="94" t="n"/>
      <c r="I1465" s="94" t="n"/>
      <c r="J1465" s="55" t="n"/>
      <c r="K1465" s="95" t="n"/>
      <c r="L1465" s="116">
        <f>IF($A1465="","",DATE(YEAR($A1465),MONTH($A1465)+IF(AND(IFERROR(N(INDEX(Übersicht!$M$15:$M$22,MATCH($B1465,Übersicht!$A$15:$A$22,0))),0)&gt;1,DAY($A1465)&gt;=IFERROR(N(INDEX(Übersicht!$M$15:$M$22,MATCH($B1465,Übersicht!$A$15:$A$22,0))),0)),1,0),1))</f>
        <v/>
      </c>
    </row>
    <row r="1466">
      <c r="A1466" s="92" t="n"/>
      <c r="B1466" s="55" t="n"/>
      <c r="C1466" s="55" t="n"/>
      <c r="D1466" s="55" t="n"/>
      <c r="E1466" s="93" t="n"/>
      <c r="F1466" s="94" t="n"/>
      <c r="G1466" s="94" t="n"/>
      <c r="H1466" s="94" t="n"/>
      <c r="I1466" s="94" t="n"/>
      <c r="J1466" s="55" t="n"/>
      <c r="K1466" s="95" t="n"/>
      <c r="L1466" s="116">
        <f>IF($A1466="","",DATE(YEAR($A1466),MONTH($A1466)+IF(AND(IFERROR(N(INDEX(Übersicht!$M$15:$M$22,MATCH($B1466,Übersicht!$A$15:$A$22,0))),0)&gt;1,DAY($A1466)&gt;=IFERROR(N(INDEX(Übersicht!$M$15:$M$22,MATCH($B1466,Übersicht!$A$15:$A$22,0))),0)),1,0),1))</f>
        <v/>
      </c>
    </row>
    <row r="1467">
      <c r="A1467" s="92" t="n"/>
      <c r="B1467" s="55" t="n"/>
      <c r="C1467" s="55" t="n"/>
      <c r="D1467" s="55" t="n"/>
      <c r="E1467" s="93" t="n"/>
      <c r="F1467" s="94" t="n"/>
      <c r="G1467" s="94" t="n"/>
      <c r="H1467" s="94" t="n"/>
      <c r="I1467" s="94" t="n"/>
      <c r="J1467" s="55" t="n"/>
      <c r="K1467" s="95" t="n"/>
      <c r="L1467" s="116">
        <f>IF($A1467="","",DATE(YEAR($A1467),MONTH($A1467)+IF(AND(IFERROR(N(INDEX(Übersicht!$M$15:$M$22,MATCH($B1467,Übersicht!$A$15:$A$22,0))),0)&gt;1,DAY($A1467)&gt;=IFERROR(N(INDEX(Übersicht!$M$15:$M$22,MATCH($B1467,Übersicht!$A$15:$A$22,0))),0)),1,0),1))</f>
        <v/>
      </c>
    </row>
    <row r="1468">
      <c r="A1468" s="92" t="n"/>
      <c r="B1468" s="55" t="n"/>
      <c r="C1468" s="55" t="n"/>
      <c r="D1468" s="55" t="n"/>
      <c r="E1468" s="93" t="n"/>
      <c r="F1468" s="94" t="n"/>
      <c r="G1468" s="94" t="n"/>
      <c r="H1468" s="94" t="n"/>
      <c r="I1468" s="94" t="n"/>
      <c r="J1468" s="55" t="n"/>
      <c r="K1468" s="95" t="n"/>
      <c r="L1468" s="116">
        <f>IF($A1468="","",DATE(YEAR($A1468),MONTH($A1468)+IF(AND(IFERROR(N(INDEX(Übersicht!$M$15:$M$22,MATCH($B1468,Übersicht!$A$15:$A$22,0))),0)&gt;1,DAY($A1468)&gt;=IFERROR(N(INDEX(Übersicht!$M$15:$M$22,MATCH($B1468,Übersicht!$A$15:$A$22,0))),0)),1,0),1))</f>
        <v/>
      </c>
    </row>
    <row r="1469">
      <c r="A1469" s="92" t="n"/>
      <c r="B1469" s="55" t="n"/>
      <c r="C1469" s="55" t="n"/>
      <c r="D1469" s="55" t="n"/>
      <c r="E1469" s="93" t="n"/>
      <c r="F1469" s="94" t="n"/>
      <c r="G1469" s="94" t="n"/>
      <c r="H1469" s="94" t="n"/>
      <c r="I1469" s="94" t="n"/>
      <c r="J1469" s="55" t="n"/>
      <c r="K1469" s="95" t="n"/>
      <c r="L1469" s="116">
        <f>IF($A1469="","",DATE(YEAR($A1469),MONTH($A1469)+IF(AND(IFERROR(N(INDEX(Übersicht!$M$15:$M$22,MATCH($B1469,Übersicht!$A$15:$A$22,0))),0)&gt;1,DAY($A1469)&gt;=IFERROR(N(INDEX(Übersicht!$M$15:$M$22,MATCH($B1469,Übersicht!$A$15:$A$22,0))),0)),1,0),1))</f>
        <v/>
      </c>
    </row>
    <row r="1470">
      <c r="A1470" s="92" t="n"/>
      <c r="B1470" s="55" t="n"/>
      <c r="C1470" s="55" t="n"/>
      <c r="D1470" s="55" t="n"/>
      <c r="E1470" s="93" t="n"/>
      <c r="F1470" s="94" t="n"/>
      <c r="G1470" s="94" t="n"/>
      <c r="H1470" s="94" t="n"/>
      <c r="I1470" s="94" t="n"/>
      <c r="J1470" s="55" t="n"/>
      <c r="K1470" s="95" t="n"/>
      <c r="L1470" s="116">
        <f>IF($A1470="","",DATE(YEAR($A1470),MONTH($A1470)+IF(AND(IFERROR(N(INDEX(Übersicht!$M$15:$M$22,MATCH($B1470,Übersicht!$A$15:$A$22,0))),0)&gt;1,DAY($A1470)&gt;=IFERROR(N(INDEX(Übersicht!$M$15:$M$22,MATCH($B1470,Übersicht!$A$15:$A$22,0))),0)),1,0),1))</f>
        <v/>
      </c>
    </row>
    <row r="1471">
      <c r="A1471" s="92" t="n"/>
      <c r="B1471" s="55" t="n"/>
      <c r="C1471" s="55" t="n"/>
      <c r="D1471" s="55" t="n"/>
      <c r="E1471" s="93" t="n"/>
      <c r="F1471" s="94" t="n"/>
      <c r="G1471" s="94" t="n"/>
      <c r="H1471" s="94" t="n"/>
      <c r="I1471" s="94" t="n"/>
      <c r="J1471" s="55" t="n"/>
      <c r="K1471" s="95" t="n"/>
      <c r="L1471" s="116">
        <f>IF($A1471="","",DATE(YEAR($A1471),MONTH($A1471)+IF(AND(IFERROR(N(INDEX(Übersicht!$M$15:$M$22,MATCH($B1471,Übersicht!$A$15:$A$22,0))),0)&gt;1,DAY($A1471)&gt;=IFERROR(N(INDEX(Übersicht!$M$15:$M$22,MATCH($B1471,Übersicht!$A$15:$A$22,0))),0)),1,0),1))</f>
        <v/>
      </c>
    </row>
    <row r="1472">
      <c r="A1472" s="92" t="n"/>
      <c r="B1472" s="55" t="n"/>
      <c r="C1472" s="55" t="n"/>
      <c r="D1472" s="55" t="n"/>
      <c r="E1472" s="93" t="n"/>
      <c r="F1472" s="94" t="n"/>
      <c r="G1472" s="94" t="n"/>
      <c r="H1472" s="94" t="n"/>
      <c r="I1472" s="94" t="n"/>
      <c r="J1472" s="55" t="n"/>
      <c r="K1472" s="95" t="n"/>
      <c r="L1472" s="116">
        <f>IF($A1472="","",DATE(YEAR($A1472),MONTH($A1472)+IF(AND(IFERROR(N(INDEX(Übersicht!$M$15:$M$22,MATCH($B1472,Übersicht!$A$15:$A$22,0))),0)&gt;1,DAY($A1472)&gt;=IFERROR(N(INDEX(Übersicht!$M$15:$M$22,MATCH($B1472,Übersicht!$A$15:$A$22,0))),0)),1,0),1))</f>
        <v/>
      </c>
    </row>
    <row r="1473">
      <c r="A1473" s="92" t="n"/>
      <c r="B1473" s="55" t="n"/>
      <c r="C1473" s="55" t="n"/>
      <c r="D1473" s="55" t="n"/>
      <c r="E1473" s="93" t="n"/>
      <c r="F1473" s="94" t="n"/>
      <c r="G1473" s="94" t="n"/>
      <c r="H1473" s="94" t="n"/>
      <c r="I1473" s="94" t="n"/>
      <c r="J1473" s="55" t="n"/>
      <c r="K1473" s="95" t="n"/>
      <c r="L1473" s="116">
        <f>IF($A1473="","",DATE(YEAR($A1473),MONTH($A1473)+IF(AND(IFERROR(N(INDEX(Übersicht!$M$15:$M$22,MATCH($B1473,Übersicht!$A$15:$A$22,0))),0)&gt;1,DAY($A1473)&gt;=IFERROR(N(INDEX(Übersicht!$M$15:$M$22,MATCH($B1473,Übersicht!$A$15:$A$22,0))),0)),1,0),1))</f>
        <v/>
      </c>
    </row>
    <row r="1474">
      <c r="A1474" s="92" t="n"/>
      <c r="B1474" s="55" t="n"/>
      <c r="C1474" s="55" t="n"/>
      <c r="D1474" s="55" t="n"/>
      <c r="E1474" s="93" t="n"/>
      <c r="F1474" s="94" t="n"/>
      <c r="G1474" s="94" t="n"/>
      <c r="H1474" s="94" t="n"/>
      <c r="I1474" s="94" t="n"/>
      <c r="J1474" s="55" t="n"/>
      <c r="K1474" s="95" t="n"/>
      <c r="L1474" s="116">
        <f>IF($A1474="","",DATE(YEAR($A1474),MONTH($A1474)+IF(AND(IFERROR(N(INDEX(Übersicht!$M$15:$M$22,MATCH($B1474,Übersicht!$A$15:$A$22,0))),0)&gt;1,DAY($A1474)&gt;=IFERROR(N(INDEX(Übersicht!$M$15:$M$22,MATCH($B1474,Übersicht!$A$15:$A$22,0))),0)),1,0),1))</f>
        <v/>
      </c>
    </row>
    <row r="1475">
      <c r="A1475" s="92" t="n"/>
      <c r="B1475" s="55" t="n"/>
      <c r="C1475" s="55" t="n"/>
      <c r="D1475" s="55" t="n"/>
      <c r="E1475" s="93" t="n"/>
      <c r="F1475" s="94" t="n"/>
      <c r="G1475" s="94" t="n"/>
      <c r="H1475" s="94" t="n"/>
      <c r="I1475" s="94" t="n"/>
      <c r="J1475" s="55" t="n"/>
      <c r="K1475" s="95" t="n"/>
      <c r="L1475" s="116">
        <f>IF($A1475="","",DATE(YEAR($A1475),MONTH($A1475)+IF(AND(IFERROR(N(INDEX(Übersicht!$M$15:$M$22,MATCH($B1475,Übersicht!$A$15:$A$22,0))),0)&gt;1,DAY($A1475)&gt;=IFERROR(N(INDEX(Übersicht!$M$15:$M$22,MATCH($B1475,Übersicht!$A$15:$A$22,0))),0)),1,0),1))</f>
        <v/>
      </c>
    </row>
    <row r="1476">
      <c r="A1476" s="92" t="n"/>
      <c r="B1476" s="55" t="n"/>
      <c r="C1476" s="55" t="n"/>
      <c r="D1476" s="55" t="n"/>
      <c r="E1476" s="93" t="n"/>
      <c r="F1476" s="94" t="n"/>
      <c r="G1476" s="94" t="n"/>
      <c r="H1476" s="94" t="n"/>
      <c r="I1476" s="94" t="n"/>
      <c r="J1476" s="55" t="n"/>
      <c r="K1476" s="95" t="n"/>
      <c r="L1476" s="116">
        <f>IF($A1476="","",DATE(YEAR($A1476),MONTH($A1476)+IF(AND(IFERROR(N(INDEX(Übersicht!$M$15:$M$22,MATCH($B1476,Übersicht!$A$15:$A$22,0))),0)&gt;1,DAY($A1476)&gt;=IFERROR(N(INDEX(Übersicht!$M$15:$M$22,MATCH($B1476,Übersicht!$A$15:$A$22,0))),0)),1,0),1))</f>
        <v/>
      </c>
    </row>
    <row r="1477">
      <c r="A1477" s="92" t="n"/>
      <c r="B1477" s="55" t="n"/>
      <c r="C1477" s="55" t="n"/>
      <c r="D1477" s="55" t="n"/>
      <c r="E1477" s="93" t="n"/>
      <c r="F1477" s="94" t="n"/>
      <c r="G1477" s="94" t="n"/>
      <c r="H1477" s="94" t="n"/>
      <c r="I1477" s="94" t="n"/>
      <c r="J1477" s="55" t="n"/>
      <c r="K1477" s="95" t="n"/>
      <c r="L1477" s="116">
        <f>IF($A1477="","",DATE(YEAR($A1477),MONTH($A1477)+IF(AND(IFERROR(N(INDEX(Übersicht!$M$15:$M$22,MATCH($B1477,Übersicht!$A$15:$A$22,0))),0)&gt;1,DAY($A1477)&gt;=IFERROR(N(INDEX(Übersicht!$M$15:$M$22,MATCH($B1477,Übersicht!$A$15:$A$22,0))),0)),1,0),1))</f>
        <v/>
      </c>
    </row>
    <row r="1478">
      <c r="A1478" s="92" t="n"/>
      <c r="B1478" s="55" t="n"/>
      <c r="C1478" s="55" t="n"/>
      <c r="D1478" s="55" t="n"/>
      <c r="E1478" s="93" t="n"/>
      <c r="F1478" s="94" t="n"/>
      <c r="G1478" s="94" t="n"/>
      <c r="H1478" s="94" t="n"/>
      <c r="I1478" s="94" t="n"/>
      <c r="J1478" s="55" t="n"/>
      <c r="K1478" s="95" t="n"/>
      <c r="L1478" s="116">
        <f>IF($A1478="","",DATE(YEAR($A1478),MONTH($A1478)+IF(AND(IFERROR(N(INDEX(Übersicht!$M$15:$M$22,MATCH($B1478,Übersicht!$A$15:$A$22,0))),0)&gt;1,DAY($A1478)&gt;=IFERROR(N(INDEX(Übersicht!$M$15:$M$22,MATCH($B1478,Übersicht!$A$15:$A$22,0))),0)),1,0),1))</f>
        <v/>
      </c>
    </row>
    <row r="1479">
      <c r="A1479" s="92" t="n"/>
      <c r="B1479" s="55" t="n"/>
      <c r="C1479" s="55" t="n"/>
      <c r="D1479" s="55" t="n"/>
      <c r="E1479" s="93" t="n"/>
      <c r="F1479" s="94" t="n"/>
      <c r="G1479" s="94" t="n"/>
      <c r="H1479" s="94" t="n"/>
      <c r="I1479" s="94" t="n"/>
      <c r="J1479" s="55" t="n"/>
      <c r="K1479" s="95" t="n"/>
      <c r="L1479" s="116">
        <f>IF($A1479="","",DATE(YEAR($A1479),MONTH($A1479)+IF(AND(IFERROR(N(INDEX(Übersicht!$M$15:$M$22,MATCH($B1479,Übersicht!$A$15:$A$22,0))),0)&gt;1,DAY($A1479)&gt;=IFERROR(N(INDEX(Übersicht!$M$15:$M$22,MATCH($B1479,Übersicht!$A$15:$A$22,0))),0)),1,0),1))</f>
        <v/>
      </c>
    </row>
    <row r="1480">
      <c r="A1480" s="92" t="n"/>
      <c r="B1480" s="55" t="n"/>
      <c r="C1480" s="55" t="n"/>
      <c r="D1480" s="55" t="n"/>
      <c r="E1480" s="93" t="n"/>
      <c r="F1480" s="94" t="n"/>
      <c r="G1480" s="94" t="n"/>
      <c r="H1480" s="94" t="n"/>
      <c r="I1480" s="94" t="n"/>
      <c r="J1480" s="55" t="n"/>
      <c r="K1480" s="95" t="n"/>
      <c r="L1480" s="116">
        <f>IF($A1480="","",DATE(YEAR($A1480),MONTH($A1480)+IF(AND(IFERROR(N(INDEX(Übersicht!$M$15:$M$22,MATCH($B1480,Übersicht!$A$15:$A$22,0))),0)&gt;1,DAY($A1480)&gt;=IFERROR(N(INDEX(Übersicht!$M$15:$M$22,MATCH($B1480,Übersicht!$A$15:$A$22,0))),0)),1,0),1))</f>
        <v/>
      </c>
    </row>
    <row r="1481">
      <c r="A1481" s="92" t="n"/>
      <c r="B1481" s="55" t="n"/>
      <c r="C1481" s="55" t="n"/>
      <c r="D1481" s="55" t="n"/>
      <c r="E1481" s="93" t="n"/>
      <c r="F1481" s="94" t="n"/>
      <c r="G1481" s="94" t="n"/>
      <c r="H1481" s="94" t="n"/>
      <c r="I1481" s="94" t="n"/>
      <c r="J1481" s="55" t="n"/>
      <c r="K1481" s="95" t="n"/>
      <c r="L1481" s="116">
        <f>IF($A1481="","",DATE(YEAR($A1481),MONTH($A1481)+IF(AND(IFERROR(N(INDEX(Übersicht!$M$15:$M$22,MATCH($B1481,Übersicht!$A$15:$A$22,0))),0)&gt;1,DAY($A1481)&gt;=IFERROR(N(INDEX(Übersicht!$M$15:$M$22,MATCH($B1481,Übersicht!$A$15:$A$22,0))),0)),1,0),1))</f>
        <v/>
      </c>
    </row>
    <row r="1482">
      <c r="A1482" s="92" t="n"/>
      <c r="B1482" s="55" t="n"/>
      <c r="C1482" s="55" t="n"/>
      <c r="D1482" s="55" t="n"/>
      <c r="E1482" s="93" t="n"/>
      <c r="F1482" s="94" t="n"/>
      <c r="G1482" s="94" t="n"/>
      <c r="H1482" s="94" t="n"/>
      <c r="I1482" s="94" t="n"/>
      <c r="J1482" s="55" t="n"/>
      <c r="K1482" s="95" t="n"/>
      <c r="L1482" s="116">
        <f>IF($A1482="","",DATE(YEAR($A1482),MONTH($A1482)+IF(AND(IFERROR(N(INDEX(Übersicht!$M$15:$M$22,MATCH($B1482,Übersicht!$A$15:$A$22,0))),0)&gt;1,DAY($A1482)&gt;=IFERROR(N(INDEX(Übersicht!$M$15:$M$22,MATCH($B1482,Übersicht!$A$15:$A$22,0))),0)),1,0),1))</f>
        <v/>
      </c>
    </row>
    <row r="1483">
      <c r="A1483" s="92" t="n"/>
      <c r="B1483" s="55" t="n"/>
      <c r="C1483" s="55" t="n"/>
      <c r="D1483" s="55" t="n"/>
      <c r="E1483" s="93" t="n"/>
      <c r="F1483" s="94" t="n"/>
      <c r="G1483" s="94" t="n"/>
      <c r="H1483" s="94" t="n"/>
      <c r="I1483" s="94" t="n"/>
      <c r="J1483" s="55" t="n"/>
      <c r="K1483" s="95" t="n"/>
      <c r="L1483" s="116">
        <f>IF($A1483="","",DATE(YEAR($A1483),MONTH($A1483)+IF(AND(IFERROR(N(INDEX(Übersicht!$M$15:$M$22,MATCH($B1483,Übersicht!$A$15:$A$22,0))),0)&gt;1,DAY($A1483)&gt;=IFERROR(N(INDEX(Übersicht!$M$15:$M$22,MATCH($B1483,Übersicht!$A$15:$A$22,0))),0)),1,0),1))</f>
        <v/>
      </c>
    </row>
    <row r="1484">
      <c r="A1484" s="92" t="n"/>
      <c r="B1484" s="55" t="n"/>
      <c r="C1484" s="55" t="n"/>
      <c r="D1484" s="55" t="n"/>
      <c r="E1484" s="93" t="n"/>
      <c r="F1484" s="94" t="n"/>
      <c r="G1484" s="94" t="n"/>
      <c r="H1484" s="94" t="n"/>
      <c r="I1484" s="94" t="n"/>
      <c r="J1484" s="55" t="n"/>
      <c r="K1484" s="95" t="n"/>
      <c r="L1484" s="116">
        <f>IF($A1484="","",DATE(YEAR($A1484),MONTH($A1484)+IF(AND(IFERROR(N(INDEX(Übersicht!$M$15:$M$22,MATCH($B1484,Übersicht!$A$15:$A$22,0))),0)&gt;1,DAY($A1484)&gt;=IFERROR(N(INDEX(Übersicht!$M$15:$M$22,MATCH($B1484,Übersicht!$A$15:$A$22,0))),0)),1,0),1))</f>
        <v/>
      </c>
    </row>
    <row r="1485">
      <c r="A1485" s="92" t="n"/>
      <c r="B1485" s="55" t="n"/>
      <c r="C1485" s="55" t="n"/>
      <c r="D1485" s="55" t="n"/>
      <c r="E1485" s="93" t="n"/>
      <c r="F1485" s="94" t="n"/>
      <c r="G1485" s="94" t="n"/>
      <c r="H1485" s="94" t="n"/>
      <c r="I1485" s="94" t="n"/>
      <c r="J1485" s="55" t="n"/>
      <c r="K1485" s="95" t="n"/>
      <c r="L1485" s="116">
        <f>IF($A1485="","",DATE(YEAR($A1485),MONTH($A1485)+IF(AND(IFERROR(N(INDEX(Übersicht!$M$15:$M$22,MATCH($B1485,Übersicht!$A$15:$A$22,0))),0)&gt;1,DAY($A1485)&gt;=IFERROR(N(INDEX(Übersicht!$M$15:$M$22,MATCH($B1485,Übersicht!$A$15:$A$22,0))),0)),1,0),1))</f>
        <v/>
      </c>
    </row>
    <row r="1486">
      <c r="A1486" s="92" t="n"/>
      <c r="B1486" s="55" t="n"/>
      <c r="C1486" s="55" t="n"/>
      <c r="D1486" s="55" t="n"/>
      <c r="E1486" s="93" t="n"/>
      <c r="F1486" s="94" t="n"/>
      <c r="G1486" s="94" t="n"/>
      <c r="H1486" s="94" t="n"/>
      <c r="I1486" s="94" t="n"/>
      <c r="J1486" s="55" t="n"/>
      <c r="K1486" s="95" t="n"/>
      <c r="L1486" s="116">
        <f>IF($A1486="","",DATE(YEAR($A1486),MONTH($A1486)+IF(AND(IFERROR(N(INDEX(Übersicht!$M$15:$M$22,MATCH($B1486,Übersicht!$A$15:$A$22,0))),0)&gt;1,DAY($A1486)&gt;=IFERROR(N(INDEX(Übersicht!$M$15:$M$22,MATCH($B1486,Übersicht!$A$15:$A$22,0))),0)),1,0),1))</f>
        <v/>
      </c>
    </row>
    <row r="1487">
      <c r="A1487" s="92" t="n"/>
      <c r="B1487" s="55" t="n"/>
      <c r="C1487" s="55" t="n"/>
      <c r="D1487" s="55" t="n"/>
      <c r="E1487" s="93" t="n"/>
      <c r="F1487" s="94" t="n"/>
      <c r="G1487" s="94" t="n"/>
      <c r="H1487" s="94" t="n"/>
      <c r="I1487" s="94" t="n"/>
      <c r="J1487" s="55" t="n"/>
      <c r="K1487" s="95" t="n"/>
      <c r="L1487" s="116">
        <f>IF($A1487="","",DATE(YEAR($A1487),MONTH($A1487)+IF(AND(IFERROR(N(INDEX(Übersicht!$M$15:$M$22,MATCH($B1487,Übersicht!$A$15:$A$22,0))),0)&gt;1,DAY($A1487)&gt;=IFERROR(N(INDEX(Übersicht!$M$15:$M$22,MATCH($B1487,Übersicht!$A$15:$A$22,0))),0)),1,0),1))</f>
        <v/>
      </c>
    </row>
    <row r="1488">
      <c r="A1488" s="92" t="n"/>
      <c r="B1488" s="55" t="n"/>
      <c r="C1488" s="55" t="n"/>
      <c r="D1488" s="55" t="n"/>
      <c r="E1488" s="93" t="n"/>
      <c r="F1488" s="94" t="n"/>
      <c r="G1488" s="94" t="n"/>
      <c r="H1488" s="94" t="n"/>
      <c r="I1488" s="94" t="n"/>
      <c r="J1488" s="55" t="n"/>
      <c r="K1488" s="95" t="n"/>
      <c r="L1488" s="116">
        <f>IF($A1488="","",DATE(YEAR($A1488),MONTH($A1488)+IF(AND(IFERROR(N(INDEX(Übersicht!$M$15:$M$22,MATCH($B1488,Übersicht!$A$15:$A$22,0))),0)&gt;1,DAY($A1488)&gt;=IFERROR(N(INDEX(Übersicht!$M$15:$M$22,MATCH($B1488,Übersicht!$A$15:$A$22,0))),0)),1,0),1))</f>
        <v/>
      </c>
    </row>
    <row r="1489">
      <c r="A1489" s="92" t="n"/>
      <c r="B1489" s="55" t="n"/>
      <c r="C1489" s="55" t="n"/>
      <c r="D1489" s="55" t="n"/>
      <c r="E1489" s="93" t="n"/>
      <c r="F1489" s="94" t="n"/>
      <c r="G1489" s="94" t="n"/>
      <c r="H1489" s="94" t="n"/>
      <c r="I1489" s="94" t="n"/>
      <c r="J1489" s="55" t="n"/>
      <c r="K1489" s="95" t="n"/>
      <c r="L1489" s="116">
        <f>IF($A1489="","",DATE(YEAR($A1489),MONTH($A1489)+IF(AND(IFERROR(N(INDEX(Übersicht!$M$15:$M$22,MATCH($B1489,Übersicht!$A$15:$A$22,0))),0)&gt;1,DAY($A1489)&gt;=IFERROR(N(INDEX(Übersicht!$M$15:$M$22,MATCH($B1489,Übersicht!$A$15:$A$22,0))),0)),1,0),1))</f>
        <v/>
      </c>
    </row>
    <row r="1490">
      <c r="A1490" s="92" t="n"/>
      <c r="B1490" s="55" t="n"/>
      <c r="C1490" s="55" t="n"/>
      <c r="D1490" s="55" t="n"/>
      <c r="E1490" s="93" t="n"/>
      <c r="F1490" s="94" t="n"/>
      <c r="G1490" s="94" t="n"/>
      <c r="H1490" s="94" t="n"/>
      <c r="I1490" s="94" t="n"/>
      <c r="J1490" s="55" t="n"/>
      <c r="K1490" s="95" t="n"/>
      <c r="L1490" s="116">
        <f>IF($A1490="","",DATE(YEAR($A1490),MONTH($A1490)+IF(AND(IFERROR(N(INDEX(Übersicht!$M$15:$M$22,MATCH($B1490,Übersicht!$A$15:$A$22,0))),0)&gt;1,DAY($A1490)&gt;=IFERROR(N(INDEX(Übersicht!$M$15:$M$22,MATCH($B1490,Übersicht!$A$15:$A$22,0))),0)),1,0),1))</f>
        <v/>
      </c>
    </row>
    <row r="1491">
      <c r="A1491" s="92" t="n"/>
      <c r="B1491" s="55" t="n"/>
      <c r="C1491" s="55" t="n"/>
      <c r="D1491" s="55" t="n"/>
      <c r="E1491" s="93" t="n"/>
      <c r="F1491" s="94" t="n"/>
      <c r="G1491" s="94" t="n"/>
      <c r="H1491" s="94" t="n"/>
      <c r="I1491" s="94" t="n"/>
      <c r="J1491" s="55" t="n"/>
      <c r="K1491" s="95" t="n"/>
      <c r="L1491" s="116">
        <f>IF($A1491="","",DATE(YEAR($A1491),MONTH($A1491)+IF(AND(IFERROR(N(INDEX(Übersicht!$M$15:$M$22,MATCH($B1491,Übersicht!$A$15:$A$22,0))),0)&gt;1,DAY($A1491)&gt;=IFERROR(N(INDEX(Übersicht!$M$15:$M$22,MATCH($B1491,Übersicht!$A$15:$A$22,0))),0)),1,0),1))</f>
        <v/>
      </c>
    </row>
    <row r="1492">
      <c r="A1492" s="92" t="n"/>
      <c r="B1492" s="55" t="n"/>
      <c r="C1492" s="55" t="n"/>
      <c r="D1492" s="55" t="n"/>
      <c r="E1492" s="93" t="n"/>
      <c r="F1492" s="94" t="n"/>
      <c r="G1492" s="94" t="n"/>
      <c r="H1492" s="94" t="n"/>
      <c r="I1492" s="94" t="n"/>
      <c r="J1492" s="55" t="n"/>
      <c r="K1492" s="95" t="n"/>
      <c r="L1492" s="116">
        <f>IF($A1492="","",DATE(YEAR($A1492),MONTH($A1492)+IF(AND(IFERROR(N(INDEX(Übersicht!$M$15:$M$22,MATCH($B1492,Übersicht!$A$15:$A$22,0))),0)&gt;1,DAY($A1492)&gt;=IFERROR(N(INDEX(Übersicht!$M$15:$M$22,MATCH($B1492,Übersicht!$A$15:$A$22,0))),0)),1,0),1))</f>
        <v/>
      </c>
    </row>
    <row r="1493">
      <c r="A1493" s="92" t="n"/>
      <c r="B1493" s="55" t="n"/>
      <c r="C1493" s="55" t="n"/>
      <c r="D1493" s="55" t="n"/>
      <c r="E1493" s="93" t="n"/>
      <c r="F1493" s="94" t="n"/>
      <c r="G1493" s="94" t="n"/>
      <c r="H1493" s="94" t="n"/>
      <c r="I1493" s="94" t="n"/>
      <c r="J1493" s="55" t="n"/>
      <c r="K1493" s="95" t="n"/>
      <c r="L1493" s="116">
        <f>IF($A1493="","",DATE(YEAR($A1493),MONTH($A1493)+IF(AND(IFERROR(N(INDEX(Übersicht!$M$15:$M$22,MATCH($B1493,Übersicht!$A$15:$A$22,0))),0)&gt;1,DAY($A1493)&gt;=IFERROR(N(INDEX(Übersicht!$M$15:$M$22,MATCH($B1493,Übersicht!$A$15:$A$22,0))),0)),1,0),1))</f>
        <v/>
      </c>
    </row>
    <row r="1494">
      <c r="A1494" s="92" t="n"/>
      <c r="B1494" s="55" t="n"/>
      <c r="C1494" s="55" t="n"/>
      <c r="D1494" s="55" t="n"/>
      <c r="E1494" s="93" t="n"/>
      <c r="F1494" s="94" t="n"/>
      <c r="G1494" s="94" t="n"/>
      <c r="H1494" s="94" t="n"/>
      <c r="I1494" s="94" t="n"/>
      <c r="J1494" s="55" t="n"/>
      <c r="K1494" s="95" t="n"/>
      <c r="L1494" s="116">
        <f>IF($A1494="","",DATE(YEAR($A1494),MONTH($A1494)+IF(AND(IFERROR(N(INDEX(Übersicht!$M$15:$M$22,MATCH($B1494,Übersicht!$A$15:$A$22,0))),0)&gt;1,DAY($A1494)&gt;=IFERROR(N(INDEX(Übersicht!$M$15:$M$22,MATCH($B1494,Übersicht!$A$15:$A$22,0))),0)),1,0),1))</f>
        <v/>
      </c>
    </row>
    <row r="1495">
      <c r="A1495" s="92" t="n"/>
      <c r="B1495" s="55" t="n"/>
      <c r="C1495" s="55" t="n"/>
      <c r="D1495" s="55" t="n"/>
      <c r="E1495" s="93" t="n"/>
      <c r="F1495" s="94" t="n"/>
      <c r="G1495" s="94" t="n"/>
      <c r="H1495" s="94" t="n"/>
      <c r="I1495" s="94" t="n"/>
      <c r="J1495" s="55" t="n"/>
      <c r="K1495" s="95" t="n"/>
      <c r="L1495" s="116">
        <f>IF($A1495="","",DATE(YEAR($A1495),MONTH($A1495)+IF(AND(IFERROR(N(INDEX(Übersicht!$M$15:$M$22,MATCH($B1495,Übersicht!$A$15:$A$22,0))),0)&gt;1,DAY($A1495)&gt;=IFERROR(N(INDEX(Übersicht!$M$15:$M$22,MATCH($B1495,Übersicht!$A$15:$A$22,0))),0)),1,0),1))</f>
        <v/>
      </c>
    </row>
    <row r="1496">
      <c r="A1496" s="92" t="n"/>
      <c r="B1496" s="55" t="n"/>
      <c r="C1496" s="55" t="n"/>
      <c r="D1496" s="55" t="n"/>
      <c r="E1496" s="93" t="n"/>
      <c r="F1496" s="94" t="n"/>
      <c r="G1496" s="94" t="n"/>
      <c r="H1496" s="94" t="n"/>
      <c r="I1496" s="94" t="n"/>
      <c r="J1496" s="55" t="n"/>
      <c r="K1496" s="95" t="n"/>
      <c r="L1496" s="116">
        <f>IF($A1496="","",DATE(YEAR($A1496),MONTH($A1496)+IF(AND(IFERROR(N(INDEX(Übersicht!$M$15:$M$22,MATCH($B1496,Übersicht!$A$15:$A$22,0))),0)&gt;1,DAY($A1496)&gt;=IFERROR(N(INDEX(Übersicht!$M$15:$M$22,MATCH($B1496,Übersicht!$A$15:$A$22,0))),0)),1,0),1))</f>
        <v/>
      </c>
    </row>
    <row r="1497">
      <c r="A1497" s="92" t="n"/>
      <c r="B1497" s="55" t="n"/>
      <c r="C1497" s="55" t="n"/>
      <c r="D1497" s="55" t="n"/>
      <c r="E1497" s="93" t="n"/>
      <c r="F1497" s="94" t="n"/>
      <c r="G1497" s="94" t="n"/>
      <c r="H1497" s="94" t="n"/>
      <c r="I1497" s="94" t="n"/>
      <c r="J1497" s="55" t="n"/>
      <c r="K1497" s="95" t="n"/>
      <c r="L1497" s="116">
        <f>IF($A1497="","",DATE(YEAR($A1497),MONTH($A1497)+IF(AND(IFERROR(N(INDEX(Übersicht!$M$15:$M$22,MATCH($B1497,Übersicht!$A$15:$A$22,0))),0)&gt;1,DAY($A1497)&gt;=IFERROR(N(INDEX(Übersicht!$M$15:$M$22,MATCH($B1497,Übersicht!$A$15:$A$22,0))),0)),1,0),1))</f>
        <v/>
      </c>
    </row>
    <row r="1498">
      <c r="A1498" s="92" t="n"/>
      <c r="B1498" s="55" t="n"/>
      <c r="C1498" s="55" t="n"/>
      <c r="D1498" s="55" t="n"/>
      <c r="E1498" s="93" t="n"/>
      <c r="F1498" s="94" t="n"/>
      <c r="G1498" s="94" t="n"/>
      <c r="H1498" s="94" t="n"/>
      <c r="I1498" s="94" t="n"/>
      <c r="J1498" s="55" t="n"/>
      <c r="K1498" s="95" t="n"/>
      <c r="L1498" s="116">
        <f>IF($A1498="","",DATE(YEAR($A1498),MONTH($A1498)+IF(AND(IFERROR(N(INDEX(Übersicht!$M$15:$M$22,MATCH($B1498,Übersicht!$A$15:$A$22,0))),0)&gt;1,DAY($A1498)&gt;=IFERROR(N(INDEX(Übersicht!$M$15:$M$22,MATCH($B1498,Übersicht!$A$15:$A$22,0))),0)),1,0),1))</f>
        <v/>
      </c>
    </row>
    <row r="1499">
      <c r="A1499" s="92" t="n"/>
      <c r="B1499" s="55" t="n"/>
      <c r="C1499" s="55" t="n"/>
      <c r="D1499" s="55" t="n"/>
      <c r="E1499" s="93" t="n"/>
      <c r="F1499" s="94" t="n"/>
      <c r="G1499" s="94" t="n"/>
      <c r="H1499" s="94" t="n"/>
      <c r="I1499" s="94" t="n"/>
      <c r="J1499" s="55" t="n"/>
      <c r="K1499" s="95" t="n"/>
      <c r="L1499" s="116">
        <f>IF($A1499="","",DATE(YEAR($A1499),MONTH($A1499)+IF(AND(IFERROR(N(INDEX(Übersicht!$M$15:$M$22,MATCH($B1499,Übersicht!$A$15:$A$22,0))),0)&gt;1,DAY($A1499)&gt;=IFERROR(N(INDEX(Übersicht!$M$15:$M$22,MATCH($B1499,Übersicht!$A$15:$A$22,0))),0)),1,0),1))</f>
        <v/>
      </c>
    </row>
    <row r="1500">
      <c r="A1500" s="92" t="n"/>
      <c r="B1500" s="55" t="n"/>
      <c r="C1500" s="55" t="n"/>
      <c r="D1500" s="55" t="n"/>
      <c r="E1500" s="93" t="n"/>
      <c r="F1500" s="94" t="n"/>
      <c r="G1500" s="94" t="n"/>
      <c r="H1500" s="94" t="n"/>
      <c r="I1500" s="94" t="n"/>
      <c r="J1500" s="55" t="n"/>
      <c r="K1500" s="95" t="n"/>
      <c r="L1500" s="116">
        <f>IF($A1500="","",DATE(YEAR($A1500),MONTH($A1500)+IF(AND(IFERROR(N(INDEX(Übersicht!$M$15:$M$22,MATCH($B1500,Übersicht!$A$15:$A$22,0))),0)&gt;1,DAY($A1500)&gt;=IFERROR(N(INDEX(Übersicht!$M$15:$M$22,MATCH($B1500,Übersicht!$A$15:$A$22,0))),0)),1,0),1))</f>
        <v/>
      </c>
    </row>
    <row r="1501">
      <c r="A1501" s="92" t="n"/>
      <c r="B1501" s="55" t="n"/>
      <c r="C1501" s="55" t="n"/>
      <c r="D1501" s="55" t="n"/>
      <c r="E1501" s="93" t="n"/>
      <c r="F1501" s="94" t="n"/>
      <c r="G1501" s="94" t="n"/>
      <c r="H1501" s="94" t="n"/>
      <c r="I1501" s="94" t="n"/>
      <c r="J1501" s="55" t="n"/>
      <c r="K1501" s="95" t="n"/>
      <c r="L1501" s="116">
        <f>IF($A1501="","",DATE(YEAR($A1501),MONTH($A1501)+IF(AND(IFERROR(N(INDEX(Übersicht!$M$15:$M$22,MATCH($B1501,Übersicht!$A$15:$A$22,0))),0)&gt;1,DAY($A1501)&gt;=IFERROR(N(INDEX(Übersicht!$M$15:$M$22,MATCH($B1501,Übersicht!$A$15:$A$22,0))),0)),1,0),1))</f>
        <v/>
      </c>
    </row>
    <row r="1502">
      <c r="A1502" s="92" t="n"/>
      <c r="B1502" s="55" t="n"/>
      <c r="C1502" s="55" t="n"/>
      <c r="D1502" s="55" t="n"/>
      <c r="E1502" s="93" t="n"/>
      <c r="F1502" s="94" t="n"/>
      <c r="G1502" s="94" t="n"/>
      <c r="H1502" s="94" t="n"/>
      <c r="I1502" s="94" t="n"/>
      <c r="J1502" s="55" t="n"/>
      <c r="K1502" s="95" t="n"/>
      <c r="L1502" s="116">
        <f>IF($A1502="","",DATE(YEAR($A1502),MONTH($A1502)+IF(AND(IFERROR(N(INDEX(Übersicht!$M$15:$M$22,MATCH($B1502,Übersicht!$A$15:$A$22,0))),0)&gt;1,DAY($A1502)&gt;=IFERROR(N(INDEX(Übersicht!$M$15:$M$22,MATCH($B1502,Übersicht!$A$15:$A$22,0))),0)),1,0),1))</f>
        <v/>
      </c>
    </row>
    <row r="1503">
      <c r="A1503" s="92" t="n"/>
      <c r="B1503" s="55" t="n"/>
      <c r="C1503" s="55" t="n"/>
      <c r="D1503" s="55" t="n"/>
      <c r="E1503" s="93" t="n"/>
      <c r="F1503" s="94" t="n"/>
      <c r="G1503" s="94" t="n"/>
      <c r="H1503" s="94" t="n"/>
      <c r="I1503" s="94" t="n"/>
      <c r="J1503" s="55" t="n"/>
      <c r="K1503" s="95" t="n"/>
      <c r="L1503" s="116">
        <f>IF($A1503="","",DATE(YEAR($A1503),MONTH($A1503)+IF(AND(IFERROR(N(INDEX(Übersicht!$M$15:$M$22,MATCH($B1503,Übersicht!$A$15:$A$22,0))),0)&gt;1,DAY($A1503)&gt;=IFERROR(N(INDEX(Übersicht!$M$15:$M$22,MATCH($B1503,Übersicht!$A$15:$A$22,0))),0)),1,0),1))</f>
        <v/>
      </c>
    </row>
    <row r="1504">
      <c r="A1504" s="92" t="n"/>
      <c r="B1504" s="55" t="n"/>
      <c r="C1504" s="55" t="n"/>
      <c r="D1504" s="55" t="n"/>
      <c r="E1504" s="93" t="n"/>
      <c r="F1504" s="94" t="n"/>
      <c r="G1504" s="94" t="n"/>
      <c r="H1504" s="94" t="n"/>
      <c r="I1504" s="94" t="n"/>
      <c r="J1504" s="55" t="n"/>
      <c r="K1504" s="95" t="n"/>
      <c r="L1504" s="116">
        <f>IF($A1504="","",DATE(YEAR($A1504),MONTH($A1504)+IF(AND(IFERROR(N(INDEX(Übersicht!$M$15:$M$22,MATCH($B1504,Übersicht!$A$15:$A$22,0))),0)&gt;1,DAY($A1504)&gt;=IFERROR(N(INDEX(Übersicht!$M$15:$M$22,MATCH($B1504,Übersicht!$A$15:$A$22,0))),0)),1,0),1))</f>
        <v/>
      </c>
    </row>
    <row r="1505">
      <c r="A1505" s="92" t="n"/>
      <c r="B1505" s="55" t="n"/>
      <c r="C1505" s="55" t="n"/>
      <c r="D1505" s="55" t="n"/>
      <c r="E1505" s="93" t="n"/>
      <c r="F1505" s="94" t="n"/>
      <c r="G1505" s="94" t="n"/>
      <c r="H1505" s="94" t="n"/>
      <c r="I1505" s="94" t="n"/>
      <c r="J1505" s="55" t="n"/>
      <c r="K1505" s="95" t="n"/>
      <c r="L1505" s="116">
        <f>IF($A1505="","",DATE(YEAR($A1505),MONTH($A1505)+IF(AND(IFERROR(N(INDEX(Übersicht!$M$15:$M$22,MATCH($B1505,Übersicht!$A$15:$A$22,0))),0)&gt;1,DAY($A1505)&gt;=IFERROR(N(INDEX(Übersicht!$M$15:$M$22,MATCH($B1505,Übersicht!$A$15:$A$22,0))),0)),1,0),1))</f>
        <v/>
      </c>
    </row>
    <row r="1506">
      <c r="A1506" s="92" t="n"/>
      <c r="B1506" s="55" t="n"/>
      <c r="C1506" s="55" t="n"/>
      <c r="D1506" s="55" t="n"/>
      <c r="E1506" s="93" t="n"/>
      <c r="F1506" s="94" t="n"/>
      <c r="G1506" s="94" t="n"/>
      <c r="H1506" s="94" t="n"/>
      <c r="I1506" s="94" t="n"/>
      <c r="J1506" s="55" t="n"/>
      <c r="K1506" s="95" t="n"/>
      <c r="L1506" s="116">
        <f>IF($A1506="","",DATE(YEAR($A1506),MONTH($A1506)+IF(AND(IFERROR(N(INDEX(Übersicht!$M$15:$M$22,MATCH($B1506,Übersicht!$A$15:$A$22,0))),0)&gt;1,DAY($A1506)&gt;=IFERROR(N(INDEX(Übersicht!$M$15:$M$22,MATCH($B1506,Übersicht!$A$15:$A$22,0))),0)),1,0),1))</f>
        <v/>
      </c>
    </row>
    <row r="1507">
      <c r="A1507" s="92" t="n"/>
      <c r="B1507" s="55" t="n"/>
      <c r="C1507" s="55" t="n"/>
      <c r="D1507" s="55" t="n"/>
      <c r="E1507" s="93" t="n"/>
      <c r="F1507" s="94" t="n"/>
      <c r="G1507" s="94" t="n"/>
      <c r="H1507" s="94" t="n"/>
      <c r="I1507" s="94" t="n"/>
      <c r="J1507" s="55" t="n"/>
      <c r="K1507" s="95" t="n"/>
      <c r="L1507" s="116">
        <f>IF($A1507="","",DATE(YEAR($A1507),MONTH($A1507)+IF(AND(IFERROR(N(INDEX(Übersicht!$M$15:$M$22,MATCH($B1507,Übersicht!$A$15:$A$22,0))),0)&gt;1,DAY($A1507)&gt;=IFERROR(N(INDEX(Übersicht!$M$15:$M$22,MATCH($B1507,Übersicht!$A$15:$A$22,0))),0)),1,0),1))</f>
        <v/>
      </c>
    </row>
    <row r="1508">
      <c r="A1508" s="92" t="n"/>
      <c r="B1508" s="55" t="n"/>
      <c r="C1508" s="55" t="n"/>
      <c r="D1508" s="55" t="n"/>
      <c r="E1508" s="93" t="n"/>
      <c r="F1508" s="94" t="n"/>
      <c r="G1508" s="94" t="n"/>
      <c r="H1508" s="94" t="n"/>
      <c r="I1508" s="94" t="n"/>
      <c r="J1508" s="55" t="n"/>
      <c r="K1508" s="95" t="n"/>
      <c r="L1508" s="116">
        <f>IF($A1508="","",DATE(YEAR($A1508),MONTH($A1508)+IF(AND(IFERROR(N(INDEX(Übersicht!$M$15:$M$22,MATCH($B1508,Übersicht!$A$15:$A$22,0))),0)&gt;1,DAY($A1508)&gt;=IFERROR(N(INDEX(Übersicht!$M$15:$M$22,MATCH($B1508,Übersicht!$A$15:$A$22,0))),0)),1,0),1))</f>
        <v/>
      </c>
    </row>
    <row r="1509">
      <c r="A1509" s="92" t="n"/>
      <c r="B1509" s="55" t="n"/>
      <c r="C1509" s="55" t="n"/>
      <c r="D1509" s="55" t="n"/>
      <c r="E1509" s="93" t="n"/>
      <c r="F1509" s="94" t="n"/>
      <c r="G1509" s="94" t="n"/>
      <c r="H1509" s="94" t="n"/>
      <c r="I1509" s="94" t="n"/>
      <c r="J1509" s="55" t="n"/>
      <c r="K1509" s="95" t="n"/>
      <c r="L1509" s="116">
        <f>IF($A1509="","",DATE(YEAR($A1509),MONTH($A1509)+IF(AND(IFERROR(N(INDEX(Übersicht!$M$15:$M$22,MATCH($B1509,Übersicht!$A$15:$A$22,0))),0)&gt;1,DAY($A1509)&gt;=IFERROR(N(INDEX(Übersicht!$M$15:$M$22,MATCH($B1509,Übersicht!$A$15:$A$22,0))),0)),1,0),1))</f>
        <v/>
      </c>
    </row>
    <row r="1510">
      <c r="A1510" s="92" t="n"/>
      <c r="B1510" s="55" t="n"/>
      <c r="C1510" s="55" t="n"/>
      <c r="D1510" s="55" t="n"/>
      <c r="E1510" s="93" t="n"/>
      <c r="F1510" s="94" t="n"/>
      <c r="G1510" s="94" t="n"/>
      <c r="H1510" s="94" t="n"/>
      <c r="I1510" s="94" t="n"/>
      <c r="J1510" s="55" t="n"/>
      <c r="K1510" s="95" t="n"/>
      <c r="L1510" s="116">
        <f>IF($A1510="","",DATE(YEAR($A1510),MONTH($A1510)+IF(AND(IFERROR(N(INDEX(Übersicht!$M$15:$M$22,MATCH($B1510,Übersicht!$A$15:$A$22,0))),0)&gt;1,DAY($A1510)&gt;=IFERROR(N(INDEX(Übersicht!$M$15:$M$22,MATCH($B1510,Übersicht!$A$15:$A$22,0))),0)),1,0),1))</f>
        <v/>
      </c>
    </row>
    <row r="1511">
      <c r="A1511" s="92" t="n"/>
      <c r="B1511" s="55" t="n"/>
      <c r="C1511" s="55" t="n"/>
      <c r="D1511" s="55" t="n"/>
      <c r="E1511" s="93" t="n"/>
      <c r="F1511" s="94" t="n"/>
      <c r="G1511" s="94" t="n"/>
      <c r="H1511" s="94" t="n"/>
      <c r="I1511" s="94" t="n"/>
      <c r="J1511" s="55" t="n"/>
      <c r="K1511" s="95" t="n"/>
      <c r="L1511" s="116">
        <f>IF($A1511="","",DATE(YEAR($A1511),MONTH($A1511)+IF(AND(IFERROR(N(INDEX(Übersicht!$M$15:$M$22,MATCH($B1511,Übersicht!$A$15:$A$22,0))),0)&gt;1,DAY($A1511)&gt;=IFERROR(N(INDEX(Übersicht!$M$15:$M$22,MATCH($B1511,Übersicht!$A$15:$A$22,0))),0)),1,0),1))</f>
        <v/>
      </c>
    </row>
    <row r="1512">
      <c r="A1512" s="92" t="n"/>
      <c r="B1512" s="55" t="n"/>
      <c r="C1512" s="55" t="n"/>
      <c r="D1512" s="55" t="n"/>
      <c r="E1512" s="93" t="n"/>
      <c r="F1512" s="94" t="n"/>
      <c r="G1512" s="94" t="n"/>
      <c r="H1512" s="94" t="n"/>
      <c r="I1512" s="94" t="n"/>
      <c r="J1512" s="55" t="n"/>
      <c r="K1512" s="95" t="n"/>
      <c r="L1512" s="116">
        <f>IF($A1512="","",DATE(YEAR($A1512),MONTH($A1512)+IF(AND(IFERROR(N(INDEX(Übersicht!$M$15:$M$22,MATCH($B1512,Übersicht!$A$15:$A$22,0))),0)&gt;1,DAY($A1512)&gt;=IFERROR(N(INDEX(Übersicht!$M$15:$M$22,MATCH($B1512,Übersicht!$A$15:$A$22,0))),0)),1,0),1))</f>
        <v/>
      </c>
    </row>
    <row r="1513">
      <c r="A1513" s="92" t="n"/>
      <c r="B1513" s="55" t="n"/>
      <c r="C1513" s="55" t="n"/>
      <c r="D1513" s="55" t="n"/>
      <c r="E1513" s="93" t="n"/>
      <c r="F1513" s="94" t="n"/>
      <c r="G1513" s="94" t="n"/>
      <c r="H1513" s="94" t="n"/>
      <c r="I1513" s="94" t="n"/>
      <c r="J1513" s="55" t="n"/>
      <c r="K1513" s="95" t="n"/>
      <c r="L1513" s="116">
        <f>IF($A1513="","",DATE(YEAR($A1513),MONTH($A1513)+IF(AND(IFERROR(N(INDEX(Übersicht!$M$15:$M$22,MATCH($B1513,Übersicht!$A$15:$A$22,0))),0)&gt;1,DAY($A1513)&gt;=IFERROR(N(INDEX(Übersicht!$M$15:$M$22,MATCH($B1513,Übersicht!$A$15:$A$22,0))),0)),1,0),1))</f>
        <v/>
      </c>
    </row>
    <row r="1514">
      <c r="A1514" s="92" t="n"/>
      <c r="B1514" s="55" t="n"/>
      <c r="C1514" s="55" t="n"/>
      <c r="D1514" s="55" t="n"/>
      <c r="E1514" s="93" t="n"/>
      <c r="F1514" s="94" t="n"/>
      <c r="G1514" s="94" t="n"/>
      <c r="H1514" s="94" t="n"/>
      <c r="I1514" s="94" t="n"/>
      <c r="J1514" s="55" t="n"/>
      <c r="K1514" s="95" t="n"/>
      <c r="L1514" s="116">
        <f>IF($A1514="","",DATE(YEAR($A1514),MONTH($A1514)+IF(AND(IFERROR(N(INDEX(Übersicht!$M$15:$M$22,MATCH($B1514,Übersicht!$A$15:$A$22,0))),0)&gt;1,DAY($A1514)&gt;=IFERROR(N(INDEX(Übersicht!$M$15:$M$22,MATCH($B1514,Übersicht!$A$15:$A$22,0))),0)),1,0),1))</f>
        <v/>
      </c>
    </row>
    <row r="1515">
      <c r="A1515" s="92" t="n"/>
      <c r="B1515" s="55" t="n"/>
      <c r="C1515" s="55" t="n"/>
      <c r="D1515" s="55" t="n"/>
      <c r="E1515" s="93" t="n"/>
      <c r="F1515" s="94" t="n"/>
      <c r="G1515" s="94" t="n"/>
      <c r="H1515" s="94" t="n"/>
      <c r="I1515" s="94" t="n"/>
      <c r="J1515" s="55" t="n"/>
      <c r="K1515" s="95" t="n"/>
      <c r="L1515" s="116">
        <f>IF($A1515="","",DATE(YEAR($A1515),MONTH($A1515)+IF(AND(IFERROR(N(INDEX(Übersicht!$M$15:$M$22,MATCH($B1515,Übersicht!$A$15:$A$22,0))),0)&gt;1,DAY($A1515)&gt;=IFERROR(N(INDEX(Übersicht!$M$15:$M$22,MATCH($B1515,Übersicht!$A$15:$A$22,0))),0)),1,0),1))</f>
        <v/>
      </c>
    </row>
    <row r="1516">
      <c r="A1516" s="92" t="n"/>
      <c r="B1516" s="55" t="n"/>
      <c r="C1516" s="55" t="n"/>
      <c r="D1516" s="55" t="n"/>
      <c r="E1516" s="93" t="n"/>
      <c r="F1516" s="94" t="n"/>
      <c r="G1516" s="94" t="n"/>
      <c r="H1516" s="94" t="n"/>
      <c r="I1516" s="94" t="n"/>
      <c r="J1516" s="55" t="n"/>
      <c r="K1516" s="95" t="n"/>
      <c r="L1516" s="116">
        <f>IF($A1516="","",DATE(YEAR($A1516),MONTH($A1516)+IF(AND(IFERROR(N(INDEX(Übersicht!$M$15:$M$22,MATCH($B1516,Übersicht!$A$15:$A$22,0))),0)&gt;1,DAY($A1516)&gt;=IFERROR(N(INDEX(Übersicht!$M$15:$M$22,MATCH($B1516,Übersicht!$A$15:$A$22,0))),0)),1,0),1))</f>
        <v/>
      </c>
    </row>
    <row r="1517">
      <c r="A1517" s="92" t="n"/>
      <c r="B1517" s="55" t="n"/>
      <c r="C1517" s="55" t="n"/>
      <c r="D1517" s="55" t="n"/>
      <c r="E1517" s="93" t="n"/>
      <c r="F1517" s="94" t="n"/>
      <c r="G1517" s="94" t="n"/>
      <c r="H1517" s="94" t="n"/>
      <c r="I1517" s="94" t="n"/>
      <c r="J1517" s="55" t="n"/>
      <c r="K1517" s="95" t="n"/>
      <c r="L1517" s="116">
        <f>IF($A1517="","",DATE(YEAR($A1517),MONTH($A1517)+IF(AND(IFERROR(N(INDEX(Übersicht!$M$15:$M$22,MATCH($B1517,Übersicht!$A$15:$A$22,0))),0)&gt;1,DAY($A1517)&gt;=IFERROR(N(INDEX(Übersicht!$M$15:$M$22,MATCH($B1517,Übersicht!$A$15:$A$22,0))),0)),1,0),1))</f>
        <v/>
      </c>
    </row>
    <row r="1518">
      <c r="A1518" s="92" t="n"/>
      <c r="B1518" s="55" t="n"/>
      <c r="C1518" s="55" t="n"/>
      <c r="D1518" s="55" t="n"/>
      <c r="E1518" s="93" t="n"/>
      <c r="F1518" s="94" t="n"/>
      <c r="G1518" s="94" t="n"/>
      <c r="H1518" s="94" t="n"/>
      <c r="I1518" s="94" t="n"/>
      <c r="J1518" s="55" t="n"/>
      <c r="K1518" s="95" t="n"/>
      <c r="L1518" s="116">
        <f>IF($A1518="","",DATE(YEAR($A1518),MONTH($A1518)+IF(AND(IFERROR(N(INDEX(Übersicht!$M$15:$M$22,MATCH($B1518,Übersicht!$A$15:$A$22,0))),0)&gt;1,DAY($A1518)&gt;=IFERROR(N(INDEX(Übersicht!$M$15:$M$22,MATCH($B1518,Übersicht!$A$15:$A$22,0))),0)),1,0),1))</f>
        <v/>
      </c>
    </row>
    <row r="1519">
      <c r="A1519" s="92" t="n"/>
      <c r="B1519" s="55" t="n"/>
      <c r="C1519" s="55" t="n"/>
      <c r="D1519" s="55" t="n"/>
      <c r="E1519" s="93" t="n"/>
      <c r="F1519" s="94" t="n"/>
      <c r="G1519" s="94" t="n"/>
      <c r="H1519" s="94" t="n"/>
      <c r="I1519" s="94" t="n"/>
      <c r="J1519" s="55" t="n"/>
      <c r="K1519" s="95" t="n"/>
      <c r="L1519" s="116">
        <f>IF($A1519="","",DATE(YEAR($A1519),MONTH($A1519)+IF(AND(IFERROR(N(INDEX(Übersicht!$M$15:$M$22,MATCH($B1519,Übersicht!$A$15:$A$22,0))),0)&gt;1,DAY($A1519)&gt;=IFERROR(N(INDEX(Übersicht!$M$15:$M$22,MATCH($B1519,Übersicht!$A$15:$A$22,0))),0)),1,0),1))</f>
        <v/>
      </c>
    </row>
    <row r="1520">
      <c r="A1520" s="92" t="n"/>
      <c r="B1520" s="55" t="n"/>
      <c r="C1520" s="55" t="n"/>
      <c r="D1520" s="55" t="n"/>
      <c r="E1520" s="93" t="n"/>
      <c r="F1520" s="94" t="n"/>
      <c r="G1520" s="94" t="n"/>
      <c r="H1520" s="94" t="n"/>
      <c r="I1520" s="94" t="n"/>
      <c r="J1520" s="55" t="n"/>
      <c r="K1520" s="95" t="n"/>
      <c r="L1520" s="116">
        <f>IF($A1520="","",DATE(YEAR($A1520),MONTH($A1520)+IF(AND(IFERROR(N(INDEX(Übersicht!$M$15:$M$22,MATCH($B1520,Übersicht!$A$15:$A$22,0))),0)&gt;1,DAY($A1520)&gt;=IFERROR(N(INDEX(Übersicht!$M$15:$M$22,MATCH($B1520,Übersicht!$A$15:$A$22,0))),0)),1,0),1))</f>
        <v/>
      </c>
    </row>
    <row r="1521">
      <c r="A1521" s="92" t="n"/>
      <c r="B1521" s="55" t="n"/>
      <c r="C1521" s="55" t="n"/>
      <c r="D1521" s="55" t="n"/>
      <c r="E1521" s="93" t="n"/>
      <c r="F1521" s="94" t="n"/>
      <c r="G1521" s="94" t="n"/>
      <c r="H1521" s="94" t="n"/>
      <c r="I1521" s="94" t="n"/>
      <c r="J1521" s="55" t="n"/>
      <c r="K1521" s="95" t="n"/>
      <c r="L1521" s="116">
        <f>IF($A1521="","",DATE(YEAR($A1521),MONTH($A1521)+IF(AND(IFERROR(N(INDEX(Übersicht!$M$15:$M$22,MATCH($B1521,Übersicht!$A$15:$A$22,0))),0)&gt;1,DAY($A1521)&gt;=IFERROR(N(INDEX(Übersicht!$M$15:$M$22,MATCH($B1521,Übersicht!$A$15:$A$22,0))),0)),1,0),1))</f>
        <v/>
      </c>
    </row>
    <row r="1522">
      <c r="A1522" s="92" t="n"/>
      <c r="B1522" s="55" t="n"/>
      <c r="C1522" s="55" t="n"/>
      <c r="D1522" s="55" t="n"/>
      <c r="E1522" s="93" t="n"/>
      <c r="F1522" s="94" t="n"/>
      <c r="G1522" s="94" t="n"/>
      <c r="H1522" s="94" t="n"/>
      <c r="I1522" s="94" t="n"/>
      <c r="J1522" s="55" t="n"/>
      <c r="K1522" s="95" t="n"/>
      <c r="L1522" s="116">
        <f>IF($A1522="","",DATE(YEAR($A1522),MONTH($A1522)+IF(AND(IFERROR(N(INDEX(Übersicht!$M$15:$M$22,MATCH($B1522,Übersicht!$A$15:$A$22,0))),0)&gt;1,DAY($A1522)&gt;=IFERROR(N(INDEX(Übersicht!$M$15:$M$22,MATCH($B1522,Übersicht!$A$15:$A$22,0))),0)),1,0),1))</f>
        <v/>
      </c>
    </row>
    <row r="1523">
      <c r="A1523" s="92" t="n"/>
      <c r="B1523" s="55" t="n"/>
      <c r="C1523" s="55" t="n"/>
      <c r="D1523" s="55" t="n"/>
      <c r="E1523" s="93" t="n"/>
      <c r="F1523" s="94" t="n"/>
      <c r="G1523" s="94" t="n"/>
      <c r="H1523" s="94" t="n"/>
      <c r="I1523" s="94" t="n"/>
      <c r="J1523" s="55" t="n"/>
      <c r="K1523" s="95" t="n"/>
      <c r="L1523" s="116">
        <f>IF($A1523="","",DATE(YEAR($A1523),MONTH($A1523)+IF(AND(IFERROR(N(INDEX(Übersicht!$M$15:$M$22,MATCH($B1523,Übersicht!$A$15:$A$22,0))),0)&gt;1,DAY($A1523)&gt;=IFERROR(N(INDEX(Übersicht!$M$15:$M$22,MATCH($B1523,Übersicht!$A$15:$A$22,0))),0)),1,0),1))</f>
        <v/>
      </c>
    </row>
    <row r="1524">
      <c r="A1524" s="92" t="n"/>
      <c r="B1524" s="55" t="n"/>
      <c r="C1524" s="55" t="n"/>
      <c r="D1524" s="55" t="n"/>
      <c r="E1524" s="93" t="n"/>
      <c r="F1524" s="94" t="n"/>
      <c r="G1524" s="94" t="n"/>
      <c r="H1524" s="94" t="n"/>
      <c r="I1524" s="94" t="n"/>
      <c r="J1524" s="55" t="n"/>
      <c r="K1524" s="95" t="n"/>
      <c r="L1524" s="116">
        <f>IF($A1524="","",DATE(YEAR($A1524),MONTH($A1524)+IF(AND(IFERROR(N(INDEX(Übersicht!$M$15:$M$22,MATCH($B1524,Übersicht!$A$15:$A$22,0))),0)&gt;1,DAY($A1524)&gt;=IFERROR(N(INDEX(Übersicht!$M$15:$M$22,MATCH($B1524,Übersicht!$A$15:$A$22,0))),0)),1,0),1))</f>
        <v/>
      </c>
    </row>
    <row r="1525">
      <c r="A1525" s="92" t="n"/>
      <c r="B1525" s="55" t="n"/>
      <c r="C1525" s="55" t="n"/>
      <c r="D1525" s="55" t="n"/>
      <c r="E1525" s="93" t="n"/>
      <c r="F1525" s="94" t="n"/>
      <c r="G1525" s="94" t="n"/>
      <c r="H1525" s="94" t="n"/>
      <c r="I1525" s="94" t="n"/>
      <c r="J1525" s="55" t="n"/>
      <c r="K1525" s="95" t="n"/>
      <c r="L1525" s="116">
        <f>IF($A1525="","",DATE(YEAR($A1525),MONTH($A1525)+IF(AND(IFERROR(N(INDEX(Übersicht!$M$15:$M$22,MATCH($B1525,Übersicht!$A$15:$A$22,0))),0)&gt;1,DAY($A1525)&gt;=IFERROR(N(INDEX(Übersicht!$M$15:$M$22,MATCH($B1525,Übersicht!$A$15:$A$22,0))),0)),1,0),1))</f>
        <v/>
      </c>
    </row>
    <row r="1526">
      <c r="A1526" s="92" t="n"/>
      <c r="B1526" s="55" t="n"/>
      <c r="C1526" s="55" t="n"/>
      <c r="D1526" s="55" t="n"/>
      <c r="E1526" s="93" t="n"/>
      <c r="F1526" s="94" t="n"/>
      <c r="G1526" s="94" t="n"/>
      <c r="H1526" s="94" t="n"/>
      <c r="I1526" s="94" t="n"/>
      <c r="J1526" s="55" t="n"/>
      <c r="K1526" s="95" t="n"/>
      <c r="L1526" s="116">
        <f>IF($A1526="","",DATE(YEAR($A1526),MONTH($A1526)+IF(AND(IFERROR(N(INDEX(Übersicht!$M$15:$M$22,MATCH($B1526,Übersicht!$A$15:$A$22,0))),0)&gt;1,DAY($A1526)&gt;=IFERROR(N(INDEX(Übersicht!$M$15:$M$22,MATCH($B1526,Übersicht!$A$15:$A$22,0))),0)),1,0),1))</f>
        <v/>
      </c>
    </row>
    <row r="1527">
      <c r="A1527" s="92" t="n"/>
      <c r="B1527" s="55" t="n"/>
      <c r="C1527" s="55" t="n"/>
      <c r="D1527" s="55" t="n"/>
      <c r="E1527" s="93" t="n"/>
      <c r="F1527" s="94" t="n"/>
      <c r="G1527" s="94" t="n"/>
      <c r="H1527" s="94" t="n"/>
      <c r="I1527" s="94" t="n"/>
      <c r="J1527" s="55" t="n"/>
      <c r="K1527" s="95" t="n"/>
      <c r="L1527" s="116">
        <f>IF($A1527="","",DATE(YEAR($A1527),MONTH($A1527)+IF(AND(IFERROR(N(INDEX(Übersicht!$M$15:$M$22,MATCH($B1527,Übersicht!$A$15:$A$22,0))),0)&gt;1,DAY($A1527)&gt;=IFERROR(N(INDEX(Übersicht!$M$15:$M$22,MATCH($B1527,Übersicht!$A$15:$A$22,0))),0)),1,0),1))</f>
        <v/>
      </c>
    </row>
    <row r="1528">
      <c r="A1528" s="92" t="n"/>
      <c r="B1528" s="55" t="n"/>
      <c r="C1528" s="55" t="n"/>
      <c r="D1528" s="55" t="n"/>
      <c r="E1528" s="93" t="n"/>
      <c r="F1528" s="94" t="n"/>
      <c r="G1528" s="94" t="n"/>
      <c r="H1528" s="94" t="n"/>
      <c r="I1528" s="94" t="n"/>
      <c r="J1528" s="55" t="n"/>
      <c r="K1528" s="95" t="n"/>
      <c r="L1528" s="116">
        <f>IF($A1528="","",DATE(YEAR($A1528),MONTH($A1528)+IF(AND(IFERROR(N(INDEX(Übersicht!$M$15:$M$22,MATCH($B1528,Übersicht!$A$15:$A$22,0))),0)&gt;1,DAY($A1528)&gt;=IFERROR(N(INDEX(Übersicht!$M$15:$M$22,MATCH($B1528,Übersicht!$A$15:$A$22,0))),0)),1,0),1))</f>
        <v/>
      </c>
    </row>
    <row r="1529">
      <c r="A1529" s="92" t="n"/>
      <c r="B1529" s="55" t="n"/>
      <c r="C1529" s="55" t="n"/>
      <c r="D1529" s="55" t="n"/>
      <c r="E1529" s="93" t="n"/>
      <c r="F1529" s="94" t="n"/>
      <c r="G1529" s="94" t="n"/>
      <c r="H1529" s="94" t="n"/>
      <c r="I1529" s="94" t="n"/>
      <c r="J1529" s="55" t="n"/>
      <c r="K1529" s="95" t="n"/>
      <c r="L1529" s="116">
        <f>IF($A1529="","",DATE(YEAR($A1529),MONTH($A1529)+IF(AND(IFERROR(N(INDEX(Übersicht!$M$15:$M$22,MATCH($B1529,Übersicht!$A$15:$A$22,0))),0)&gt;1,DAY($A1529)&gt;=IFERROR(N(INDEX(Übersicht!$M$15:$M$22,MATCH($B1529,Übersicht!$A$15:$A$22,0))),0)),1,0),1))</f>
        <v/>
      </c>
    </row>
    <row r="1530">
      <c r="A1530" s="92" t="n"/>
      <c r="B1530" s="55" t="n"/>
      <c r="C1530" s="55" t="n"/>
      <c r="D1530" s="55" t="n"/>
      <c r="E1530" s="93" t="n"/>
      <c r="F1530" s="94" t="n"/>
      <c r="G1530" s="94" t="n"/>
      <c r="H1530" s="94" t="n"/>
      <c r="I1530" s="94" t="n"/>
      <c r="J1530" s="55" t="n"/>
      <c r="K1530" s="95" t="n"/>
      <c r="L1530" s="116">
        <f>IF($A1530="","",DATE(YEAR($A1530),MONTH($A1530)+IF(AND(IFERROR(N(INDEX(Übersicht!$M$15:$M$22,MATCH($B1530,Übersicht!$A$15:$A$22,0))),0)&gt;1,DAY($A1530)&gt;=IFERROR(N(INDEX(Übersicht!$M$15:$M$22,MATCH($B1530,Übersicht!$A$15:$A$22,0))),0)),1,0),1))</f>
        <v/>
      </c>
    </row>
    <row r="1531">
      <c r="A1531" s="92" t="n"/>
      <c r="B1531" s="55" t="n"/>
      <c r="C1531" s="55" t="n"/>
      <c r="D1531" s="55" t="n"/>
      <c r="E1531" s="93" t="n"/>
      <c r="F1531" s="94" t="n"/>
      <c r="G1531" s="94" t="n"/>
      <c r="H1531" s="94" t="n"/>
      <c r="I1531" s="94" t="n"/>
      <c r="J1531" s="55" t="n"/>
      <c r="K1531" s="95" t="n"/>
      <c r="L1531" s="116">
        <f>IF($A1531="","",DATE(YEAR($A1531),MONTH($A1531)+IF(AND(IFERROR(N(INDEX(Übersicht!$M$15:$M$22,MATCH($B1531,Übersicht!$A$15:$A$22,0))),0)&gt;1,DAY($A1531)&gt;=IFERROR(N(INDEX(Übersicht!$M$15:$M$22,MATCH($B1531,Übersicht!$A$15:$A$22,0))),0)),1,0),1))</f>
        <v/>
      </c>
    </row>
    <row r="1532">
      <c r="A1532" s="92" t="n"/>
      <c r="B1532" s="55" t="n"/>
      <c r="C1532" s="55" t="n"/>
      <c r="D1532" s="55" t="n"/>
      <c r="E1532" s="93" t="n"/>
      <c r="F1532" s="94" t="n"/>
      <c r="G1532" s="94" t="n"/>
      <c r="H1532" s="94" t="n"/>
      <c r="I1532" s="94" t="n"/>
      <c r="J1532" s="55" t="n"/>
      <c r="K1532" s="95" t="n"/>
      <c r="L1532" s="116">
        <f>IF($A1532="","",DATE(YEAR($A1532),MONTH($A1532)+IF(AND(IFERROR(N(INDEX(Übersicht!$M$15:$M$22,MATCH($B1532,Übersicht!$A$15:$A$22,0))),0)&gt;1,DAY($A1532)&gt;=IFERROR(N(INDEX(Übersicht!$M$15:$M$22,MATCH($B1532,Übersicht!$A$15:$A$22,0))),0)),1,0),1))</f>
        <v/>
      </c>
    </row>
    <row r="1533">
      <c r="A1533" s="92" t="n"/>
      <c r="B1533" s="55" t="n"/>
      <c r="C1533" s="55" t="n"/>
      <c r="D1533" s="55" t="n"/>
      <c r="E1533" s="93" t="n"/>
      <c r="F1533" s="94" t="n"/>
      <c r="G1533" s="94" t="n"/>
      <c r="H1533" s="94" t="n"/>
      <c r="I1533" s="94" t="n"/>
      <c r="J1533" s="55" t="n"/>
      <c r="K1533" s="95" t="n"/>
      <c r="L1533" s="116">
        <f>IF($A1533="","",DATE(YEAR($A1533),MONTH($A1533)+IF(AND(IFERROR(N(INDEX(Übersicht!$M$15:$M$22,MATCH($B1533,Übersicht!$A$15:$A$22,0))),0)&gt;1,DAY($A1533)&gt;=IFERROR(N(INDEX(Übersicht!$M$15:$M$22,MATCH($B1533,Übersicht!$A$15:$A$22,0))),0)),1,0),1))</f>
        <v/>
      </c>
    </row>
    <row r="1534">
      <c r="A1534" s="92" t="n"/>
      <c r="B1534" s="55" t="n"/>
      <c r="C1534" s="55" t="n"/>
      <c r="D1534" s="55" t="n"/>
      <c r="E1534" s="93" t="n"/>
      <c r="F1534" s="94" t="n"/>
      <c r="G1534" s="94" t="n"/>
      <c r="H1534" s="94" t="n"/>
      <c r="I1534" s="94" t="n"/>
      <c r="J1534" s="55" t="n"/>
      <c r="K1534" s="95" t="n"/>
      <c r="L1534" s="116">
        <f>IF($A1534="","",DATE(YEAR($A1534),MONTH($A1534)+IF(AND(IFERROR(N(INDEX(Übersicht!$M$15:$M$22,MATCH($B1534,Übersicht!$A$15:$A$22,0))),0)&gt;1,DAY($A1534)&gt;=IFERROR(N(INDEX(Übersicht!$M$15:$M$22,MATCH($B1534,Übersicht!$A$15:$A$22,0))),0)),1,0),1))</f>
        <v/>
      </c>
    </row>
    <row r="1535">
      <c r="A1535" s="92" t="n"/>
      <c r="B1535" s="55" t="n"/>
      <c r="C1535" s="55" t="n"/>
      <c r="D1535" s="55" t="n"/>
      <c r="E1535" s="93" t="n"/>
      <c r="F1535" s="94" t="n"/>
      <c r="G1535" s="94" t="n"/>
      <c r="H1535" s="94" t="n"/>
      <c r="I1535" s="94" t="n"/>
      <c r="J1535" s="55" t="n"/>
      <c r="K1535" s="95" t="n"/>
      <c r="L1535" s="116">
        <f>IF($A1535="","",DATE(YEAR($A1535),MONTH($A1535)+IF(AND(IFERROR(N(INDEX(Übersicht!$M$15:$M$22,MATCH($B1535,Übersicht!$A$15:$A$22,0))),0)&gt;1,DAY($A1535)&gt;=IFERROR(N(INDEX(Übersicht!$M$15:$M$22,MATCH($B1535,Übersicht!$A$15:$A$22,0))),0)),1,0),1))</f>
        <v/>
      </c>
    </row>
    <row r="1536">
      <c r="A1536" s="92" t="n"/>
      <c r="B1536" s="55" t="n"/>
      <c r="C1536" s="55" t="n"/>
      <c r="D1536" s="55" t="n"/>
      <c r="E1536" s="93" t="n"/>
      <c r="F1536" s="94" t="n"/>
      <c r="G1536" s="94" t="n"/>
      <c r="H1536" s="94" t="n"/>
      <c r="I1536" s="94" t="n"/>
      <c r="J1536" s="55" t="n"/>
      <c r="K1536" s="95" t="n"/>
      <c r="L1536" s="116">
        <f>IF($A1536="","",DATE(YEAR($A1536),MONTH($A1536)+IF(AND(IFERROR(N(INDEX(Übersicht!$M$15:$M$22,MATCH($B1536,Übersicht!$A$15:$A$22,0))),0)&gt;1,DAY($A1536)&gt;=IFERROR(N(INDEX(Übersicht!$M$15:$M$22,MATCH($B1536,Übersicht!$A$15:$A$22,0))),0)),1,0),1))</f>
        <v/>
      </c>
    </row>
    <row r="1537">
      <c r="A1537" s="92" t="n"/>
      <c r="B1537" s="55" t="n"/>
      <c r="C1537" s="55" t="n"/>
      <c r="D1537" s="55" t="n"/>
      <c r="E1537" s="93" t="n"/>
      <c r="F1537" s="94" t="n"/>
      <c r="G1537" s="94" t="n"/>
      <c r="H1537" s="94" t="n"/>
      <c r="I1537" s="94" t="n"/>
      <c r="J1537" s="55" t="n"/>
      <c r="K1537" s="95" t="n"/>
      <c r="L1537" s="116">
        <f>IF($A1537="","",DATE(YEAR($A1537),MONTH($A1537)+IF(AND(IFERROR(N(INDEX(Übersicht!$M$15:$M$22,MATCH($B1537,Übersicht!$A$15:$A$22,0))),0)&gt;1,DAY($A1537)&gt;=IFERROR(N(INDEX(Übersicht!$M$15:$M$22,MATCH($B1537,Übersicht!$A$15:$A$22,0))),0)),1,0),1))</f>
        <v/>
      </c>
    </row>
    <row r="1538">
      <c r="A1538" s="92" t="n"/>
      <c r="B1538" s="55" t="n"/>
      <c r="C1538" s="55" t="n"/>
      <c r="D1538" s="55" t="n"/>
      <c r="E1538" s="93" t="n"/>
      <c r="F1538" s="94" t="n"/>
      <c r="G1538" s="94" t="n"/>
      <c r="H1538" s="94" t="n"/>
      <c r="I1538" s="94" t="n"/>
      <c r="J1538" s="55" t="n"/>
      <c r="K1538" s="95" t="n"/>
      <c r="L1538" s="116">
        <f>IF($A1538="","",DATE(YEAR($A1538),MONTH($A1538)+IF(AND(IFERROR(N(INDEX(Übersicht!$M$15:$M$22,MATCH($B1538,Übersicht!$A$15:$A$22,0))),0)&gt;1,DAY($A1538)&gt;=IFERROR(N(INDEX(Übersicht!$M$15:$M$22,MATCH($B1538,Übersicht!$A$15:$A$22,0))),0)),1,0),1))</f>
        <v/>
      </c>
    </row>
    <row r="1539">
      <c r="A1539" s="92" t="n"/>
      <c r="B1539" s="55" t="n"/>
      <c r="C1539" s="55" t="n"/>
      <c r="D1539" s="55" t="n"/>
      <c r="E1539" s="93" t="n"/>
      <c r="F1539" s="94" t="n"/>
      <c r="G1539" s="94" t="n"/>
      <c r="H1539" s="94" t="n"/>
      <c r="I1539" s="94" t="n"/>
      <c r="J1539" s="55" t="n"/>
      <c r="K1539" s="95" t="n"/>
      <c r="L1539" s="116">
        <f>IF($A1539="","",DATE(YEAR($A1539),MONTH($A1539)+IF(AND(IFERROR(N(INDEX(Übersicht!$M$15:$M$22,MATCH($B1539,Übersicht!$A$15:$A$22,0))),0)&gt;1,DAY($A1539)&gt;=IFERROR(N(INDEX(Übersicht!$M$15:$M$22,MATCH($B1539,Übersicht!$A$15:$A$22,0))),0)),1,0),1))</f>
        <v/>
      </c>
    </row>
    <row r="1540">
      <c r="A1540" s="92" t="n"/>
      <c r="B1540" s="55" t="n"/>
      <c r="C1540" s="55" t="n"/>
      <c r="D1540" s="55" t="n"/>
      <c r="E1540" s="93" t="n"/>
      <c r="F1540" s="94" t="n"/>
      <c r="G1540" s="94" t="n"/>
      <c r="H1540" s="94" t="n"/>
      <c r="I1540" s="94" t="n"/>
      <c r="J1540" s="55" t="n"/>
      <c r="K1540" s="95" t="n"/>
      <c r="L1540" s="116">
        <f>IF($A1540="","",DATE(YEAR($A1540),MONTH($A1540)+IF(AND(IFERROR(N(INDEX(Übersicht!$M$15:$M$22,MATCH($B1540,Übersicht!$A$15:$A$22,0))),0)&gt;1,DAY($A1540)&gt;=IFERROR(N(INDEX(Übersicht!$M$15:$M$22,MATCH($B1540,Übersicht!$A$15:$A$22,0))),0)),1,0),1))</f>
        <v/>
      </c>
    </row>
    <row r="1541">
      <c r="A1541" s="92" t="n"/>
      <c r="B1541" s="55" t="n"/>
      <c r="C1541" s="55" t="n"/>
      <c r="D1541" s="55" t="n"/>
      <c r="E1541" s="93" t="n"/>
      <c r="F1541" s="94" t="n"/>
      <c r="G1541" s="94" t="n"/>
      <c r="H1541" s="94" t="n"/>
      <c r="I1541" s="94" t="n"/>
      <c r="J1541" s="55" t="n"/>
      <c r="K1541" s="95" t="n"/>
      <c r="L1541" s="116">
        <f>IF($A1541="","",DATE(YEAR($A1541),MONTH($A1541)+IF(AND(IFERROR(N(INDEX(Übersicht!$M$15:$M$22,MATCH($B1541,Übersicht!$A$15:$A$22,0))),0)&gt;1,DAY($A1541)&gt;=IFERROR(N(INDEX(Übersicht!$M$15:$M$22,MATCH($B1541,Übersicht!$A$15:$A$22,0))),0)),1,0),1))</f>
        <v/>
      </c>
    </row>
    <row r="1542">
      <c r="A1542" s="92" t="n"/>
      <c r="B1542" s="55" t="n"/>
      <c r="C1542" s="55" t="n"/>
      <c r="D1542" s="55" t="n"/>
      <c r="E1542" s="93" t="n"/>
      <c r="F1542" s="94" t="n"/>
      <c r="G1542" s="94" t="n"/>
      <c r="H1542" s="94" t="n"/>
      <c r="I1542" s="94" t="n"/>
      <c r="J1542" s="55" t="n"/>
      <c r="K1542" s="95" t="n"/>
      <c r="L1542" s="116">
        <f>IF($A1542="","",DATE(YEAR($A1542),MONTH($A1542)+IF(AND(IFERROR(N(INDEX(Übersicht!$M$15:$M$22,MATCH($B1542,Übersicht!$A$15:$A$22,0))),0)&gt;1,DAY($A1542)&gt;=IFERROR(N(INDEX(Übersicht!$M$15:$M$22,MATCH($B1542,Übersicht!$A$15:$A$22,0))),0)),1,0),1))</f>
        <v/>
      </c>
    </row>
    <row r="1543">
      <c r="A1543" s="92" t="n"/>
      <c r="B1543" s="55" t="n"/>
      <c r="C1543" s="55" t="n"/>
      <c r="D1543" s="55" t="n"/>
      <c r="E1543" s="93" t="n"/>
      <c r="F1543" s="94" t="n"/>
      <c r="G1543" s="94" t="n"/>
      <c r="H1543" s="94" t="n"/>
      <c r="I1543" s="94" t="n"/>
      <c r="J1543" s="55" t="n"/>
      <c r="K1543" s="95" t="n"/>
      <c r="L1543" s="116">
        <f>IF($A1543="","",DATE(YEAR($A1543),MONTH($A1543)+IF(AND(IFERROR(N(INDEX(Übersicht!$M$15:$M$22,MATCH($B1543,Übersicht!$A$15:$A$22,0))),0)&gt;1,DAY($A1543)&gt;=IFERROR(N(INDEX(Übersicht!$M$15:$M$22,MATCH($B1543,Übersicht!$A$15:$A$22,0))),0)),1,0),1))</f>
        <v/>
      </c>
    </row>
    <row r="1544">
      <c r="A1544" s="92" t="n"/>
      <c r="B1544" s="55" t="n"/>
      <c r="C1544" s="55" t="n"/>
      <c r="D1544" s="55" t="n"/>
      <c r="E1544" s="93" t="n"/>
      <c r="F1544" s="94" t="n"/>
      <c r="G1544" s="94" t="n"/>
      <c r="H1544" s="94" t="n"/>
      <c r="I1544" s="94" t="n"/>
      <c r="J1544" s="55" t="n"/>
      <c r="K1544" s="95" t="n"/>
      <c r="L1544" s="116">
        <f>IF($A1544="","",DATE(YEAR($A1544),MONTH($A1544)+IF(AND(IFERROR(N(INDEX(Übersicht!$M$15:$M$22,MATCH($B1544,Übersicht!$A$15:$A$22,0))),0)&gt;1,DAY($A1544)&gt;=IFERROR(N(INDEX(Übersicht!$M$15:$M$22,MATCH($B1544,Übersicht!$A$15:$A$22,0))),0)),1,0),1))</f>
        <v/>
      </c>
    </row>
    <row r="1545">
      <c r="A1545" s="92" t="n"/>
      <c r="B1545" s="55" t="n"/>
      <c r="C1545" s="55" t="n"/>
      <c r="D1545" s="55" t="n"/>
      <c r="E1545" s="93" t="n"/>
      <c r="F1545" s="94" t="n"/>
      <c r="G1545" s="94" t="n"/>
      <c r="H1545" s="94" t="n"/>
      <c r="I1545" s="94" t="n"/>
      <c r="J1545" s="55" t="n"/>
      <c r="K1545" s="95" t="n"/>
      <c r="L1545" s="116">
        <f>IF($A1545="","",DATE(YEAR($A1545),MONTH($A1545)+IF(AND(IFERROR(N(INDEX(Übersicht!$M$15:$M$22,MATCH($B1545,Übersicht!$A$15:$A$22,0))),0)&gt;1,DAY($A1545)&gt;=IFERROR(N(INDEX(Übersicht!$M$15:$M$22,MATCH($B1545,Übersicht!$A$15:$A$22,0))),0)),1,0),1))</f>
        <v/>
      </c>
    </row>
    <row r="1546">
      <c r="A1546" s="92" t="n"/>
      <c r="B1546" s="55" t="n"/>
      <c r="C1546" s="55" t="n"/>
      <c r="D1546" s="55" t="n"/>
      <c r="E1546" s="93" t="n"/>
      <c r="F1546" s="94" t="n"/>
      <c r="G1546" s="94" t="n"/>
      <c r="H1546" s="94" t="n"/>
      <c r="I1546" s="94" t="n"/>
      <c r="J1546" s="55" t="n"/>
      <c r="K1546" s="95" t="n"/>
      <c r="L1546" s="116">
        <f>IF($A1546="","",DATE(YEAR($A1546),MONTH($A1546)+IF(AND(IFERROR(N(INDEX(Übersicht!$M$15:$M$22,MATCH($B1546,Übersicht!$A$15:$A$22,0))),0)&gt;1,DAY($A1546)&gt;=IFERROR(N(INDEX(Übersicht!$M$15:$M$22,MATCH($B1546,Übersicht!$A$15:$A$22,0))),0)),1,0),1))</f>
        <v/>
      </c>
    </row>
    <row r="1547">
      <c r="A1547" s="92" t="n"/>
      <c r="B1547" s="55" t="n"/>
      <c r="C1547" s="55" t="n"/>
      <c r="D1547" s="55" t="n"/>
      <c r="E1547" s="93" t="n"/>
      <c r="F1547" s="94" t="n"/>
      <c r="G1547" s="94" t="n"/>
      <c r="H1547" s="94" t="n"/>
      <c r="I1547" s="94" t="n"/>
      <c r="J1547" s="55" t="n"/>
      <c r="K1547" s="95" t="n"/>
      <c r="L1547" s="116">
        <f>IF($A1547="","",DATE(YEAR($A1547),MONTH($A1547)+IF(AND(IFERROR(N(INDEX(Übersicht!$M$15:$M$22,MATCH($B1547,Übersicht!$A$15:$A$22,0))),0)&gt;1,DAY($A1547)&gt;=IFERROR(N(INDEX(Übersicht!$M$15:$M$22,MATCH($B1547,Übersicht!$A$15:$A$22,0))),0)),1,0),1))</f>
        <v/>
      </c>
    </row>
    <row r="1548">
      <c r="A1548" s="92" t="n"/>
      <c r="B1548" s="55" t="n"/>
      <c r="C1548" s="55" t="n"/>
      <c r="D1548" s="55" t="n"/>
      <c r="E1548" s="93" t="n"/>
      <c r="F1548" s="94" t="n"/>
      <c r="G1548" s="94" t="n"/>
      <c r="H1548" s="94" t="n"/>
      <c r="I1548" s="94" t="n"/>
      <c r="J1548" s="55" t="n"/>
      <c r="K1548" s="95" t="n"/>
      <c r="L1548" s="116">
        <f>IF($A1548="","",DATE(YEAR($A1548),MONTH($A1548)+IF(AND(IFERROR(N(INDEX(Übersicht!$M$15:$M$22,MATCH($B1548,Übersicht!$A$15:$A$22,0))),0)&gt;1,DAY($A1548)&gt;=IFERROR(N(INDEX(Übersicht!$M$15:$M$22,MATCH($B1548,Übersicht!$A$15:$A$22,0))),0)),1,0),1))</f>
        <v/>
      </c>
    </row>
    <row r="1549">
      <c r="A1549" s="92" t="n"/>
      <c r="B1549" s="55" t="n"/>
      <c r="C1549" s="55" t="n"/>
      <c r="D1549" s="55" t="n"/>
      <c r="E1549" s="93" t="n"/>
      <c r="F1549" s="94" t="n"/>
      <c r="G1549" s="94" t="n"/>
      <c r="H1549" s="94" t="n"/>
      <c r="I1549" s="94" t="n"/>
      <c r="J1549" s="55" t="n"/>
      <c r="K1549" s="95" t="n"/>
      <c r="L1549" s="116">
        <f>IF($A1549="","",DATE(YEAR($A1549),MONTH($A1549)+IF(AND(IFERROR(N(INDEX(Übersicht!$M$15:$M$22,MATCH($B1549,Übersicht!$A$15:$A$22,0))),0)&gt;1,DAY($A1549)&gt;=IFERROR(N(INDEX(Übersicht!$M$15:$M$22,MATCH($B1549,Übersicht!$A$15:$A$22,0))),0)),1,0),1))</f>
        <v/>
      </c>
    </row>
    <row r="1550">
      <c r="A1550" s="92" t="n"/>
      <c r="B1550" s="55" t="n"/>
      <c r="C1550" s="55" t="n"/>
      <c r="D1550" s="55" t="n"/>
      <c r="E1550" s="93" t="n"/>
      <c r="F1550" s="94" t="n"/>
      <c r="G1550" s="94" t="n"/>
      <c r="H1550" s="94" t="n"/>
      <c r="I1550" s="94" t="n"/>
      <c r="J1550" s="55" t="n"/>
      <c r="K1550" s="95" t="n"/>
      <c r="L1550" s="116">
        <f>IF($A1550="","",DATE(YEAR($A1550),MONTH($A1550)+IF(AND(IFERROR(N(INDEX(Übersicht!$M$15:$M$22,MATCH($B1550,Übersicht!$A$15:$A$22,0))),0)&gt;1,DAY($A1550)&gt;=IFERROR(N(INDEX(Übersicht!$M$15:$M$22,MATCH($B1550,Übersicht!$A$15:$A$22,0))),0)),1,0),1))</f>
        <v/>
      </c>
    </row>
    <row r="1551">
      <c r="A1551" s="92" t="n"/>
      <c r="B1551" s="55" t="n"/>
      <c r="C1551" s="55" t="n"/>
      <c r="D1551" s="55" t="n"/>
      <c r="E1551" s="93" t="n"/>
      <c r="F1551" s="94" t="n"/>
      <c r="G1551" s="94" t="n"/>
      <c r="H1551" s="94" t="n"/>
      <c r="I1551" s="94" t="n"/>
      <c r="J1551" s="55" t="n"/>
      <c r="K1551" s="95" t="n"/>
      <c r="L1551" s="116">
        <f>IF($A1551="","",DATE(YEAR($A1551),MONTH($A1551)+IF(AND(IFERROR(N(INDEX(Übersicht!$M$15:$M$22,MATCH($B1551,Übersicht!$A$15:$A$22,0))),0)&gt;1,DAY($A1551)&gt;=IFERROR(N(INDEX(Übersicht!$M$15:$M$22,MATCH($B1551,Übersicht!$A$15:$A$22,0))),0)),1,0),1))</f>
        <v/>
      </c>
    </row>
    <row r="1552">
      <c r="A1552" s="92" t="n"/>
      <c r="B1552" s="55" t="n"/>
      <c r="C1552" s="55" t="n"/>
      <c r="D1552" s="55" t="n"/>
      <c r="E1552" s="93" t="n"/>
      <c r="F1552" s="94" t="n"/>
      <c r="G1552" s="94" t="n"/>
      <c r="H1552" s="94" t="n"/>
      <c r="I1552" s="94" t="n"/>
      <c r="J1552" s="55" t="n"/>
      <c r="K1552" s="95" t="n"/>
      <c r="L1552" s="116">
        <f>IF($A1552="","",DATE(YEAR($A1552),MONTH($A1552)+IF(AND(IFERROR(N(INDEX(Übersicht!$M$15:$M$22,MATCH($B1552,Übersicht!$A$15:$A$22,0))),0)&gt;1,DAY($A1552)&gt;=IFERROR(N(INDEX(Übersicht!$M$15:$M$22,MATCH($B1552,Übersicht!$A$15:$A$22,0))),0)),1,0),1))</f>
        <v/>
      </c>
    </row>
    <row r="1553">
      <c r="A1553" s="92" t="n"/>
      <c r="B1553" s="55" t="n"/>
      <c r="C1553" s="55" t="n"/>
      <c r="D1553" s="55" t="n"/>
      <c r="E1553" s="93" t="n"/>
      <c r="F1553" s="94" t="n"/>
      <c r="G1553" s="94" t="n"/>
      <c r="H1553" s="94" t="n"/>
      <c r="I1553" s="94" t="n"/>
      <c r="J1553" s="55" t="n"/>
      <c r="K1553" s="95" t="n"/>
      <c r="L1553" s="116">
        <f>IF($A1553="","",DATE(YEAR($A1553),MONTH($A1553)+IF(AND(IFERROR(N(INDEX(Übersicht!$M$15:$M$22,MATCH($B1553,Übersicht!$A$15:$A$22,0))),0)&gt;1,DAY($A1553)&gt;=IFERROR(N(INDEX(Übersicht!$M$15:$M$22,MATCH($B1553,Übersicht!$A$15:$A$22,0))),0)),1,0),1))</f>
        <v/>
      </c>
    </row>
    <row r="1554">
      <c r="A1554" s="92" t="n"/>
      <c r="B1554" s="55" t="n"/>
      <c r="C1554" s="55" t="n"/>
      <c r="D1554" s="55" t="n"/>
      <c r="E1554" s="93" t="n"/>
      <c r="F1554" s="94" t="n"/>
      <c r="G1554" s="94" t="n"/>
      <c r="H1554" s="94" t="n"/>
      <c r="I1554" s="94" t="n"/>
      <c r="J1554" s="55" t="n"/>
      <c r="K1554" s="95" t="n"/>
      <c r="L1554" s="116">
        <f>IF($A1554="","",DATE(YEAR($A1554),MONTH($A1554)+IF(AND(IFERROR(N(INDEX(Übersicht!$M$15:$M$22,MATCH($B1554,Übersicht!$A$15:$A$22,0))),0)&gt;1,DAY($A1554)&gt;=IFERROR(N(INDEX(Übersicht!$M$15:$M$22,MATCH($B1554,Übersicht!$A$15:$A$22,0))),0)),1,0),1))</f>
        <v/>
      </c>
    </row>
    <row r="1555">
      <c r="A1555" s="92" t="n"/>
      <c r="B1555" s="55" t="n"/>
      <c r="C1555" s="55" t="n"/>
      <c r="D1555" s="55" t="n"/>
      <c r="E1555" s="93" t="n"/>
      <c r="F1555" s="94" t="n"/>
      <c r="G1555" s="94" t="n"/>
      <c r="H1555" s="94" t="n"/>
      <c r="I1555" s="94" t="n"/>
      <c r="J1555" s="55" t="n"/>
      <c r="K1555" s="95" t="n"/>
      <c r="L1555" s="116">
        <f>IF($A1555="","",DATE(YEAR($A1555),MONTH($A1555)+IF(AND(IFERROR(N(INDEX(Übersicht!$M$15:$M$22,MATCH($B1555,Übersicht!$A$15:$A$22,0))),0)&gt;1,DAY($A1555)&gt;=IFERROR(N(INDEX(Übersicht!$M$15:$M$22,MATCH($B1555,Übersicht!$A$15:$A$22,0))),0)),1,0),1))</f>
        <v/>
      </c>
    </row>
    <row r="1556">
      <c r="A1556" s="92" t="n"/>
      <c r="B1556" s="55" t="n"/>
      <c r="C1556" s="55" t="n"/>
      <c r="D1556" s="55" t="n"/>
      <c r="E1556" s="93" t="n"/>
      <c r="F1556" s="94" t="n"/>
      <c r="G1556" s="94" t="n"/>
      <c r="H1556" s="94" t="n"/>
      <c r="I1556" s="94" t="n"/>
      <c r="J1556" s="55" t="n"/>
      <c r="K1556" s="95" t="n"/>
      <c r="L1556" s="116">
        <f>IF($A1556="","",DATE(YEAR($A1556),MONTH($A1556)+IF(AND(IFERROR(N(INDEX(Übersicht!$M$15:$M$22,MATCH($B1556,Übersicht!$A$15:$A$22,0))),0)&gt;1,DAY($A1556)&gt;=IFERROR(N(INDEX(Übersicht!$M$15:$M$22,MATCH($B1556,Übersicht!$A$15:$A$22,0))),0)),1,0),1))</f>
        <v/>
      </c>
    </row>
    <row r="1557">
      <c r="A1557" s="92" t="n"/>
      <c r="B1557" s="55" t="n"/>
      <c r="C1557" s="55" t="n"/>
      <c r="D1557" s="55" t="n"/>
      <c r="E1557" s="93" t="n"/>
      <c r="F1557" s="94" t="n"/>
      <c r="G1557" s="94" t="n"/>
      <c r="H1557" s="94" t="n"/>
      <c r="I1557" s="94" t="n"/>
      <c r="J1557" s="55" t="n"/>
      <c r="K1557" s="95" t="n"/>
      <c r="L1557" s="116">
        <f>IF($A1557="","",DATE(YEAR($A1557),MONTH($A1557)+IF(AND(IFERROR(N(INDEX(Übersicht!$M$15:$M$22,MATCH($B1557,Übersicht!$A$15:$A$22,0))),0)&gt;1,DAY($A1557)&gt;=IFERROR(N(INDEX(Übersicht!$M$15:$M$22,MATCH($B1557,Übersicht!$A$15:$A$22,0))),0)),1,0),1))</f>
        <v/>
      </c>
    </row>
    <row r="1558">
      <c r="A1558" s="92" t="n"/>
      <c r="B1558" s="55" t="n"/>
      <c r="C1558" s="55" t="n"/>
      <c r="D1558" s="55" t="n"/>
      <c r="E1558" s="93" t="n"/>
      <c r="F1558" s="94" t="n"/>
      <c r="G1558" s="94" t="n"/>
      <c r="H1558" s="94" t="n"/>
      <c r="I1558" s="94" t="n"/>
      <c r="J1558" s="55" t="n"/>
      <c r="K1558" s="95" t="n"/>
      <c r="L1558" s="116">
        <f>IF($A1558="","",DATE(YEAR($A1558),MONTH($A1558)+IF(AND(IFERROR(N(INDEX(Übersicht!$M$15:$M$22,MATCH($B1558,Übersicht!$A$15:$A$22,0))),0)&gt;1,DAY($A1558)&gt;=IFERROR(N(INDEX(Übersicht!$M$15:$M$22,MATCH($B1558,Übersicht!$A$15:$A$22,0))),0)),1,0),1))</f>
        <v/>
      </c>
    </row>
    <row r="1559">
      <c r="A1559" s="92" t="n"/>
      <c r="B1559" s="55" t="n"/>
      <c r="C1559" s="55" t="n"/>
      <c r="D1559" s="55" t="n"/>
      <c r="E1559" s="93" t="n"/>
      <c r="F1559" s="94" t="n"/>
      <c r="G1559" s="94" t="n"/>
      <c r="H1559" s="94" t="n"/>
      <c r="I1559" s="94" t="n"/>
      <c r="J1559" s="55" t="n"/>
      <c r="K1559" s="95" t="n"/>
      <c r="L1559" s="116">
        <f>IF($A1559="","",DATE(YEAR($A1559),MONTH($A1559)+IF(AND(IFERROR(N(INDEX(Übersicht!$M$15:$M$22,MATCH($B1559,Übersicht!$A$15:$A$22,0))),0)&gt;1,DAY($A1559)&gt;=IFERROR(N(INDEX(Übersicht!$M$15:$M$22,MATCH($B1559,Übersicht!$A$15:$A$22,0))),0)),1,0),1))</f>
        <v/>
      </c>
    </row>
    <row r="1560">
      <c r="A1560" s="92" t="n"/>
      <c r="B1560" s="55" t="n"/>
      <c r="C1560" s="55" t="n"/>
      <c r="D1560" s="55" t="n"/>
      <c r="E1560" s="93" t="n"/>
      <c r="F1560" s="94" t="n"/>
      <c r="G1560" s="94" t="n"/>
      <c r="H1560" s="94" t="n"/>
      <c r="I1560" s="94" t="n"/>
      <c r="J1560" s="55" t="n"/>
      <c r="K1560" s="95" t="n"/>
      <c r="L1560" s="116">
        <f>IF($A1560="","",DATE(YEAR($A1560),MONTH($A1560)+IF(AND(IFERROR(N(INDEX(Übersicht!$M$15:$M$22,MATCH($B1560,Übersicht!$A$15:$A$22,0))),0)&gt;1,DAY($A1560)&gt;=IFERROR(N(INDEX(Übersicht!$M$15:$M$22,MATCH($B1560,Übersicht!$A$15:$A$22,0))),0)),1,0),1))</f>
        <v/>
      </c>
    </row>
    <row r="1561">
      <c r="A1561" s="92" t="n"/>
      <c r="B1561" s="55" t="n"/>
      <c r="C1561" s="55" t="n"/>
      <c r="D1561" s="55" t="n"/>
      <c r="E1561" s="93" t="n"/>
      <c r="F1561" s="94" t="n"/>
      <c r="G1561" s="94" t="n"/>
      <c r="H1561" s="94" t="n"/>
      <c r="I1561" s="94" t="n"/>
      <c r="J1561" s="55" t="n"/>
      <c r="K1561" s="95" t="n"/>
      <c r="L1561" s="116">
        <f>IF($A1561="","",DATE(YEAR($A1561),MONTH($A1561)+IF(AND(IFERROR(N(INDEX(Übersicht!$M$15:$M$22,MATCH($B1561,Übersicht!$A$15:$A$22,0))),0)&gt;1,DAY($A1561)&gt;=IFERROR(N(INDEX(Übersicht!$M$15:$M$22,MATCH($B1561,Übersicht!$A$15:$A$22,0))),0)),1,0),1))</f>
        <v/>
      </c>
    </row>
    <row r="1562">
      <c r="A1562" s="92" t="n"/>
      <c r="B1562" s="55" t="n"/>
      <c r="C1562" s="55" t="n"/>
      <c r="D1562" s="55" t="n"/>
      <c r="E1562" s="93" t="n"/>
      <c r="F1562" s="94" t="n"/>
      <c r="G1562" s="94" t="n"/>
      <c r="H1562" s="94" t="n"/>
      <c r="I1562" s="94" t="n"/>
      <c r="J1562" s="55" t="n"/>
      <c r="K1562" s="95" t="n"/>
      <c r="L1562" s="116">
        <f>IF($A1562="","",DATE(YEAR($A1562),MONTH($A1562)+IF(AND(IFERROR(N(INDEX(Übersicht!$M$15:$M$22,MATCH($B1562,Übersicht!$A$15:$A$22,0))),0)&gt;1,DAY($A1562)&gt;=IFERROR(N(INDEX(Übersicht!$M$15:$M$22,MATCH($B1562,Übersicht!$A$15:$A$22,0))),0)),1,0),1))</f>
        <v/>
      </c>
    </row>
    <row r="1563">
      <c r="A1563" s="92" t="n"/>
      <c r="B1563" s="55" t="n"/>
      <c r="C1563" s="55" t="n"/>
      <c r="D1563" s="55" t="n"/>
      <c r="E1563" s="93" t="n"/>
      <c r="F1563" s="94" t="n"/>
      <c r="G1563" s="94" t="n"/>
      <c r="H1563" s="94" t="n"/>
      <c r="I1563" s="94" t="n"/>
      <c r="J1563" s="55" t="n"/>
      <c r="K1563" s="95" t="n"/>
      <c r="L1563" s="116">
        <f>IF($A1563="","",DATE(YEAR($A1563),MONTH($A1563)+IF(AND(IFERROR(N(INDEX(Übersicht!$M$15:$M$22,MATCH($B1563,Übersicht!$A$15:$A$22,0))),0)&gt;1,DAY($A1563)&gt;=IFERROR(N(INDEX(Übersicht!$M$15:$M$22,MATCH($B1563,Übersicht!$A$15:$A$22,0))),0)),1,0),1))</f>
        <v/>
      </c>
    </row>
    <row r="1564">
      <c r="A1564" s="92" t="n"/>
      <c r="B1564" s="55" t="n"/>
      <c r="C1564" s="55" t="n"/>
      <c r="D1564" s="55" t="n"/>
      <c r="E1564" s="93" t="n"/>
      <c r="F1564" s="94" t="n"/>
      <c r="G1564" s="94" t="n"/>
      <c r="H1564" s="94" t="n"/>
      <c r="I1564" s="94" t="n"/>
      <c r="J1564" s="55" t="n"/>
      <c r="K1564" s="95" t="n"/>
      <c r="L1564" s="116">
        <f>IF($A1564="","",DATE(YEAR($A1564),MONTH($A1564)+IF(AND(IFERROR(N(INDEX(Übersicht!$M$15:$M$22,MATCH($B1564,Übersicht!$A$15:$A$22,0))),0)&gt;1,DAY($A1564)&gt;=IFERROR(N(INDEX(Übersicht!$M$15:$M$22,MATCH($B1564,Übersicht!$A$15:$A$22,0))),0)),1,0),1))</f>
        <v/>
      </c>
    </row>
    <row r="1565">
      <c r="A1565" s="92" t="n"/>
      <c r="B1565" s="55" t="n"/>
      <c r="C1565" s="55" t="n"/>
      <c r="D1565" s="55" t="n"/>
      <c r="E1565" s="93" t="n"/>
      <c r="F1565" s="94" t="n"/>
      <c r="G1565" s="94" t="n"/>
      <c r="H1565" s="94" t="n"/>
      <c r="I1565" s="94" t="n"/>
      <c r="J1565" s="55" t="n"/>
      <c r="K1565" s="95" t="n"/>
      <c r="L1565" s="116">
        <f>IF($A1565="","",DATE(YEAR($A1565),MONTH($A1565)+IF(AND(IFERROR(N(INDEX(Übersicht!$M$15:$M$22,MATCH($B1565,Übersicht!$A$15:$A$22,0))),0)&gt;1,DAY($A1565)&gt;=IFERROR(N(INDEX(Übersicht!$M$15:$M$22,MATCH($B1565,Übersicht!$A$15:$A$22,0))),0)),1,0),1))</f>
        <v/>
      </c>
    </row>
    <row r="1566">
      <c r="A1566" s="92" t="n"/>
      <c r="B1566" s="55" t="n"/>
      <c r="C1566" s="55" t="n"/>
      <c r="D1566" s="55" t="n"/>
      <c r="E1566" s="93" t="n"/>
      <c r="F1566" s="94" t="n"/>
      <c r="G1566" s="94" t="n"/>
      <c r="H1566" s="94" t="n"/>
      <c r="I1566" s="94" t="n"/>
      <c r="J1566" s="55" t="n"/>
      <c r="K1566" s="95" t="n"/>
      <c r="L1566" s="116">
        <f>IF($A1566="","",DATE(YEAR($A1566),MONTH($A1566)+IF(AND(IFERROR(N(INDEX(Übersicht!$M$15:$M$22,MATCH($B1566,Übersicht!$A$15:$A$22,0))),0)&gt;1,DAY($A1566)&gt;=IFERROR(N(INDEX(Übersicht!$M$15:$M$22,MATCH($B1566,Übersicht!$A$15:$A$22,0))),0)),1,0),1))</f>
        <v/>
      </c>
    </row>
    <row r="1567">
      <c r="A1567" s="92" t="n"/>
      <c r="B1567" s="55" t="n"/>
      <c r="C1567" s="55" t="n"/>
      <c r="D1567" s="55" t="n"/>
      <c r="E1567" s="93" t="n"/>
      <c r="F1567" s="94" t="n"/>
      <c r="G1567" s="94" t="n"/>
      <c r="H1567" s="94" t="n"/>
      <c r="I1567" s="94" t="n"/>
      <c r="J1567" s="55" t="n"/>
      <c r="K1567" s="95" t="n"/>
      <c r="L1567" s="116">
        <f>IF($A1567="","",DATE(YEAR($A1567),MONTH($A1567)+IF(AND(IFERROR(N(INDEX(Übersicht!$M$15:$M$22,MATCH($B1567,Übersicht!$A$15:$A$22,0))),0)&gt;1,DAY($A1567)&gt;=IFERROR(N(INDEX(Übersicht!$M$15:$M$22,MATCH($B1567,Übersicht!$A$15:$A$22,0))),0)),1,0),1))</f>
        <v/>
      </c>
    </row>
    <row r="1568">
      <c r="A1568" s="92" t="n"/>
      <c r="B1568" s="55" t="n"/>
      <c r="C1568" s="55" t="n"/>
      <c r="D1568" s="55" t="n"/>
      <c r="E1568" s="93" t="n"/>
      <c r="F1568" s="94" t="n"/>
      <c r="G1568" s="94" t="n"/>
      <c r="H1568" s="94" t="n"/>
      <c r="I1568" s="94" t="n"/>
      <c r="J1568" s="55" t="n"/>
      <c r="K1568" s="95" t="n"/>
      <c r="L1568" s="116">
        <f>IF($A1568="","",DATE(YEAR($A1568),MONTH($A1568)+IF(AND(IFERROR(N(INDEX(Übersicht!$M$15:$M$22,MATCH($B1568,Übersicht!$A$15:$A$22,0))),0)&gt;1,DAY($A1568)&gt;=IFERROR(N(INDEX(Übersicht!$M$15:$M$22,MATCH($B1568,Übersicht!$A$15:$A$22,0))),0)),1,0),1))</f>
        <v/>
      </c>
    </row>
    <row r="1569">
      <c r="A1569" s="92" t="n"/>
      <c r="B1569" s="55" t="n"/>
      <c r="C1569" s="55" t="n"/>
      <c r="D1569" s="55" t="n"/>
      <c r="E1569" s="93" t="n"/>
      <c r="F1569" s="94" t="n"/>
      <c r="G1569" s="94" t="n"/>
      <c r="H1569" s="94" t="n"/>
      <c r="I1569" s="94" t="n"/>
      <c r="J1569" s="55" t="n"/>
      <c r="K1569" s="95" t="n"/>
      <c r="L1569" s="116">
        <f>IF($A1569="","",DATE(YEAR($A1569),MONTH($A1569)+IF(AND(IFERROR(N(INDEX(Übersicht!$M$15:$M$22,MATCH($B1569,Übersicht!$A$15:$A$22,0))),0)&gt;1,DAY($A1569)&gt;=IFERROR(N(INDEX(Übersicht!$M$15:$M$22,MATCH($B1569,Übersicht!$A$15:$A$22,0))),0)),1,0),1))</f>
        <v/>
      </c>
    </row>
    <row r="1570">
      <c r="A1570" s="92" t="n"/>
      <c r="B1570" s="55" t="n"/>
      <c r="C1570" s="55" t="n"/>
      <c r="D1570" s="55" t="n"/>
      <c r="E1570" s="93" t="n"/>
      <c r="F1570" s="94" t="n"/>
      <c r="G1570" s="94" t="n"/>
      <c r="H1570" s="94" t="n"/>
      <c r="I1570" s="94" t="n"/>
      <c r="J1570" s="55" t="n"/>
      <c r="K1570" s="95" t="n"/>
      <c r="L1570" s="116">
        <f>IF($A1570="","",DATE(YEAR($A1570),MONTH($A1570)+IF(AND(IFERROR(N(INDEX(Übersicht!$M$15:$M$22,MATCH($B1570,Übersicht!$A$15:$A$22,0))),0)&gt;1,DAY($A1570)&gt;=IFERROR(N(INDEX(Übersicht!$M$15:$M$22,MATCH($B1570,Übersicht!$A$15:$A$22,0))),0)),1,0),1))</f>
        <v/>
      </c>
    </row>
    <row r="1571">
      <c r="A1571" s="92" t="n"/>
      <c r="B1571" s="55" t="n"/>
      <c r="C1571" s="55" t="n"/>
      <c r="D1571" s="55" t="n"/>
      <c r="E1571" s="93" t="n"/>
      <c r="F1571" s="94" t="n"/>
      <c r="G1571" s="94" t="n"/>
      <c r="H1571" s="94" t="n"/>
      <c r="I1571" s="94" t="n"/>
      <c r="J1571" s="55" t="n"/>
      <c r="K1571" s="95" t="n"/>
      <c r="L1571" s="116">
        <f>IF($A1571="","",DATE(YEAR($A1571),MONTH($A1571)+IF(AND(IFERROR(N(INDEX(Übersicht!$M$15:$M$22,MATCH($B1571,Übersicht!$A$15:$A$22,0))),0)&gt;1,DAY($A1571)&gt;=IFERROR(N(INDEX(Übersicht!$M$15:$M$22,MATCH($B1571,Übersicht!$A$15:$A$22,0))),0)),1,0),1))</f>
        <v/>
      </c>
    </row>
    <row r="1572">
      <c r="A1572" s="92" t="n"/>
      <c r="B1572" s="55" t="n"/>
      <c r="C1572" s="55" t="n"/>
      <c r="D1572" s="55" t="n"/>
      <c r="E1572" s="93" t="n"/>
      <c r="F1572" s="94" t="n"/>
      <c r="G1572" s="94" t="n"/>
      <c r="H1572" s="94" t="n"/>
      <c r="I1572" s="94" t="n"/>
      <c r="J1572" s="55" t="n"/>
      <c r="K1572" s="95" t="n"/>
      <c r="L1572" s="116">
        <f>IF($A1572="","",DATE(YEAR($A1572),MONTH($A1572)+IF(AND(IFERROR(N(INDEX(Übersicht!$M$15:$M$22,MATCH($B1572,Übersicht!$A$15:$A$22,0))),0)&gt;1,DAY($A1572)&gt;=IFERROR(N(INDEX(Übersicht!$M$15:$M$22,MATCH($B1572,Übersicht!$A$15:$A$22,0))),0)),1,0),1))</f>
        <v/>
      </c>
    </row>
    <row r="1573">
      <c r="A1573" s="92" t="n"/>
      <c r="B1573" s="55" t="n"/>
      <c r="C1573" s="55" t="n"/>
      <c r="D1573" s="55" t="n"/>
      <c r="E1573" s="93" t="n"/>
      <c r="F1573" s="94" t="n"/>
      <c r="G1573" s="94" t="n"/>
      <c r="H1573" s="94" t="n"/>
      <c r="I1573" s="94" t="n"/>
      <c r="J1573" s="55" t="n"/>
      <c r="K1573" s="95" t="n"/>
      <c r="L1573" s="116">
        <f>IF($A1573="","",DATE(YEAR($A1573),MONTH($A1573)+IF(AND(IFERROR(N(INDEX(Übersicht!$M$15:$M$22,MATCH($B1573,Übersicht!$A$15:$A$22,0))),0)&gt;1,DAY($A1573)&gt;=IFERROR(N(INDEX(Übersicht!$M$15:$M$22,MATCH($B1573,Übersicht!$A$15:$A$22,0))),0)),1,0),1))</f>
        <v/>
      </c>
    </row>
    <row r="1574">
      <c r="A1574" s="92" t="n"/>
      <c r="B1574" s="55" t="n"/>
      <c r="C1574" s="55" t="n"/>
      <c r="D1574" s="55" t="n"/>
      <c r="E1574" s="93" t="n"/>
      <c r="F1574" s="94" t="n"/>
      <c r="G1574" s="94" t="n"/>
      <c r="H1574" s="94" t="n"/>
      <c r="I1574" s="94" t="n"/>
      <c r="J1574" s="55" t="n"/>
      <c r="K1574" s="95" t="n"/>
      <c r="L1574" s="116">
        <f>IF($A1574="","",DATE(YEAR($A1574),MONTH($A1574)+IF(AND(IFERROR(N(INDEX(Übersicht!$M$15:$M$22,MATCH($B1574,Übersicht!$A$15:$A$22,0))),0)&gt;1,DAY($A1574)&gt;=IFERROR(N(INDEX(Übersicht!$M$15:$M$22,MATCH($B1574,Übersicht!$A$15:$A$22,0))),0)),1,0),1))</f>
        <v/>
      </c>
    </row>
    <row r="1575">
      <c r="A1575" s="92" t="n"/>
      <c r="B1575" s="55" t="n"/>
      <c r="C1575" s="55" t="n"/>
      <c r="D1575" s="55" t="n"/>
      <c r="E1575" s="93" t="n"/>
      <c r="F1575" s="94" t="n"/>
      <c r="G1575" s="94" t="n"/>
      <c r="H1575" s="94" t="n"/>
      <c r="I1575" s="94" t="n"/>
      <c r="J1575" s="55" t="n"/>
      <c r="K1575" s="95" t="n"/>
      <c r="L1575" s="116">
        <f>IF($A1575="","",DATE(YEAR($A1575),MONTH($A1575)+IF(AND(IFERROR(N(INDEX(Übersicht!$M$15:$M$22,MATCH($B1575,Übersicht!$A$15:$A$22,0))),0)&gt;1,DAY($A1575)&gt;=IFERROR(N(INDEX(Übersicht!$M$15:$M$22,MATCH($B1575,Übersicht!$A$15:$A$22,0))),0)),1,0),1))</f>
        <v/>
      </c>
    </row>
    <row r="1576">
      <c r="A1576" s="92" t="n"/>
      <c r="B1576" s="55" t="n"/>
      <c r="C1576" s="55" t="n"/>
      <c r="D1576" s="55" t="n"/>
      <c r="E1576" s="93" t="n"/>
      <c r="F1576" s="94" t="n"/>
      <c r="G1576" s="94" t="n"/>
      <c r="H1576" s="94" t="n"/>
      <c r="I1576" s="94" t="n"/>
      <c r="J1576" s="55" t="n"/>
      <c r="K1576" s="95" t="n"/>
      <c r="L1576" s="116">
        <f>IF($A1576="","",DATE(YEAR($A1576),MONTH($A1576)+IF(AND(IFERROR(N(INDEX(Übersicht!$M$15:$M$22,MATCH($B1576,Übersicht!$A$15:$A$22,0))),0)&gt;1,DAY($A1576)&gt;=IFERROR(N(INDEX(Übersicht!$M$15:$M$22,MATCH($B1576,Übersicht!$A$15:$A$22,0))),0)),1,0),1))</f>
        <v/>
      </c>
    </row>
    <row r="1577">
      <c r="A1577" s="92" t="n"/>
      <c r="B1577" s="55" t="n"/>
      <c r="C1577" s="55" t="n"/>
      <c r="D1577" s="55" t="n"/>
      <c r="E1577" s="93" t="n"/>
      <c r="F1577" s="94" t="n"/>
      <c r="G1577" s="94" t="n"/>
      <c r="H1577" s="94" t="n"/>
      <c r="I1577" s="94" t="n"/>
      <c r="J1577" s="55" t="n"/>
      <c r="K1577" s="95" t="n"/>
      <c r="L1577" s="116">
        <f>IF($A1577="","",DATE(YEAR($A1577),MONTH($A1577)+IF(AND(IFERROR(N(INDEX(Übersicht!$M$15:$M$22,MATCH($B1577,Übersicht!$A$15:$A$22,0))),0)&gt;1,DAY($A1577)&gt;=IFERROR(N(INDEX(Übersicht!$M$15:$M$22,MATCH($B1577,Übersicht!$A$15:$A$22,0))),0)),1,0),1))</f>
        <v/>
      </c>
    </row>
    <row r="1578">
      <c r="A1578" s="92" t="n"/>
      <c r="B1578" s="55" t="n"/>
      <c r="C1578" s="55" t="n"/>
      <c r="D1578" s="55" t="n"/>
      <c r="E1578" s="93" t="n"/>
      <c r="F1578" s="94" t="n"/>
      <c r="G1578" s="94" t="n"/>
      <c r="H1578" s="94" t="n"/>
      <c r="I1578" s="94" t="n"/>
      <c r="J1578" s="55" t="n"/>
      <c r="K1578" s="95" t="n"/>
      <c r="L1578" s="116">
        <f>IF($A1578="","",DATE(YEAR($A1578),MONTH($A1578)+IF(AND(IFERROR(N(INDEX(Übersicht!$M$15:$M$22,MATCH($B1578,Übersicht!$A$15:$A$22,0))),0)&gt;1,DAY($A1578)&gt;=IFERROR(N(INDEX(Übersicht!$M$15:$M$22,MATCH($B1578,Übersicht!$A$15:$A$22,0))),0)),1,0),1))</f>
        <v/>
      </c>
    </row>
    <row r="1579">
      <c r="A1579" s="92" t="n"/>
      <c r="B1579" s="55" t="n"/>
      <c r="C1579" s="55" t="n"/>
      <c r="D1579" s="55" t="n"/>
      <c r="E1579" s="93" t="n"/>
      <c r="F1579" s="94" t="n"/>
      <c r="G1579" s="94" t="n"/>
      <c r="H1579" s="94" t="n"/>
      <c r="I1579" s="94" t="n"/>
      <c r="J1579" s="55" t="n"/>
      <c r="K1579" s="95" t="n"/>
      <c r="L1579" s="116">
        <f>IF($A1579="","",DATE(YEAR($A1579),MONTH($A1579)+IF(AND(IFERROR(N(INDEX(Übersicht!$M$15:$M$22,MATCH($B1579,Übersicht!$A$15:$A$22,0))),0)&gt;1,DAY($A1579)&gt;=IFERROR(N(INDEX(Übersicht!$M$15:$M$22,MATCH($B1579,Übersicht!$A$15:$A$22,0))),0)),1,0),1))</f>
        <v/>
      </c>
    </row>
    <row r="1580">
      <c r="A1580" s="92" t="n"/>
      <c r="B1580" s="55" t="n"/>
      <c r="C1580" s="55" t="n"/>
      <c r="D1580" s="55" t="n"/>
      <c r="E1580" s="93" t="n"/>
      <c r="F1580" s="94" t="n"/>
      <c r="G1580" s="94" t="n"/>
      <c r="H1580" s="94" t="n"/>
      <c r="I1580" s="94" t="n"/>
      <c r="J1580" s="55" t="n"/>
      <c r="K1580" s="95" t="n"/>
      <c r="L1580" s="116">
        <f>IF($A1580="","",DATE(YEAR($A1580),MONTH($A1580)+IF(AND(IFERROR(N(INDEX(Übersicht!$M$15:$M$22,MATCH($B1580,Übersicht!$A$15:$A$22,0))),0)&gt;1,DAY($A1580)&gt;=IFERROR(N(INDEX(Übersicht!$M$15:$M$22,MATCH($B1580,Übersicht!$A$15:$A$22,0))),0)),1,0),1))</f>
        <v/>
      </c>
    </row>
    <row r="1581">
      <c r="A1581" s="92" t="n"/>
      <c r="B1581" s="55" t="n"/>
      <c r="C1581" s="55" t="n"/>
      <c r="D1581" s="55" t="n"/>
      <c r="E1581" s="93" t="n"/>
      <c r="F1581" s="94" t="n"/>
      <c r="G1581" s="94" t="n"/>
      <c r="H1581" s="94" t="n"/>
      <c r="I1581" s="94" t="n"/>
      <c r="J1581" s="55" t="n"/>
      <c r="K1581" s="95" t="n"/>
      <c r="L1581" s="116">
        <f>IF($A1581="","",DATE(YEAR($A1581),MONTH($A1581)+IF(AND(IFERROR(N(INDEX(Übersicht!$M$15:$M$22,MATCH($B1581,Übersicht!$A$15:$A$22,0))),0)&gt;1,DAY($A1581)&gt;=IFERROR(N(INDEX(Übersicht!$M$15:$M$22,MATCH($B1581,Übersicht!$A$15:$A$22,0))),0)),1,0),1))</f>
        <v/>
      </c>
    </row>
    <row r="1582">
      <c r="A1582" s="92" t="n"/>
      <c r="B1582" s="55" t="n"/>
      <c r="C1582" s="55" t="n"/>
      <c r="D1582" s="55" t="n"/>
      <c r="E1582" s="93" t="n"/>
      <c r="F1582" s="94" t="n"/>
      <c r="G1582" s="94" t="n"/>
      <c r="H1582" s="94" t="n"/>
      <c r="I1582" s="94" t="n"/>
      <c r="J1582" s="55" t="n"/>
      <c r="K1582" s="95" t="n"/>
      <c r="L1582" s="116">
        <f>IF($A1582="","",DATE(YEAR($A1582),MONTH($A1582)+IF(AND(IFERROR(N(INDEX(Übersicht!$M$15:$M$22,MATCH($B1582,Übersicht!$A$15:$A$22,0))),0)&gt;1,DAY($A1582)&gt;=IFERROR(N(INDEX(Übersicht!$M$15:$M$22,MATCH($B1582,Übersicht!$A$15:$A$22,0))),0)),1,0),1))</f>
        <v/>
      </c>
    </row>
    <row r="1583">
      <c r="A1583" s="92" t="n"/>
      <c r="B1583" s="55" t="n"/>
      <c r="C1583" s="55" t="n"/>
      <c r="D1583" s="55" t="n"/>
      <c r="E1583" s="93" t="n"/>
      <c r="F1583" s="94" t="n"/>
      <c r="G1583" s="94" t="n"/>
      <c r="H1583" s="94" t="n"/>
      <c r="I1583" s="94" t="n"/>
      <c r="J1583" s="55" t="n"/>
      <c r="K1583" s="95" t="n"/>
      <c r="L1583" s="116">
        <f>IF($A1583="","",DATE(YEAR($A1583),MONTH($A1583)+IF(AND(IFERROR(N(INDEX(Übersicht!$M$15:$M$22,MATCH($B1583,Übersicht!$A$15:$A$22,0))),0)&gt;1,DAY($A1583)&gt;=IFERROR(N(INDEX(Übersicht!$M$15:$M$22,MATCH($B1583,Übersicht!$A$15:$A$22,0))),0)),1,0),1))</f>
        <v/>
      </c>
    </row>
    <row r="1584">
      <c r="A1584" s="92" t="n"/>
      <c r="B1584" s="55" t="n"/>
      <c r="C1584" s="55" t="n"/>
      <c r="D1584" s="55" t="n"/>
      <c r="E1584" s="93" t="n"/>
      <c r="F1584" s="94" t="n"/>
      <c r="G1584" s="94" t="n"/>
      <c r="H1584" s="94" t="n"/>
      <c r="I1584" s="94" t="n"/>
      <c r="J1584" s="55" t="n"/>
      <c r="K1584" s="95" t="n"/>
      <c r="L1584" s="116">
        <f>IF($A1584="","",DATE(YEAR($A1584),MONTH($A1584)+IF(AND(IFERROR(N(INDEX(Übersicht!$M$15:$M$22,MATCH($B1584,Übersicht!$A$15:$A$22,0))),0)&gt;1,DAY($A1584)&gt;=IFERROR(N(INDEX(Übersicht!$M$15:$M$22,MATCH($B1584,Übersicht!$A$15:$A$22,0))),0)),1,0),1))</f>
        <v/>
      </c>
    </row>
    <row r="1585">
      <c r="A1585" s="92" t="n"/>
      <c r="B1585" s="55" t="n"/>
      <c r="C1585" s="55" t="n"/>
      <c r="D1585" s="55" t="n"/>
      <c r="E1585" s="93" t="n"/>
      <c r="F1585" s="94" t="n"/>
      <c r="G1585" s="94" t="n"/>
      <c r="H1585" s="94" t="n"/>
      <c r="I1585" s="94" t="n"/>
      <c r="J1585" s="55" t="n"/>
      <c r="K1585" s="95" t="n"/>
      <c r="L1585" s="116">
        <f>IF($A1585="","",DATE(YEAR($A1585),MONTH($A1585)+IF(AND(IFERROR(N(INDEX(Übersicht!$M$15:$M$22,MATCH($B1585,Übersicht!$A$15:$A$22,0))),0)&gt;1,DAY($A1585)&gt;=IFERROR(N(INDEX(Übersicht!$M$15:$M$22,MATCH($B1585,Übersicht!$A$15:$A$22,0))),0)),1,0),1))</f>
        <v/>
      </c>
    </row>
    <row r="1586">
      <c r="A1586" s="92" t="n"/>
      <c r="B1586" s="55" t="n"/>
      <c r="C1586" s="55" t="n"/>
      <c r="D1586" s="55" t="n"/>
      <c r="E1586" s="93" t="n"/>
      <c r="F1586" s="94" t="n"/>
      <c r="G1586" s="94" t="n"/>
      <c r="H1586" s="94" t="n"/>
      <c r="I1586" s="94" t="n"/>
      <c r="J1586" s="55" t="n"/>
      <c r="K1586" s="95" t="n"/>
      <c r="L1586" s="116">
        <f>IF($A1586="","",DATE(YEAR($A1586),MONTH($A1586)+IF(AND(IFERROR(N(INDEX(Übersicht!$M$15:$M$22,MATCH($B1586,Übersicht!$A$15:$A$22,0))),0)&gt;1,DAY($A1586)&gt;=IFERROR(N(INDEX(Übersicht!$M$15:$M$22,MATCH($B1586,Übersicht!$A$15:$A$22,0))),0)),1,0),1))</f>
        <v/>
      </c>
    </row>
    <row r="1587">
      <c r="A1587" s="92" t="n"/>
      <c r="B1587" s="55" t="n"/>
      <c r="C1587" s="55" t="n"/>
      <c r="D1587" s="55" t="n"/>
      <c r="E1587" s="93" t="n"/>
      <c r="F1587" s="94" t="n"/>
      <c r="G1587" s="94" t="n"/>
      <c r="H1587" s="94" t="n"/>
      <c r="I1587" s="94" t="n"/>
      <c r="J1587" s="55" t="n"/>
      <c r="K1587" s="95" t="n"/>
      <c r="L1587" s="116">
        <f>IF($A1587="","",DATE(YEAR($A1587),MONTH($A1587)+IF(AND(IFERROR(N(INDEX(Übersicht!$M$15:$M$22,MATCH($B1587,Übersicht!$A$15:$A$22,0))),0)&gt;1,DAY($A1587)&gt;=IFERROR(N(INDEX(Übersicht!$M$15:$M$22,MATCH($B1587,Übersicht!$A$15:$A$22,0))),0)),1,0),1))</f>
        <v/>
      </c>
    </row>
    <row r="1588">
      <c r="A1588" s="92" t="n"/>
      <c r="B1588" s="55" t="n"/>
      <c r="C1588" s="55" t="n"/>
      <c r="D1588" s="55" t="n"/>
      <c r="E1588" s="93" t="n"/>
      <c r="F1588" s="94" t="n"/>
      <c r="G1588" s="94" t="n"/>
      <c r="H1588" s="94" t="n"/>
      <c r="I1588" s="94" t="n"/>
      <c r="J1588" s="55" t="n"/>
      <c r="K1588" s="95" t="n"/>
      <c r="L1588" s="116">
        <f>IF($A1588="","",DATE(YEAR($A1588),MONTH($A1588)+IF(AND(IFERROR(N(INDEX(Übersicht!$M$15:$M$22,MATCH($B1588,Übersicht!$A$15:$A$22,0))),0)&gt;1,DAY($A1588)&gt;=IFERROR(N(INDEX(Übersicht!$M$15:$M$22,MATCH($B1588,Übersicht!$A$15:$A$22,0))),0)),1,0),1))</f>
        <v/>
      </c>
    </row>
    <row r="1589">
      <c r="A1589" s="92" t="n"/>
      <c r="B1589" s="55" t="n"/>
      <c r="C1589" s="55" t="n"/>
      <c r="D1589" s="55" t="n"/>
      <c r="E1589" s="93" t="n"/>
      <c r="F1589" s="94" t="n"/>
      <c r="G1589" s="94" t="n"/>
      <c r="H1589" s="94" t="n"/>
      <c r="I1589" s="94" t="n"/>
      <c r="J1589" s="55" t="n"/>
      <c r="K1589" s="95" t="n"/>
      <c r="L1589" s="116">
        <f>IF($A1589="","",DATE(YEAR($A1589),MONTH($A1589)+IF(AND(IFERROR(N(INDEX(Übersicht!$M$15:$M$22,MATCH($B1589,Übersicht!$A$15:$A$22,0))),0)&gt;1,DAY($A1589)&gt;=IFERROR(N(INDEX(Übersicht!$M$15:$M$22,MATCH($B1589,Übersicht!$A$15:$A$22,0))),0)),1,0),1))</f>
        <v/>
      </c>
    </row>
    <row r="1590">
      <c r="A1590" s="92" t="n"/>
      <c r="B1590" s="55" t="n"/>
      <c r="C1590" s="55" t="n"/>
      <c r="D1590" s="55" t="n"/>
      <c r="E1590" s="93" t="n"/>
      <c r="F1590" s="94" t="n"/>
      <c r="G1590" s="94" t="n"/>
      <c r="H1590" s="94" t="n"/>
      <c r="I1590" s="94" t="n"/>
      <c r="J1590" s="55" t="n"/>
      <c r="K1590" s="95" t="n"/>
      <c r="L1590" s="116">
        <f>IF($A1590="","",DATE(YEAR($A1590),MONTH($A1590)+IF(AND(IFERROR(N(INDEX(Übersicht!$M$15:$M$22,MATCH($B1590,Übersicht!$A$15:$A$22,0))),0)&gt;1,DAY($A1590)&gt;=IFERROR(N(INDEX(Übersicht!$M$15:$M$22,MATCH($B1590,Übersicht!$A$15:$A$22,0))),0)),1,0),1))</f>
        <v/>
      </c>
    </row>
    <row r="1591">
      <c r="A1591" s="92" t="n"/>
      <c r="B1591" s="55" t="n"/>
      <c r="C1591" s="55" t="n"/>
      <c r="D1591" s="55" t="n"/>
      <c r="E1591" s="93" t="n"/>
      <c r="F1591" s="94" t="n"/>
      <c r="G1591" s="94" t="n"/>
      <c r="H1591" s="94" t="n"/>
      <c r="I1591" s="94" t="n"/>
      <c r="J1591" s="55" t="n"/>
      <c r="K1591" s="95" t="n"/>
      <c r="L1591" s="116">
        <f>IF($A1591="","",DATE(YEAR($A1591),MONTH($A1591)+IF(AND(IFERROR(N(INDEX(Übersicht!$M$15:$M$22,MATCH($B1591,Übersicht!$A$15:$A$22,0))),0)&gt;1,DAY($A1591)&gt;=IFERROR(N(INDEX(Übersicht!$M$15:$M$22,MATCH($B1591,Übersicht!$A$15:$A$22,0))),0)),1,0),1))</f>
        <v/>
      </c>
    </row>
    <row r="1592">
      <c r="A1592" s="92" t="n"/>
      <c r="B1592" s="55" t="n"/>
      <c r="C1592" s="55" t="n"/>
      <c r="D1592" s="55" t="n"/>
      <c r="E1592" s="93" t="n"/>
      <c r="F1592" s="94" t="n"/>
      <c r="G1592" s="94" t="n"/>
      <c r="H1592" s="94" t="n"/>
      <c r="I1592" s="94" t="n"/>
      <c r="J1592" s="55" t="n"/>
      <c r="K1592" s="95" t="n"/>
      <c r="L1592" s="116">
        <f>IF($A1592="","",DATE(YEAR($A1592),MONTH($A1592)+IF(AND(IFERROR(N(INDEX(Übersicht!$M$15:$M$22,MATCH($B1592,Übersicht!$A$15:$A$22,0))),0)&gt;1,DAY($A1592)&gt;=IFERROR(N(INDEX(Übersicht!$M$15:$M$22,MATCH($B1592,Übersicht!$A$15:$A$22,0))),0)),1,0),1))</f>
        <v/>
      </c>
    </row>
    <row r="1593">
      <c r="A1593" s="92" t="n"/>
      <c r="B1593" s="55" t="n"/>
      <c r="C1593" s="55" t="n"/>
      <c r="D1593" s="55" t="n"/>
      <c r="E1593" s="93" t="n"/>
      <c r="F1593" s="94" t="n"/>
      <c r="G1593" s="94" t="n"/>
      <c r="H1593" s="94" t="n"/>
      <c r="I1593" s="94" t="n"/>
      <c r="J1593" s="55" t="n"/>
      <c r="K1593" s="95" t="n"/>
      <c r="L1593" s="116">
        <f>IF($A1593="","",DATE(YEAR($A1593),MONTH($A1593)+IF(AND(IFERROR(N(INDEX(Übersicht!$M$15:$M$22,MATCH($B1593,Übersicht!$A$15:$A$22,0))),0)&gt;1,DAY($A1593)&gt;=IFERROR(N(INDEX(Übersicht!$M$15:$M$22,MATCH($B1593,Übersicht!$A$15:$A$22,0))),0)),1,0),1))</f>
        <v/>
      </c>
    </row>
    <row r="1594">
      <c r="A1594" s="92" t="n"/>
      <c r="B1594" s="55" t="n"/>
      <c r="C1594" s="55" t="n"/>
      <c r="D1594" s="55" t="n"/>
      <c r="E1594" s="93" t="n"/>
      <c r="F1594" s="94" t="n"/>
      <c r="G1594" s="94" t="n"/>
      <c r="H1594" s="94" t="n"/>
      <c r="I1594" s="94" t="n"/>
      <c r="J1594" s="55" t="n"/>
      <c r="K1594" s="95" t="n"/>
      <c r="L1594" s="116">
        <f>IF($A1594="","",DATE(YEAR($A1594),MONTH($A1594)+IF(AND(IFERROR(N(INDEX(Übersicht!$M$15:$M$22,MATCH($B1594,Übersicht!$A$15:$A$22,0))),0)&gt;1,DAY($A1594)&gt;=IFERROR(N(INDEX(Übersicht!$M$15:$M$22,MATCH($B1594,Übersicht!$A$15:$A$22,0))),0)),1,0),1))</f>
        <v/>
      </c>
    </row>
    <row r="1595">
      <c r="A1595" s="92" t="n"/>
      <c r="B1595" s="55" t="n"/>
      <c r="C1595" s="55" t="n"/>
      <c r="D1595" s="55" t="n"/>
      <c r="E1595" s="93" t="n"/>
      <c r="F1595" s="94" t="n"/>
      <c r="G1595" s="94" t="n"/>
      <c r="H1595" s="94" t="n"/>
      <c r="I1595" s="94" t="n"/>
      <c r="J1595" s="55" t="n"/>
      <c r="K1595" s="95" t="n"/>
      <c r="L1595" s="116">
        <f>IF($A1595="","",DATE(YEAR($A1595),MONTH($A1595)+IF(AND(IFERROR(N(INDEX(Übersicht!$M$15:$M$22,MATCH($B1595,Übersicht!$A$15:$A$22,0))),0)&gt;1,DAY($A1595)&gt;=IFERROR(N(INDEX(Übersicht!$M$15:$M$22,MATCH($B1595,Übersicht!$A$15:$A$22,0))),0)),1,0),1))</f>
        <v/>
      </c>
    </row>
    <row r="1596">
      <c r="A1596" s="92" t="n"/>
      <c r="B1596" s="55" t="n"/>
      <c r="C1596" s="55" t="n"/>
      <c r="D1596" s="55" t="n"/>
      <c r="E1596" s="93" t="n"/>
      <c r="F1596" s="94" t="n"/>
      <c r="G1596" s="94" t="n"/>
      <c r="H1596" s="94" t="n"/>
      <c r="I1596" s="94" t="n"/>
      <c r="J1596" s="55" t="n"/>
      <c r="K1596" s="95" t="n"/>
      <c r="L1596" s="116">
        <f>IF($A1596="","",DATE(YEAR($A1596),MONTH($A1596)+IF(AND(IFERROR(N(INDEX(Übersicht!$M$15:$M$22,MATCH($B1596,Übersicht!$A$15:$A$22,0))),0)&gt;1,DAY($A1596)&gt;=IFERROR(N(INDEX(Übersicht!$M$15:$M$22,MATCH($B1596,Übersicht!$A$15:$A$22,0))),0)),1,0),1))</f>
        <v/>
      </c>
    </row>
    <row r="1597">
      <c r="A1597" s="92" t="n"/>
      <c r="B1597" s="55" t="n"/>
      <c r="C1597" s="55" t="n"/>
      <c r="D1597" s="55" t="n"/>
      <c r="E1597" s="93" t="n"/>
      <c r="F1597" s="94" t="n"/>
      <c r="G1597" s="94" t="n"/>
      <c r="H1597" s="94" t="n"/>
      <c r="I1597" s="94" t="n"/>
      <c r="J1597" s="55" t="n"/>
      <c r="K1597" s="95" t="n"/>
      <c r="L1597" s="116">
        <f>IF($A1597="","",DATE(YEAR($A1597),MONTH($A1597)+IF(AND(IFERROR(N(INDEX(Übersicht!$M$15:$M$22,MATCH($B1597,Übersicht!$A$15:$A$22,0))),0)&gt;1,DAY($A1597)&gt;=IFERROR(N(INDEX(Übersicht!$M$15:$M$22,MATCH($B1597,Übersicht!$A$15:$A$22,0))),0)),1,0),1))</f>
        <v/>
      </c>
    </row>
    <row r="1598">
      <c r="A1598" s="92" t="n"/>
      <c r="B1598" s="55" t="n"/>
      <c r="C1598" s="55" t="n"/>
      <c r="D1598" s="55" t="n"/>
      <c r="E1598" s="93" t="n"/>
      <c r="F1598" s="94" t="n"/>
      <c r="G1598" s="94" t="n"/>
      <c r="H1598" s="94" t="n"/>
      <c r="I1598" s="94" t="n"/>
      <c r="J1598" s="55" t="n"/>
      <c r="K1598" s="95" t="n"/>
      <c r="L1598" s="116">
        <f>IF($A1598="","",DATE(YEAR($A1598),MONTH($A1598)+IF(AND(IFERROR(N(INDEX(Übersicht!$M$15:$M$22,MATCH($B1598,Übersicht!$A$15:$A$22,0))),0)&gt;1,DAY($A1598)&gt;=IFERROR(N(INDEX(Übersicht!$M$15:$M$22,MATCH($B1598,Übersicht!$A$15:$A$22,0))),0)),1,0),1))</f>
        <v/>
      </c>
    </row>
    <row r="1599">
      <c r="A1599" s="92" t="n"/>
      <c r="B1599" s="55" t="n"/>
      <c r="C1599" s="55" t="n"/>
      <c r="D1599" s="55" t="n"/>
      <c r="E1599" s="93" t="n"/>
      <c r="F1599" s="94" t="n"/>
      <c r="G1599" s="94" t="n"/>
      <c r="H1599" s="94" t="n"/>
      <c r="I1599" s="94" t="n"/>
      <c r="J1599" s="55" t="n"/>
      <c r="K1599" s="95" t="n"/>
      <c r="L1599" s="116">
        <f>IF($A1599="","",DATE(YEAR($A1599),MONTH($A1599)+IF(AND(IFERROR(N(INDEX(Übersicht!$M$15:$M$22,MATCH($B1599,Übersicht!$A$15:$A$22,0))),0)&gt;1,DAY($A1599)&gt;=IFERROR(N(INDEX(Übersicht!$M$15:$M$22,MATCH($B1599,Übersicht!$A$15:$A$22,0))),0)),1,0),1))</f>
        <v/>
      </c>
    </row>
    <row r="1600">
      <c r="A1600" s="92" t="n"/>
      <c r="B1600" s="55" t="n"/>
      <c r="C1600" s="55" t="n"/>
      <c r="D1600" s="55" t="n"/>
      <c r="E1600" s="93" t="n"/>
      <c r="F1600" s="94" t="n"/>
      <c r="G1600" s="94" t="n"/>
      <c r="H1600" s="94" t="n"/>
      <c r="I1600" s="94" t="n"/>
      <c r="J1600" s="55" t="n"/>
      <c r="K1600" s="95" t="n"/>
      <c r="L1600" s="116">
        <f>IF($A1600="","",DATE(YEAR($A1600),MONTH($A1600)+IF(AND(IFERROR(N(INDEX(Übersicht!$M$15:$M$22,MATCH($B1600,Übersicht!$A$15:$A$22,0))),0)&gt;1,DAY($A1600)&gt;=IFERROR(N(INDEX(Übersicht!$M$15:$M$22,MATCH($B1600,Übersicht!$A$15:$A$22,0))),0)),1,0),1))</f>
        <v/>
      </c>
    </row>
    <row r="1601">
      <c r="A1601" s="92" t="n"/>
      <c r="B1601" s="55" t="n"/>
      <c r="C1601" s="55" t="n"/>
      <c r="D1601" s="55" t="n"/>
      <c r="E1601" s="93" t="n"/>
      <c r="F1601" s="94" t="n"/>
      <c r="G1601" s="94" t="n"/>
      <c r="H1601" s="94" t="n"/>
      <c r="I1601" s="94" t="n"/>
      <c r="J1601" s="55" t="n"/>
      <c r="K1601" s="95" t="n"/>
      <c r="L1601" s="116">
        <f>IF($A1601="","",DATE(YEAR($A1601),MONTH($A1601)+IF(AND(IFERROR(N(INDEX(Übersicht!$M$15:$M$22,MATCH($B1601,Übersicht!$A$15:$A$22,0))),0)&gt;1,DAY($A1601)&gt;=IFERROR(N(INDEX(Übersicht!$M$15:$M$22,MATCH($B1601,Übersicht!$A$15:$A$22,0))),0)),1,0),1))</f>
        <v/>
      </c>
    </row>
    <row r="1602">
      <c r="A1602" s="92" t="n"/>
      <c r="B1602" s="55" t="n"/>
      <c r="C1602" s="55" t="n"/>
      <c r="D1602" s="55" t="n"/>
      <c r="E1602" s="93" t="n"/>
      <c r="F1602" s="94" t="n"/>
      <c r="G1602" s="94" t="n"/>
      <c r="H1602" s="94" t="n"/>
      <c r="I1602" s="94" t="n"/>
      <c r="J1602" s="55" t="n"/>
      <c r="K1602" s="95" t="n"/>
      <c r="L1602" s="116">
        <f>IF($A1602="","",DATE(YEAR($A1602),MONTH($A1602)+IF(AND(IFERROR(N(INDEX(Übersicht!$M$15:$M$22,MATCH($B1602,Übersicht!$A$15:$A$22,0))),0)&gt;1,DAY($A1602)&gt;=IFERROR(N(INDEX(Übersicht!$M$15:$M$22,MATCH($B1602,Übersicht!$A$15:$A$22,0))),0)),1,0),1))</f>
        <v/>
      </c>
    </row>
    <row r="1603">
      <c r="A1603" s="92" t="n"/>
      <c r="B1603" s="55" t="n"/>
      <c r="C1603" s="55" t="n"/>
      <c r="D1603" s="55" t="n"/>
      <c r="E1603" s="93" t="n"/>
      <c r="F1603" s="94" t="n"/>
      <c r="G1603" s="94" t="n"/>
      <c r="H1603" s="94" t="n"/>
      <c r="I1603" s="94" t="n"/>
      <c r="J1603" s="55" t="n"/>
      <c r="K1603" s="95" t="n"/>
      <c r="L1603" s="116">
        <f>IF($A1603="","",DATE(YEAR($A1603),MONTH($A1603)+IF(AND(IFERROR(N(INDEX(Übersicht!$M$15:$M$22,MATCH($B1603,Übersicht!$A$15:$A$22,0))),0)&gt;1,DAY($A1603)&gt;=IFERROR(N(INDEX(Übersicht!$M$15:$M$22,MATCH($B1603,Übersicht!$A$15:$A$22,0))),0)),1,0),1))</f>
        <v/>
      </c>
    </row>
    <row r="1604">
      <c r="A1604" s="92" t="n"/>
      <c r="B1604" s="55" t="n"/>
      <c r="C1604" s="55" t="n"/>
      <c r="D1604" s="55" t="n"/>
      <c r="E1604" s="93" t="n"/>
      <c r="F1604" s="94" t="n"/>
      <c r="G1604" s="94" t="n"/>
      <c r="H1604" s="94" t="n"/>
      <c r="I1604" s="94" t="n"/>
      <c r="J1604" s="55" t="n"/>
      <c r="K1604" s="95" t="n"/>
      <c r="L1604" s="116">
        <f>IF($A1604="","",DATE(YEAR($A1604),MONTH($A1604)+IF(AND(IFERROR(N(INDEX(Übersicht!$M$15:$M$22,MATCH($B1604,Übersicht!$A$15:$A$22,0))),0)&gt;1,DAY($A1604)&gt;=IFERROR(N(INDEX(Übersicht!$M$15:$M$22,MATCH($B1604,Übersicht!$A$15:$A$22,0))),0)),1,0),1))</f>
        <v/>
      </c>
    </row>
    <row r="1605">
      <c r="A1605" s="92" t="n"/>
      <c r="B1605" s="55" t="n"/>
      <c r="C1605" s="55" t="n"/>
      <c r="D1605" s="55" t="n"/>
      <c r="E1605" s="93" t="n"/>
      <c r="F1605" s="94" t="n"/>
      <c r="G1605" s="94" t="n"/>
      <c r="H1605" s="94" t="n"/>
      <c r="I1605" s="94" t="n"/>
      <c r="J1605" s="55" t="n"/>
      <c r="K1605" s="95" t="n"/>
      <c r="L1605" s="116">
        <f>IF($A1605="","",DATE(YEAR($A1605),MONTH($A1605)+IF(AND(IFERROR(N(INDEX(Übersicht!$M$15:$M$22,MATCH($B1605,Übersicht!$A$15:$A$22,0))),0)&gt;1,DAY($A1605)&gt;=IFERROR(N(INDEX(Übersicht!$M$15:$M$22,MATCH($B1605,Übersicht!$A$15:$A$22,0))),0)),1,0),1))</f>
        <v/>
      </c>
    </row>
    <row r="1606">
      <c r="A1606" s="92" t="n"/>
      <c r="B1606" s="55" t="n"/>
      <c r="C1606" s="55" t="n"/>
      <c r="D1606" s="55" t="n"/>
      <c r="E1606" s="93" t="n"/>
      <c r="F1606" s="94" t="n"/>
      <c r="G1606" s="94" t="n"/>
      <c r="H1606" s="94" t="n"/>
      <c r="I1606" s="94" t="n"/>
      <c r="J1606" s="55" t="n"/>
      <c r="K1606" s="95" t="n"/>
      <c r="L1606" s="116">
        <f>IF($A1606="","",DATE(YEAR($A1606),MONTH($A1606)+IF(AND(IFERROR(N(INDEX(Übersicht!$M$15:$M$22,MATCH($B1606,Übersicht!$A$15:$A$22,0))),0)&gt;1,DAY($A1606)&gt;=IFERROR(N(INDEX(Übersicht!$M$15:$M$22,MATCH($B1606,Übersicht!$A$15:$A$22,0))),0)),1,0),1))</f>
        <v/>
      </c>
    </row>
    <row r="1607">
      <c r="A1607" s="92" t="n"/>
      <c r="B1607" s="55" t="n"/>
      <c r="C1607" s="55" t="n"/>
      <c r="D1607" s="55" t="n"/>
      <c r="E1607" s="93" t="n"/>
      <c r="F1607" s="94" t="n"/>
      <c r="G1607" s="94" t="n"/>
      <c r="H1607" s="94" t="n"/>
      <c r="I1607" s="94" t="n"/>
      <c r="J1607" s="55" t="n"/>
      <c r="K1607" s="95" t="n"/>
      <c r="L1607" s="116">
        <f>IF($A1607="","",DATE(YEAR($A1607),MONTH($A1607)+IF(AND(IFERROR(N(INDEX(Übersicht!$M$15:$M$22,MATCH($B1607,Übersicht!$A$15:$A$22,0))),0)&gt;1,DAY($A1607)&gt;=IFERROR(N(INDEX(Übersicht!$M$15:$M$22,MATCH($B1607,Übersicht!$A$15:$A$22,0))),0)),1,0),1))</f>
        <v/>
      </c>
    </row>
    <row r="1608">
      <c r="A1608" s="92" t="n"/>
      <c r="B1608" s="55" t="n"/>
      <c r="C1608" s="55" t="n"/>
      <c r="D1608" s="55" t="n"/>
      <c r="E1608" s="93" t="n"/>
      <c r="F1608" s="94" t="n"/>
      <c r="G1608" s="94" t="n"/>
      <c r="H1608" s="94" t="n"/>
      <c r="I1608" s="94" t="n"/>
      <c r="J1608" s="55" t="n"/>
      <c r="K1608" s="95" t="n"/>
      <c r="L1608" s="116">
        <f>IF($A1608="","",DATE(YEAR($A1608),MONTH($A1608)+IF(AND(IFERROR(N(INDEX(Übersicht!$M$15:$M$22,MATCH($B1608,Übersicht!$A$15:$A$22,0))),0)&gt;1,DAY($A1608)&gt;=IFERROR(N(INDEX(Übersicht!$M$15:$M$22,MATCH($B1608,Übersicht!$A$15:$A$22,0))),0)),1,0),1))</f>
        <v/>
      </c>
    </row>
    <row r="1609">
      <c r="A1609" s="92" t="n"/>
      <c r="B1609" s="55" t="n"/>
      <c r="C1609" s="55" t="n"/>
      <c r="D1609" s="55" t="n"/>
      <c r="E1609" s="93" t="n"/>
      <c r="F1609" s="94" t="n"/>
      <c r="G1609" s="94" t="n"/>
      <c r="H1609" s="94" t="n"/>
      <c r="I1609" s="94" t="n"/>
      <c r="J1609" s="55" t="n"/>
      <c r="K1609" s="95" t="n"/>
      <c r="L1609" s="116">
        <f>IF($A1609="","",DATE(YEAR($A1609),MONTH($A1609)+IF(AND(IFERROR(N(INDEX(Übersicht!$M$15:$M$22,MATCH($B1609,Übersicht!$A$15:$A$22,0))),0)&gt;1,DAY($A1609)&gt;=IFERROR(N(INDEX(Übersicht!$M$15:$M$22,MATCH($B1609,Übersicht!$A$15:$A$22,0))),0)),1,0),1))</f>
        <v/>
      </c>
    </row>
    <row r="1610">
      <c r="A1610" s="92" t="n"/>
      <c r="B1610" s="55" t="n"/>
      <c r="C1610" s="55" t="n"/>
      <c r="D1610" s="55" t="n"/>
      <c r="E1610" s="93" t="n"/>
      <c r="F1610" s="94" t="n"/>
      <c r="G1610" s="94" t="n"/>
      <c r="H1610" s="94" t="n"/>
      <c r="I1610" s="94" t="n"/>
      <c r="J1610" s="55" t="n"/>
      <c r="K1610" s="95" t="n"/>
      <c r="L1610" s="116">
        <f>IF($A1610="","",DATE(YEAR($A1610),MONTH($A1610)+IF(AND(IFERROR(N(INDEX(Übersicht!$M$15:$M$22,MATCH($B1610,Übersicht!$A$15:$A$22,0))),0)&gt;1,DAY($A1610)&gt;=IFERROR(N(INDEX(Übersicht!$M$15:$M$22,MATCH($B1610,Übersicht!$A$15:$A$22,0))),0)),1,0),1))</f>
        <v/>
      </c>
    </row>
    <row r="1611">
      <c r="A1611" s="92" t="n"/>
      <c r="B1611" s="55" t="n"/>
      <c r="C1611" s="55" t="n"/>
      <c r="D1611" s="55" t="n"/>
      <c r="E1611" s="93" t="n"/>
      <c r="F1611" s="94" t="n"/>
      <c r="G1611" s="94" t="n"/>
      <c r="H1611" s="94" t="n"/>
      <c r="I1611" s="94" t="n"/>
      <c r="J1611" s="55" t="n"/>
      <c r="K1611" s="95" t="n"/>
      <c r="L1611" s="116">
        <f>IF($A1611="","",DATE(YEAR($A1611),MONTH($A1611)+IF(AND(IFERROR(N(INDEX(Übersicht!$M$15:$M$22,MATCH($B1611,Übersicht!$A$15:$A$22,0))),0)&gt;1,DAY($A1611)&gt;=IFERROR(N(INDEX(Übersicht!$M$15:$M$22,MATCH($B1611,Übersicht!$A$15:$A$22,0))),0)),1,0),1))</f>
        <v/>
      </c>
    </row>
    <row r="1612">
      <c r="A1612" s="92" t="n"/>
      <c r="B1612" s="55" t="n"/>
      <c r="C1612" s="55" t="n"/>
      <c r="D1612" s="55" t="n"/>
      <c r="E1612" s="93" t="n"/>
      <c r="F1612" s="94" t="n"/>
      <c r="G1612" s="94" t="n"/>
      <c r="H1612" s="94" t="n"/>
      <c r="I1612" s="94" t="n"/>
      <c r="J1612" s="55" t="n"/>
      <c r="K1612" s="95" t="n"/>
      <c r="L1612" s="116">
        <f>IF($A1612="","",DATE(YEAR($A1612),MONTH($A1612)+IF(AND(IFERROR(N(INDEX(Übersicht!$M$15:$M$22,MATCH($B1612,Übersicht!$A$15:$A$22,0))),0)&gt;1,DAY($A1612)&gt;=IFERROR(N(INDEX(Übersicht!$M$15:$M$22,MATCH($B1612,Übersicht!$A$15:$A$22,0))),0)),1,0),1))</f>
        <v/>
      </c>
    </row>
    <row r="1613">
      <c r="A1613" s="92" t="n"/>
      <c r="B1613" s="55" t="n"/>
      <c r="C1613" s="55" t="n"/>
      <c r="D1613" s="55" t="n"/>
      <c r="E1613" s="93" t="n"/>
      <c r="F1613" s="94" t="n"/>
      <c r="G1613" s="94" t="n"/>
      <c r="H1613" s="94" t="n"/>
      <c r="I1613" s="94" t="n"/>
      <c r="J1613" s="55" t="n"/>
      <c r="K1613" s="95" t="n"/>
      <c r="L1613" s="116">
        <f>IF($A1613="","",DATE(YEAR($A1613),MONTH($A1613)+IF(AND(IFERROR(N(INDEX(Übersicht!$M$15:$M$22,MATCH($B1613,Übersicht!$A$15:$A$22,0))),0)&gt;1,DAY($A1613)&gt;=IFERROR(N(INDEX(Übersicht!$M$15:$M$22,MATCH($B1613,Übersicht!$A$15:$A$22,0))),0)),1,0),1))</f>
        <v/>
      </c>
    </row>
    <row r="1614">
      <c r="A1614" s="92" t="n"/>
      <c r="B1614" s="55" t="n"/>
      <c r="C1614" s="55" t="n"/>
      <c r="D1614" s="55" t="n"/>
      <c r="E1614" s="93" t="n"/>
      <c r="F1614" s="94" t="n"/>
      <c r="G1614" s="94" t="n"/>
      <c r="H1614" s="94" t="n"/>
      <c r="I1614" s="94" t="n"/>
      <c r="J1614" s="55" t="n"/>
      <c r="K1614" s="95" t="n"/>
      <c r="L1614" s="116">
        <f>IF($A1614="","",DATE(YEAR($A1614),MONTH($A1614)+IF(AND(IFERROR(N(INDEX(Übersicht!$M$15:$M$22,MATCH($B1614,Übersicht!$A$15:$A$22,0))),0)&gt;1,DAY($A1614)&gt;=IFERROR(N(INDEX(Übersicht!$M$15:$M$22,MATCH($B1614,Übersicht!$A$15:$A$22,0))),0)),1,0),1))</f>
        <v/>
      </c>
    </row>
    <row r="1615">
      <c r="A1615" s="92" t="n"/>
      <c r="B1615" s="55" t="n"/>
      <c r="C1615" s="55" t="n"/>
      <c r="D1615" s="55" t="n"/>
      <c r="E1615" s="93" t="n"/>
      <c r="F1615" s="94" t="n"/>
      <c r="G1615" s="94" t="n"/>
      <c r="H1615" s="94" t="n"/>
      <c r="I1615" s="94" t="n"/>
      <c r="J1615" s="55" t="n"/>
      <c r="K1615" s="95" t="n"/>
      <c r="L1615" s="116">
        <f>IF($A1615="","",DATE(YEAR($A1615),MONTH($A1615)+IF(AND(IFERROR(N(INDEX(Übersicht!$M$15:$M$22,MATCH($B1615,Übersicht!$A$15:$A$22,0))),0)&gt;1,DAY($A1615)&gt;=IFERROR(N(INDEX(Übersicht!$M$15:$M$22,MATCH($B1615,Übersicht!$A$15:$A$22,0))),0)),1,0),1))</f>
        <v/>
      </c>
    </row>
    <row r="1616">
      <c r="A1616" s="92" t="n"/>
      <c r="B1616" s="55" t="n"/>
      <c r="C1616" s="55" t="n"/>
      <c r="D1616" s="55" t="n"/>
      <c r="E1616" s="93" t="n"/>
      <c r="F1616" s="94" t="n"/>
      <c r="G1616" s="94" t="n"/>
      <c r="H1616" s="94" t="n"/>
      <c r="I1616" s="94" t="n"/>
      <c r="J1616" s="55" t="n"/>
      <c r="K1616" s="95" t="n"/>
      <c r="L1616" s="116">
        <f>IF($A1616="","",DATE(YEAR($A1616),MONTH($A1616)+IF(AND(IFERROR(N(INDEX(Übersicht!$M$15:$M$22,MATCH($B1616,Übersicht!$A$15:$A$22,0))),0)&gt;1,DAY($A1616)&gt;=IFERROR(N(INDEX(Übersicht!$M$15:$M$22,MATCH($B1616,Übersicht!$A$15:$A$22,0))),0)),1,0),1))</f>
        <v/>
      </c>
    </row>
    <row r="1617">
      <c r="A1617" s="92" t="n"/>
      <c r="B1617" s="55" t="n"/>
      <c r="C1617" s="55" t="n"/>
      <c r="D1617" s="55" t="n"/>
      <c r="E1617" s="93" t="n"/>
      <c r="F1617" s="94" t="n"/>
      <c r="G1617" s="94" t="n"/>
      <c r="H1617" s="94" t="n"/>
      <c r="I1617" s="94" t="n"/>
      <c r="J1617" s="55" t="n"/>
      <c r="K1617" s="95" t="n"/>
      <c r="L1617" s="116">
        <f>IF($A1617="","",DATE(YEAR($A1617),MONTH($A1617)+IF(AND(IFERROR(N(INDEX(Übersicht!$M$15:$M$22,MATCH($B1617,Übersicht!$A$15:$A$22,0))),0)&gt;1,DAY($A1617)&gt;=IFERROR(N(INDEX(Übersicht!$M$15:$M$22,MATCH($B1617,Übersicht!$A$15:$A$22,0))),0)),1,0),1))</f>
        <v/>
      </c>
    </row>
    <row r="1618">
      <c r="A1618" s="92" t="n"/>
      <c r="B1618" s="55" t="n"/>
      <c r="C1618" s="55" t="n"/>
      <c r="D1618" s="55" t="n"/>
      <c r="E1618" s="93" t="n"/>
      <c r="F1618" s="94" t="n"/>
      <c r="G1618" s="94" t="n"/>
      <c r="H1618" s="94" t="n"/>
      <c r="I1618" s="94" t="n"/>
      <c r="J1618" s="55" t="n"/>
      <c r="K1618" s="95" t="n"/>
      <c r="L1618" s="116">
        <f>IF($A1618="","",DATE(YEAR($A1618),MONTH($A1618)+IF(AND(IFERROR(N(INDEX(Übersicht!$M$15:$M$22,MATCH($B1618,Übersicht!$A$15:$A$22,0))),0)&gt;1,DAY($A1618)&gt;=IFERROR(N(INDEX(Übersicht!$M$15:$M$22,MATCH($B1618,Übersicht!$A$15:$A$22,0))),0)),1,0),1))</f>
        <v/>
      </c>
    </row>
    <row r="1619">
      <c r="A1619" s="92" t="n"/>
      <c r="B1619" s="55" t="n"/>
      <c r="C1619" s="55" t="n"/>
      <c r="D1619" s="55" t="n"/>
      <c r="E1619" s="93" t="n"/>
      <c r="F1619" s="94" t="n"/>
      <c r="G1619" s="94" t="n"/>
      <c r="H1619" s="94" t="n"/>
      <c r="I1619" s="94" t="n"/>
      <c r="J1619" s="55" t="n"/>
      <c r="K1619" s="95" t="n"/>
      <c r="L1619" s="116">
        <f>IF($A1619="","",DATE(YEAR($A1619),MONTH($A1619)+IF(AND(IFERROR(N(INDEX(Übersicht!$M$15:$M$22,MATCH($B1619,Übersicht!$A$15:$A$22,0))),0)&gt;1,DAY($A1619)&gt;=IFERROR(N(INDEX(Übersicht!$M$15:$M$22,MATCH($B1619,Übersicht!$A$15:$A$22,0))),0)),1,0),1))</f>
        <v/>
      </c>
    </row>
    <row r="1620">
      <c r="A1620" s="92" t="n"/>
      <c r="B1620" s="55" t="n"/>
      <c r="C1620" s="55" t="n"/>
      <c r="D1620" s="55" t="n"/>
      <c r="E1620" s="93" t="n"/>
      <c r="F1620" s="94" t="n"/>
      <c r="G1620" s="94" t="n"/>
      <c r="H1620" s="94" t="n"/>
      <c r="I1620" s="94" t="n"/>
      <c r="J1620" s="55" t="n"/>
      <c r="K1620" s="95" t="n"/>
      <c r="L1620" s="116">
        <f>IF($A1620="","",DATE(YEAR($A1620),MONTH($A1620)+IF(AND(IFERROR(N(INDEX(Übersicht!$M$15:$M$22,MATCH($B1620,Übersicht!$A$15:$A$22,0))),0)&gt;1,DAY($A1620)&gt;=IFERROR(N(INDEX(Übersicht!$M$15:$M$22,MATCH($B1620,Übersicht!$A$15:$A$22,0))),0)),1,0),1))</f>
        <v/>
      </c>
    </row>
    <row r="1621">
      <c r="A1621" s="92" t="n"/>
      <c r="B1621" s="55" t="n"/>
      <c r="C1621" s="55" t="n"/>
      <c r="D1621" s="55" t="n"/>
      <c r="E1621" s="93" t="n"/>
      <c r="F1621" s="94" t="n"/>
      <c r="G1621" s="94" t="n"/>
      <c r="H1621" s="94" t="n"/>
      <c r="I1621" s="94" t="n"/>
      <c r="J1621" s="55" t="n"/>
      <c r="K1621" s="95" t="n"/>
      <c r="L1621" s="116">
        <f>IF($A1621="","",DATE(YEAR($A1621),MONTH($A1621)+IF(AND(IFERROR(N(INDEX(Übersicht!$M$15:$M$22,MATCH($B1621,Übersicht!$A$15:$A$22,0))),0)&gt;1,DAY($A1621)&gt;=IFERROR(N(INDEX(Übersicht!$M$15:$M$22,MATCH($B1621,Übersicht!$A$15:$A$22,0))),0)),1,0),1))</f>
        <v/>
      </c>
    </row>
    <row r="1622">
      <c r="A1622" s="92" t="n"/>
      <c r="B1622" s="55" t="n"/>
      <c r="C1622" s="55" t="n"/>
      <c r="D1622" s="55" t="n"/>
      <c r="E1622" s="93" t="n"/>
      <c r="F1622" s="94" t="n"/>
      <c r="G1622" s="94" t="n"/>
      <c r="H1622" s="94" t="n"/>
      <c r="I1622" s="94" t="n"/>
      <c r="J1622" s="55" t="n"/>
      <c r="K1622" s="95" t="n"/>
      <c r="L1622" s="116">
        <f>IF($A1622="","",DATE(YEAR($A1622),MONTH($A1622)+IF(AND(IFERROR(N(INDEX(Übersicht!$M$15:$M$22,MATCH($B1622,Übersicht!$A$15:$A$22,0))),0)&gt;1,DAY($A1622)&gt;=IFERROR(N(INDEX(Übersicht!$M$15:$M$22,MATCH($B1622,Übersicht!$A$15:$A$22,0))),0)),1,0),1))</f>
        <v/>
      </c>
    </row>
    <row r="1623">
      <c r="A1623" s="92" t="n"/>
      <c r="B1623" s="55" t="n"/>
      <c r="C1623" s="55" t="n"/>
      <c r="D1623" s="55" t="n"/>
      <c r="E1623" s="93" t="n"/>
      <c r="F1623" s="94" t="n"/>
      <c r="G1623" s="94" t="n"/>
      <c r="H1623" s="94" t="n"/>
      <c r="I1623" s="94" t="n"/>
      <c r="J1623" s="55" t="n"/>
      <c r="K1623" s="95" t="n"/>
      <c r="L1623" s="116">
        <f>IF($A1623="","",DATE(YEAR($A1623),MONTH($A1623)+IF(AND(IFERROR(N(INDEX(Übersicht!$M$15:$M$22,MATCH($B1623,Übersicht!$A$15:$A$22,0))),0)&gt;1,DAY($A1623)&gt;=IFERROR(N(INDEX(Übersicht!$M$15:$M$22,MATCH($B1623,Übersicht!$A$15:$A$22,0))),0)),1,0),1))</f>
        <v/>
      </c>
    </row>
    <row r="1624">
      <c r="A1624" s="92" t="n"/>
      <c r="B1624" s="55" t="n"/>
      <c r="C1624" s="55" t="n"/>
      <c r="D1624" s="55" t="n"/>
      <c r="E1624" s="93" t="n"/>
      <c r="F1624" s="94" t="n"/>
      <c r="G1624" s="94" t="n"/>
      <c r="H1624" s="94" t="n"/>
      <c r="I1624" s="94" t="n"/>
      <c r="J1624" s="55" t="n"/>
      <c r="K1624" s="95" t="n"/>
      <c r="L1624" s="116">
        <f>IF($A1624="","",DATE(YEAR($A1624),MONTH($A1624)+IF(AND(IFERROR(N(INDEX(Übersicht!$M$15:$M$22,MATCH($B1624,Übersicht!$A$15:$A$22,0))),0)&gt;1,DAY($A1624)&gt;=IFERROR(N(INDEX(Übersicht!$M$15:$M$22,MATCH($B1624,Übersicht!$A$15:$A$22,0))),0)),1,0),1))</f>
        <v/>
      </c>
    </row>
    <row r="1625">
      <c r="A1625" s="92" t="n"/>
      <c r="B1625" s="55" t="n"/>
      <c r="C1625" s="55" t="n"/>
      <c r="D1625" s="55" t="n"/>
      <c r="E1625" s="93" t="n"/>
      <c r="F1625" s="94" t="n"/>
      <c r="G1625" s="94" t="n"/>
      <c r="H1625" s="94" t="n"/>
      <c r="I1625" s="94" t="n"/>
      <c r="J1625" s="55" t="n"/>
      <c r="K1625" s="95" t="n"/>
      <c r="L1625" s="116">
        <f>IF($A1625="","",DATE(YEAR($A1625),MONTH($A1625)+IF(AND(IFERROR(N(INDEX(Übersicht!$M$15:$M$22,MATCH($B1625,Übersicht!$A$15:$A$22,0))),0)&gt;1,DAY($A1625)&gt;=IFERROR(N(INDEX(Übersicht!$M$15:$M$22,MATCH($B1625,Übersicht!$A$15:$A$22,0))),0)),1,0),1))</f>
        <v/>
      </c>
    </row>
    <row r="1626">
      <c r="A1626" s="92" t="n"/>
      <c r="B1626" s="55" t="n"/>
      <c r="C1626" s="55" t="n"/>
      <c r="D1626" s="55" t="n"/>
      <c r="E1626" s="93" t="n"/>
      <c r="F1626" s="94" t="n"/>
      <c r="G1626" s="94" t="n"/>
      <c r="H1626" s="94" t="n"/>
      <c r="I1626" s="94" t="n"/>
      <c r="J1626" s="55" t="n"/>
      <c r="K1626" s="95" t="n"/>
      <c r="L1626" s="116">
        <f>IF($A1626="","",DATE(YEAR($A1626),MONTH($A1626)+IF(AND(IFERROR(N(INDEX(Übersicht!$M$15:$M$22,MATCH($B1626,Übersicht!$A$15:$A$22,0))),0)&gt;1,DAY($A1626)&gt;=IFERROR(N(INDEX(Übersicht!$M$15:$M$22,MATCH($B1626,Übersicht!$A$15:$A$22,0))),0)),1,0),1))</f>
        <v/>
      </c>
    </row>
    <row r="1627">
      <c r="A1627" s="92" t="n"/>
      <c r="B1627" s="55" t="n"/>
      <c r="C1627" s="55" t="n"/>
      <c r="D1627" s="55" t="n"/>
      <c r="E1627" s="93" t="n"/>
      <c r="F1627" s="94" t="n"/>
      <c r="G1627" s="94" t="n"/>
      <c r="H1627" s="94" t="n"/>
      <c r="I1627" s="94" t="n"/>
      <c r="J1627" s="55" t="n"/>
      <c r="K1627" s="95" t="n"/>
      <c r="L1627" s="116">
        <f>IF($A1627="","",DATE(YEAR($A1627),MONTH($A1627)+IF(AND(IFERROR(N(INDEX(Übersicht!$M$15:$M$22,MATCH($B1627,Übersicht!$A$15:$A$22,0))),0)&gt;1,DAY($A1627)&gt;=IFERROR(N(INDEX(Übersicht!$M$15:$M$22,MATCH($B1627,Übersicht!$A$15:$A$22,0))),0)),1,0),1))</f>
        <v/>
      </c>
    </row>
    <row r="1628">
      <c r="A1628" s="92" t="n"/>
      <c r="B1628" s="55" t="n"/>
      <c r="C1628" s="55" t="n"/>
      <c r="D1628" s="55" t="n"/>
      <c r="E1628" s="93" t="n"/>
      <c r="F1628" s="94" t="n"/>
      <c r="G1628" s="94" t="n"/>
      <c r="H1628" s="94" t="n"/>
      <c r="I1628" s="94" t="n"/>
      <c r="J1628" s="55" t="n"/>
      <c r="K1628" s="95" t="n"/>
      <c r="L1628" s="116">
        <f>IF($A1628="","",DATE(YEAR($A1628),MONTH($A1628)+IF(AND(IFERROR(N(INDEX(Übersicht!$M$15:$M$22,MATCH($B1628,Übersicht!$A$15:$A$22,0))),0)&gt;1,DAY($A1628)&gt;=IFERROR(N(INDEX(Übersicht!$M$15:$M$22,MATCH($B1628,Übersicht!$A$15:$A$22,0))),0)),1,0),1))</f>
        <v/>
      </c>
    </row>
    <row r="1629">
      <c r="A1629" s="92" t="n"/>
      <c r="B1629" s="55" t="n"/>
      <c r="C1629" s="55" t="n"/>
      <c r="D1629" s="55" t="n"/>
      <c r="E1629" s="93" t="n"/>
      <c r="F1629" s="94" t="n"/>
      <c r="G1629" s="94" t="n"/>
      <c r="H1629" s="94" t="n"/>
      <c r="I1629" s="94" t="n"/>
      <c r="J1629" s="55" t="n"/>
      <c r="K1629" s="95" t="n"/>
      <c r="L1629" s="116">
        <f>IF($A1629="","",DATE(YEAR($A1629),MONTH($A1629)+IF(AND(IFERROR(N(INDEX(Übersicht!$M$15:$M$22,MATCH($B1629,Übersicht!$A$15:$A$22,0))),0)&gt;1,DAY($A1629)&gt;=IFERROR(N(INDEX(Übersicht!$M$15:$M$22,MATCH($B1629,Übersicht!$A$15:$A$22,0))),0)),1,0),1))</f>
        <v/>
      </c>
    </row>
    <row r="1630">
      <c r="A1630" s="92" t="n"/>
      <c r="B1630" s="55" t="n"/>
      <c r="C1630" s="55" t="n"/>
      <c r="D1630" s="55" t="n"/>
      <c r="E1630" s="93" t="n"/>
      <c r="F1630" s="94" t="n"/>
      <c r="G1630" s="94" t="n"/>
      <c r="H1630" s="94" t="n"/>
      <c r="I1630" s="94" t="n"/>
      <c r="J1630" s="55" t="n"/>
      <c r="K1630" s="95" t="n"/>
      <c r="L1630" s="116">
        <f>IF($A1630="","",DATE(YEAR($A1630),MONTH($A1630)+IF(AND(IFERROR(N(INDEX(Übersicht!$M$15:$M$22,MATCH($B1630,Übersicht!$A$15:$A$22,0))),0)&gt;1,DAY($A1630)&gt;=IFERROR(N(INDEX(Übersicht!$M$15:$M$22,MATCH($B1630,Übersicht!$A$15:$A$22,0))),0)),1,0),1))</f>
        <v/>
      </c>
    </row>
    <row r="1631">
      <c r="A1631" s="92" t="n"/>
      <c r="B1631" s="55" t="n"/>
      <c r="C1631" s="55" t="n"/>
      <c r="D1631" s="55" t="n"/>
      <c r="E1631" s="93" t="n"/>
      <c r="F1631" s="94" t="n"/>
      <c r="G1631" s="94" t="n"/>
      <c r="H1631" s="94" t="n"/>
      <c r="I1631" s="94" t="n"/>
      <c r="J1631" s="55" t="n"/>
      <c r="K1631" s="95" t="n"/>
      <c r="L1631" s="116">
        <f>IF($A1631="","",DATE(YEAR($A1631),MONTH($A1631)+IF(AND(IFERROR(N(INDEX(Übersicht!$M$15:$M$22,MATCH($B1631,Übersicht!$A$15:$A$22,0))),0)&gt;1,DAY($A1631)&gt;=IFERROR(N(INDEX(Übersicht!$M$15:$M$22,MATCH($B1631,Übersicht!$A$15:$A$22,0))),0)),1,0),1))</f>
        <v/>
      </c>
    </row>
    <row r="1632">
      <c r="A1632" s="92" t="n"/>
      <c r="B1632" s="55" t="n"/>
      <c r="C1632" s="55" t="n"/>
      <c r="D1632" s="55" t="n"/>
      <c r="E1632" s="93" t="n"/>
      <c r="F1632" s="94" t="n"/>
      <c r="G1632" s="94" t="n"/>
      <c r="H1632" s="94" t="n"/>
      <c r="I1632" s="94" t="n"/>
      <c r="J1632" s="55" t="n"/>
      <c r="K1632" s="95" t="n"/>
      <c r="L1632" s="116">
        <f>IF($A1632="","",DATE(YEAR($A1632),MONTH($A1632)+IF(AND(IFERROR(N(INDEX(Übersicht!$M$15:$M$22,MATCH($B1632,Übersicht!$A$15:$A$22,0))),0)&gt;1,DAY($A1632)&gt;=IFERROR(N(INDEX(Übersicht!$M$15:$M$22,MATCH($B1632,Übersicht!$A$15:$A$22,0))),0)),1,0),1))</f>
        <v/>
      </c>
    </row>
    <row r="1633">
      <c r="A1633" s="92" t="n"/>
      <c r="B1633" s="55" t="n"/>
      <c r="C1633" s="55" t="n"/>
      <c r="D1633" s="55" t="n"/>
      <c r="E1633" s="93" t="n"/>
      <c r="F1633" s="94" t="n"/>
      <c r="G1633" s="94" t="n"/>
      <c r="H1633" s="94" t="n"/>
      <c r="I1633" s="94" t="n"/>
      <c r="J1633" s="55" t="n"/>
      <c r="K1633" s="95" t="n"/>
      <c r="L1633" s="116">
        <f>IF($A1633="","",DATE(YEAR($A1633),MONTH($A1633)+IF(AND(IFERROR(N(INDEX(Übersicht!$M$15:$M$22,MATCH($B1633,Übersicht!$A$15:$A$22,0))),0)&gt;1,DAY($A1633)&gt;=IFERROR(N(INDEX(Übersicht!$M$15:$M$22,MATCH($B1633,Übersicht!$A$15:$A$22,0))),0)),1,0),1))</f>
        <v/>
      </c>
    </row>
    <row r="1634">
      <c r="A1634" s="92" t="n"/>
      <c r="B1634" s="55" t="n"/>
      <c r="C1634" s="55" t="n"/>
      <c r="D1634" s="55" t="n"/>
      <c r="E1634" s="93" t="n"/>
      <c r="F1634" s="94" t="n"/>
      <c r="G1634" s="94" t="n"/>
      <c r="H1634" s="94" t="n"/>
      <c r="I1634" s="94" t="n"/>
      <c r="J1634" s="55" t="n"/>
      <c r="K1634" s="95" t="n"/>
      <c r="L1634" s="116">
        <f>IF($A1634="","",DATE(YEAR($A1634),MONTH($A1634)+IF(AND(IFERROR(N(INDEX(Übersicht!$M$15:$M$22,MATCH($B1634,Übersicht!$A$15:$A$22,0))),0)&gt;1,DAY($A1634)&gt;=IFERROR(N(INDEX(Übersicht!$M$15:$M$22,MATCH($B1634,Übersicht!$A$15:$A$22,0))),0)),1,0),1))</f>
        <v/>
      </c>
    </row>
    <row r="1635">
      <c r="A1635" s="92" t="n"/>
      <c r="B1635" s="55" t="n"/>
      <c r="C1635" s="55" t="n"/>
      <c r="D1635" s="55" t="n"/>
      <c r="E1635" s="93" t="n"/>
      <c r="F1635" s="94" t="n"/>
      <c r="G1635" s="94" t="n"/>
      <c r="H1635" s="94" t="n"/>
      <c r="I1635" s="94" t="n"/>
      <c r="J1635" s="55" t="n"/>
      <c r="K1635" s="95" t="n"/>
      <c r="L1635" s="116">
        <f>IF($A1635="","",DATE(YEAR($A1635),MONTH($A1635)+IF(AND(IFERROR(N(INDEX(Übersicht!$M$15:$M$22,MATCH($B1635,Übersicht!$A$15:$A$22,0))),0)&gt;1,DAY($A1635)&gt;=IFERROR(N(INDEX(Übersicht!$M$15:$M$22,MATCH($B1635,Übersicht!$A$15:$A$22,0))),0)),1,0),1))</f>
        <v/>
      </c>
    </row>
    <row r="1636">
      <c r="A1636" s="92" t="n"/>
      <c r="B1636" s="55" t="n"/>
      <c r="C1636" s="55" t="n"/>
      <c r="D1636" s="55" t="n"/>
      <c r="E1636" s="93" t="n"/>
      <c r="F1636" s="94" t="n"/>
      <c r="G1636" s="94" t="n"/>
      <c r="H1636" s="94" t="n"/>
      <c r="I1636" s="94" t="n"/>
      <c r="J1636" s="55" t="n"/>
      <c r="K1636" s="95" t="n"/>
      <c r="L1636" s="116">
        <f>IF($A1636="","",DATE(YEAR($A1636),MONTH($A1636)+IF(AND(IFERROR(N(INDEX(Übersicht!$M$15:$M$22,MATCH($B1636,Übersicht!$A$15:$A$22,0))),0)&gt;1,DAY($A1636)&gt;=IFERROR(N(INDEX(Übersicht!$M$15:$M$22,MATCH($B1636,Übersicht!$A$15:$A$22,0))),0)),1,0),1))</f>
        <v/>
      </c>
    </row>
    <row r="1637">
      <c r="A1637" s="92" t="n"/>
      <c r="B1637" s="55" t="n"/>
      <c r="C1637" s="55" t="n"/>
      <c r="D1637" s="55" t="n"/>
      <c r="E1637" s="93" t="n"/>
      <c r="F1637" s="94" t="n"/>
      <c r="G1637" s="94" t="n"/>
      <c r="H1637" s="94" t="n"/>
      <c r="I1637" s="94" t="n"/>
      <c r="J1637" s="55" t="n"/>
      <c r="K1637" s="95" t="n"/>
      <c r="L1637" s="116">
        <f>IF($A1637="","",DATE(YEAR($A1637),MONTH($A1637)+IF(AND(IFERROR(N(INDEX(Übersicht!$M$15:$M$22,MATCH($B1637,Übersicht!$A$15:$A$22,0))),0)&gt;1,DAY($A1637)&gt;=IFERROR(N(INDEX(Übersicht!$M$15:$M$22,MATCH($B1637,Übersicht!$A$15:$A$22,0))),0)),1,0),1))</f>
        <v/>
      </c>
    </row>
    <row r="1638">
      <c r="A1638" s="92" t="n"/>
      <c r="B1638" s="55" t="n"/>
      <c r="C1638" s="55" t="n"/>
      <c r="D1638" s="55" t="n"/>
      <c r="E1638" s="93" t="n"/>
      <c r="F1638" s="94" t="n"/>
      <c r="G1638" s="94" t="n"/>
      <c r="H1638" s="94" t="n"/>
      <c r="I1638" s="94" t="n"/>
      <c r="J1638" s="55" t="n"/>
      <c r="K1638" s="95" t="n"/>
      <c r="L1638" s="116">
        <f>IF($A1638="","",DATE(YEAR($A1638),MONTH($A1638)+IF(AND(IFERROR(N(INDEX(Übersicht!$M$15:$M$22,MATCH($B1638,Übersicht!$A$15:$A$22,0))),0)&gt;1,DAY($A1638)&gt;=IFERROR(N(INDEX(Übersicht!$M$15:$M$22,MATCH($B1638,Übersicht!$A$15:$A$22,0))),0)),1,0),1))</f>
        <v/>
      </c>
    </row>
    <row r="1639">
      <c r="A1639" s="92" t="n"/>
      <c r="B1639" s="55" t="n"/>
      <c r="C1639" s="55" t="n"/>
      <c r="D1639" s="55" t="n"/>
      <c r="E1639" s="93" t="n"/>
      <c r="F1639" s="94" t="n"/>
      <c r="G1639" s="94" t="n"/>
      <c r="H1639" s="94" t="n"/>
      <c r="I1639" s="94" t="n"/>
      <c r="J1639" s="55" t="n"/>
      <c r="K1639" s="95" t="n"/>
      <c r="L1639" s="116">
        <f>IF($A1639="","",DATE(YEAR($A1639),MONTH($A1639)+IF(AND(IFERROR(N(INDEX(Übersicht!$M$15:$M$22,MATCH($B1639,Übersicht!$A$15:$A$22,0))),0)&gt;1,DAY($A1639)&gt;=IFERROR(N(INDEX(Übersicht!$M$15:$M$22,MATCH($B1639,Übersicht!$A$15:$A$22,0))),0)),1,0),1))</f>
        <v/>
      </c>
    </row>
    <row r="1640">
      <c r="A1640" s="92" t="n"/>
      <c r="B1640" s="55" t="n"/>
      <c r="C1640" s="55" t="n"/>
      <c r="D1640" s="55" t="n"/>
      <c r="E1640" s="93" t="n"/>
      <c r="F1640" s="94" t="n"/>
      <c r="G1640" s="94" t="n"/>
      <c r="H1640" s="94" t="n"/>
      <c r="I1640" s="94" t="n"/>
      <c r="J1640" s="55" t="n"/>
      <c r="K1640" s="95" t="n"/>
      <c r="L1640" s="116">
        <f>IF($A1640="","",DATE(YEAR($A1640),MONTH($A1640)+IF(AND(IFERROR(N(INDEX(Übersicht!$M$15:$M$22,MATCH($B1640,Übersicht!$A$15:$A$22,0))),0)&gt;1,DAY($A1640)&gt;=IFERROR(N(INDEX(Übersicht!$M$15:$M$22,MATCH($B1640,Übersicht!$A$15:$A$22,0))),0)),1,0),1))</f>
        <v/>
      </c>
    </row>
    <row r="1641">
      <c r="A1641" s="92" t="n"/>
      <c r="B1641" s="55" t="n"/>
      <c r="C1641" s="55" t="n"/>
      <c r="D1641" s="55" t="n"/>
      <c r="E1641" s="93" t="n"/>
      <c r="F1641" s="94" t="n"/>
      <c r="G1641" s="94" t="n"/>
      <c r="H1641" s="94" t="n"/>
      <c r="I1641" s="94" t="n"/>
      <c r="J1641" s="55" t="n"/>
      <c r="K1641" s="95" t="n"/>
      <c r="L1641" s="116">
        <f>IF($A1641="","",DATE(YEAR($A1641),MONTH($A1641)+IF(AND(IFERROR(N(INDEX(Übersicht!$M$15:$M$22,MATCH($B1641,Übersicht!$A$15:$A$22,0))),0)&gt;1,DAY($A1641)&gt;=IFERROR(N(INDEX(Übersicht!$M$15:$M$22,MATCH($B1641,Übersicht!$A$15:$A$22,0))),0)),1,0),1))</f>
        <v/>
      </c>
    </row>
    <row r="1642">
      <c r="A1642" s="92" t="n"/>
      <c r="B1642" s="55" t="n"/>
      <c r="C1642" s="55" t="n"/>
      <c r="D1642" s="55" t="n"/>
      <c r="E1642" s="93" t="n"/>
      <c r="F1642" s="94" t="n"/>
      <c r="G1642" s="94" t="n"/>
      <c r="H1642" s="94" t="n"/>
      <c r="I1642" s="94" t="n"/>
      <c r="J1642" s="55" t="n"/>
      <c r="K1642" s="95" t="n"/>
      <c r="L1642" s="116">
        <f>IF($A1642="","",DATE(YEAR($A1642),MONTH($A1642)+IF(AND(IFERROR(N(INDEX(Übersicht!$M$15:$M$22,MATCH($B1642,Übersicht!$A$15:$A$22,0))),0)&gt;1,DAY($A1642)&gt;=IFERROR(N(INDEX(Übersicht!$M$15:$M$22,MATCH($B1642,Übersicht!$A$15:$A$22,0))),0)),1,0),1))</f>
        <v/>
      </c>
    </row>
    <row r="1643">
      <c r="A1643" s="92" t="n"/>
      <c r="B1643" s="55" t="n"/>
      <c r="C1643" s="55" t="n"/>
      <c r="D1643" s="55" t="n"/>
      <c r="E1643" s="93" t="n"/>
      <c r="F1643" s="94" t="n"/>
      <c r="G1643" s="94" t="n"/>
      <c r="H1643" s="94" t="n"/>
      <c r="I1643" s="94" t="n"/>
      <c r="J1643" s="55" t="n"/>
      <c r="K1643" s="95" t="n"/>
      <c r="L1643" s="116">
        <f>IF($A1643="","",DATE(YEAR($A1643),MONTH($A1643)+IF(AND(IFERROR(N(INDEX(Übersicht!$M$15:$M$22,MATCH($B1643,Übersicht!$A$15:$A$22,0))),0)&gt;1,DAY($A1643)&gt;=IFERROR(N(INDEX(Übersicht!$M$15:$M$22,MATCH($B1643,Übersicht!$A$15:$A$22,0))),0)),1,0),1))</f>
        <v/>
      </c>
    </row>
    <row r="1644">
      <c r="A1644" s="92" t="n"/>
      <c r="B1644" s="55" t="n"/>
      <c r="C1644" s="55" t="n"/>
      <c r="D1644" s="55" t="n"/>
      <c r="E1644" s="93" t="n"/>
      <c r="F1644" s="94" t="n"/>
      <c r="G1644" s="94" t="n"/>
      <c r="H1644" s="94" t="n"/>
      <c r="I1644" s="94" t="n"/>
      <c r="J1644" s="55" t="n"/>
      <c r="K1644" s="95" t="n"/>
      <c r="L1644" s="116">
        <f>IF($A1644="","",DATE(YEAR($A1644),MONTH($A1644)+IF(AND(IFERROR(N(INDEX(Übersicht!$M$15:$M$22,MATCH($B1644,Übersicht!$A$15:$A$22,0))),0)&gt;1,DAY($A1644)&gt;=IFERROR(N(INDEX(Übersicht!$M$15:$M$22,MATCH($B1644,Übersicht!$A$15:$A$22,0))),0)),1,0),1))</f>
        <v/>
      </c>
    </row>
    <row r="1645">
      <c r="A1645" s="92" t="n"/>
      <c r="B1645" s="55" t="n"/>
      <c r="C1645" s="55" t="n"/>
      <c r="D1645" s="55" t="n"/>
      <c r="E1645" s="93" t="n"/>
      <c r="F1645" s="94" t="n"/>
      <c r="G1645" s="94" t="n"/>
      <c r="H1645" s="94" t="n"/>
      <c r="I1645" s="94" t="n"/>
      <c r="J1645" s="55" t="n"/>
      <c r="K1645" s="95" t="n"/>
      <c r="L1645" s="116">
        <f>IF($A1645="","",DATE(YEAR($A1645),MONTH($A1645)+IF(AND(IFERROR(N(INDEX(Übersicht!$M$15:$M$22,MATCH($B1645,Übersicht!$A$15:$A$22,0))),0)&gt;1,DAY($A1645)&gt;=IFERROR(N(INDEX(Übersicht!$M$15:$M$22,MATCH($B1645,Übersicht!$A$15:$A$22,0))),0)),1,0),1))</f>
        <v/>
      </c>
    </row>
    <row r="1646">
      <c r="A1646" s="92" t="n"/>
      <c r="B1646" s="55" t="n"/>
      <c r="C1646" s="55" t="n"/>
      <c r="D1646" s="55" t="n"/>
      <c r="E1646" s="93" t="n"/>
      <c r="F1646" s="94" t="n"/>
      <c r="G1646" s="94" t="n"/>
      <c r="H1646" s="94" t="n"/>
      <c r="I1646" s="94" t="n"/>
      <c r="J1646" s="55" t="n"/>
      <c r="K1646" s="95" t="n"/>
      <c r="L1646" s="116">
        <f>IF($A1646="","",DATE(YEAR($A1646),MONTH($A1646)+IF(AND(IFERROR(N(INDEX(Übersicht!$M$15:$M$22,MATCH($B1646,Übersicht!$A$15:$A$22,0))),0)&gt;1,DAY($A1646)&gt;=IFERROR(N(INDEX(Übersicht!$M$15:$M$22,MATCH($B1646,Übersicht!$A$15:$A$22,0))),0)),1,0),1))</f>
        <v/>
      </c>
    </row>
    <row r="1647">
      <c r="A1647" s="92" t="n"/>
      <c r="B1647" s="55" t="n"/>
      <c r="C1647" s="55" t="n"/>
      <c r="D1647" s="55" t="n"/>
      <c r="E1647" s="93" t="n"/>
      <c r="F1647" s="94" t="n"/>
      <c r="G1647" s="94" t="n"/>
      <c r="H1647" s="94" t="n"/>
      <c r="I1647" s="94" t="n"/>
      <c r="J1647" s="55" t="n"/>
      <c r="K1647" s="95" t="n"/>
      <c r="L1647" s="116">
        <f>IF($A1647="","",DATE(YEAR($A1647),MONTH($A1647)+IF(AND(IFERROR(N(INDEX(Übersicht!$M$15:$M$22,MATCH($B1647,Übersicht!$A$15:$A$22,0))),0)&gt;1,DAY($A1647)&gt;=IFERROR(N(INDEX(Übersicht!$M$15:$M$22,MATCH($B1647,Übersicht!$A$15:$A$22,0))),0)),1,0),1))</f>
        <v/>
      </c>
    </row>
    <row r="1648">
      <c r="A1648" s="92" t="n"/>
      <c r="B1648" s="55" t="n"/>
      <c r="C1648" s="55" t="n"/>
      <c r="D1648" s="55" t="n"/>
      <c r="E1648" s="93" t="n"/>
      <c r="F1648" s="94" t="n"/>
      <c r="G1648" s="94" t="n"/>
      <c r="H1648" s="94" t="n"/>
      <c r="I1648" s="94" t="n"/>
      <c r="J1648" s="55" t="n"/>
      <c r="K1648" s="95" t="n"/>
      <c r="L1648" s="116">
        <f>IF($A1648="","",DATE(YEAR($A1648),MONTH($A1648)+IF(AND(IFERROR(N(INDEX(Übersicht!$M$15:$M$22,MATCH($B1648,Übersicht!$A$15:$A$22,0))),0)&gt;1,DAY($A1648)&gt;=IFERROR(N(INDEX(Übersicht!$M$15:$M$22,MATCH($B1648,Übersicht!$A$15:$A$22,0))),0)),1,0),1))</f>
        <v/>
      </c>
    </row>
    <row r="1649">
      <c r="A1649" s="92" t="n"/>
      <c r="B1649" s="55" t="n"/>
      <c r="C1649" s="55" t="n"/>
      <c r="D1649" s="55" t="n"/>
      <c r="E1649" s="93" t="n"/>
      <c r="F1649" s="94" t="n"/>
      <c r="G1649" s="94" t="n"/>
      <c r="H1649" s="94" t="n"/>
      <c r="I1649" s="94" t="n"/>
      <c r="J1649" s="55" t="n"/>
      <c r="K1649" s="95" t="n"/>
      <c r="L1649" s="116">
        <f>IF($A1649="","",DATE(YEAR($A1649),MONTH($A1649)+IF(AND(IFERROR(N(INDEX(Übersicht!$M$15:$M$22,MATCH($B1649,Übersicht!$A$15:$A$22,0))),0)&gt;1,DAY($A1649)&gt;=IFERROR(N(INDEX(Übersicht!$M$15:$M$22,MATCH($B1649,Übersicht!$A$15:$A$22,0))),0)),1,0),1))</f>
        <v/>
      </c>
    </row>
    <row r="1650">
      <c r="A1650" s="92" t="n"/>
      <c r="B1650" s="55" t="n"/>
      <c r="C1650" s="55" t="n"/>
      <c r="D1650" s="55" t="n"/>
      <c r="E1650" s="93" t="n"/>
      <c r="F1650" s="94" t="n"/>
      <c r="G1650" s="94" t="n"/>
      <c r="H1650" s="94" t="n"/>
      <c r="I1650" s="94" t="n"/>
      <c r="J1650" s="55" t="n"/>
      <c r="K1650" s="95" t="n"/>
      <c r="L1650" s="116">
        <f>IF($A1650="","",DATE(YEAR($A1650),MONTH($A1650)+IF(AND(IFERROR(N(INDEX(Übersicht!$M$15:$M$22,MATCH($B1650,Übersicht!$A$15:$A$22,0))),0)&gt;1,DAY($A1650)&gt;=IFERROR(N(INDEX(Übersicht!$M$15:$M$22,MATCH($B1650,Übersicht!$A$15:$A$22,0))),0)),1,0),1))</f>
        <v/>
      </c>
    </row>
    <row r="1651">
      <c r="A1651" s="92" t="n"/>
      <c r="B1651" s="55" t="n"/>
      <c r="C1651" s="55" t="n"/>
      <c r="D1651" s="55" t="n"/>
      <c r="E1651" s="93" t="n"/>
      <c r="F1651" s="94" t="n"/>
      <c r="G1651" s="94" t="n"/>
      <c r="H1651" s="94" t="n"/>
      <c r="I1651" s="94" t="n"/>
      <c r="J1651" s="55" t="n"/>
      <c r="K1651" s="95" t="n"/>
      <c r="L1651" s="116">
        <f>IF($A1651="","",DATE(YEAR($A1651),MONTH($A1651)+IF(AND(IFERROR(N(INDEX(Übersicht!$M$15:$M$22,MATCH($B1651,Übersicht!$A$15:$A$22,0))),0)&gt;1,DAY($A1651)&gt;=IFERROR(N(INDEX(Übersicht!$M$15:$M$22,MATCH($B1651,Übersicht!$A$15:$A$22,0))),0)),1,0),1))</f>
        <v/>
      </c>
    </row>
    <row r="1652">
      <c r="A1652" s="92" t="n"/>
      <c r="B1652" s="55" t="n"/>
      <c r="C1652" s="55" t="n"/>
      <c r="D1652" s="55" t="n"/>
      <c r="E1652" s="93" t="n"/>
      <c r="F1652" s="94" t="n"/>
      <c r="G1652" s="94" t="n"/>
      <c r="H1652" s="94" t="n"/>
      <c r="I1652" s="94" t="n"/>
      <c r="J1652" s="55" t="n"/>
      <c r="K1652" s="95" t="n"/>
      <c r="L1652" s="116">
        <f>IF($A1652="","",DATE(YEAR($A1652),MONTH($A1652)+IF(AND(IFERROR(N(INDEX(Übersicht!$M$15:$M$22,MATCH($B1652,Übersicht!$A$15:$A$22,0))),0)&gt;1,DAY($A1652)&gt;=IFERROR(N(INDEX(Übersicht!$M$15:$M$22,MATCH($B1652,Übersicht!$A$15:$A$22,0))),0)),1,0),1))</f>
        <v/>
      </c>
    </row>
    <row r="1653">
      <c r="A1653" s="92" t="n"/>
      <c r="B1653" s="55" t="n"/>
      <c r="C1653" s="55" t="n"/>
      <c r="D1653" s="55" t="n"/>
      <c r="E1653" s="93" t="n"/>
      <c r="F1653" s="94" t="n"/>
      <c r="G1653" s="94" t="n"/>
      <c r="H1653" s="94" t="n"/>
      <c r="I1653" s="94" t="n"/>
      <c r="J1653" s="55" t="n"/>
      <c r="K1653" s="95" t="n"/>
      <c r="L1653" s="116">
        <f>IF($A1653="","",DATE(YEAR($A1653),MONTH($A1653)+IF(AND(IFERROR(N(INDEX(Übersicht!$M$15:$M$22,MATCH($B1653,Übersicht!$A$15:$A$22,0))),0)&gt;1,DAY($A1653)&gt;=IFERROR(N(INDEX(Übersicht!$M$15:$M$22,MATCH($B1653,Übersicht!$A$15:$A$22,0))),0)),1,0),1))</f>
        <v/>
      </c>
    </row>
    <row r="1654">
      <c r="A1654" s="92" t="n"/>
      <c r="B1654" s="55" t="n"/>
      <c r="C1654" s="55" t="n"/>
      <c r="D1654" s="55" t="n"/>
      <c r="E1654" s="93" t="n"/>
      <c r="F1654" s="94" t="n"/>
      <c r="G1654" s="94" t="n"/>
      <c r="H1654" s="94" t="n"/>
      <c r="I1654" s="94" t="n"/>
      <c r="J1654" s="55" t="n"/>
      <c r="K1654" s="95" t="n"/>
      <c r="L1654" s="116">
        <f>IF($A1654="","",DATE(YEAR($A1654),MONTH($A1654)+IF(AND(IFERROR(N(INDEX(Übersicht!$M$15:$M$22,MATCH($B1654,Übersicht!$A$15:$A$22,0))),0)&gt;1,DAY($A1654)&gt;=IFERROR(N(INDEX(Übersicht!$M$15:$M$22,MATCH($B1654,Übersicht!$A$15:$A$22,0))),0)),1,0),1))</f>
        <v/>
      </c>
    </row>
    <row r="1655">
      <c r="A1655" s="92" t="n"/>
      <c r="B1655" s="55" t="n"/>
      <c r="C1655" s="55" t="n"/>
      <c r="D1655" s="55" t="n"/>
      <c r="E1655" s="93" t="n"/>
      <c r="F1655" s="94" t="n"/>
      <c r="G1655" s="94" t="n"/>
      <c r="H1655" s="94" t="n"/>
      <c r="I1655" s="94" t="n"/>
      <c r="J1655" s="55" t="n"/>
      <c r="K1655" s="95" t="n"/>
      <c r="L1655" s="116">
        <f>IF($A1655="","",DATE(YEAR($A1655),MONTH($A1655)+IF(AND(IFERROR(N(INDEX(Übersicht!$M$15:$M$22,MATCH($B1655,Übersicht!$A$15:$A$22,0))),0)&gt;1,DAY($A1655)&gt;=IFERROR(N(INDEX(Übersicht!$M$15:$M$22,MATCH($B1655,Übersicht!$A$15:$A$22,0))),0)),1,0),1))</f>
        <v/>
      </c>
    </row>
    <row r="1656">
      <c r="A1656" s="92" t="n"/>
      <c r="B1656" s="55" t="n"/>
      <c r="C1656" s="55" t="n"/>
      <c r="D1656" s="55" t="n"/>
      <c r="E1656" s="93" t="n"/>
      <c r="F1656" s="94" t="n"/>
      <c r="G1656" s="94" t="n"/>
      <c r="H1656" s="94" t="n"/>
      <c r="I1656" s="94" t="n"/>
      <c r="J1656" s="55" t="n"/>
      <c r="K1656" s="95" t="n"/>
      <c r="L1656" s="116">
        <f>IF($A1656="","",DATE(YEAR($A1656),MONTH($A1656)+IF(AND(IFERROR(N(INDEX(Übersicht!$M$15:$M$22,MATCH($B1656,Übersicht!$A$15:$A$22,0))),0)&gt;1,DAY($A1656)&gt;=IFERROR(N(INDEX(Übersicht!$M$15:$M$22,MATCH($B1656,Übersicht!$A$15:$A$22,0))),0)),1,0),1))</f>
        <v/>
      </c>
    </row>
    <row r="1657">
      <c r="A1657" s="92" t="n"/>
      <c r="B1657" s="55" t="n"/>
      <c r="C1657" s="55" t="n"/>
      <c r="D1657" s="55" t="n"/>
      <c r="E1657" s="93" t="n"/>
      <c r="F1657" s="94" t="n"/>
      <c r="G1657" s="94" t="n"/>
      <c r="H1657" s="94" t="n"/>
      <c r="I1657" s="94" t="n"/>
      <c r="J1657" s="55" t="n"/>
      <c r="K1657" s="95" t="n"/>
      <c r="L1657" s="116">
        <f>IF($A1657="","",DATE(YEAR($A1657),MONTH($A1657)+IF(AND(IFERROR(N(INDEX(Übersicht!$M$15:$M$22,MATCH($B1657,Übersicht!$A$15:$A$22,0))),0)&gt;1,DAY($A1657)&gt;=IFERROR(N(INDEX(Übersicht!$M$15:$M$22,MATCH($B1657,Übersicht!$A$15:$A$22,0))),0)),1,0),1))</f>
        <v/>
      </c>
    </row>
    <row r="1658">
      <c r="A1658" s="92" t="n"/>
      <c r="B1658" s="55" t="n"/>
      <c r="C1658" s="55" t="n"/>
      <c r="D1658" s="55" t="n"/>
      <c r="E1658" s="93" t="n"/>
      <c r="F1658" s="94" t="n"/>
      <c r="G1658" s="94" t="n"/>
      <c r="H1658" s="94" t="n"/>
      <c r="I1658" s="94" t="n"/>
      <c r="J1658" s="55" t="n"/>
      <c r="K1658" s="95" t="n"/>
      <c r="L1658" s="116">
        <f>IF($A1658="","",DATE(YEAR($A1658),MONTH($A1658)+IF(AND(IFERROR(N(INDEX(Übersicht!$M$15:$M$22,MATCH($B1658,Übersicht!$A$15:$A$22,0))),0)&gt;1,DAY($A1658)&gt;=IFERROR(N(INDEX(Übersicht!$M$15:$M$22,MATCH($B1658,Übersicht!$A$15:$A$22,0))),0)),1,0),1))</f>
        <v/>
      </c>
    </row>
    <row r="1659">
      <c r="A1659" s="92" t="n"/>
      <c r="B1659" s="55" t="n"/>
      <c r="C1659" s="55" t="n"/>
      <c r="D1659" s="55" t="n"/>
      <c r="E1659" s="93" t="n"/>
      <c r="F1659" s="94" t="n"/>
      <c r="G1659" s="94" t="n"/>
      <c r="H1659" s="94" t="n"/>
      <c r="I1659" s="94" t="n"/>
      <c r="J1659" s="55" t="n"/>
      <c r="K1659" s="95" t="n"/>
      <c r="L1659" s="116">
        <f>IF($A1659="","",DATE(YEAR($A1659),MONTH($A1659)+IF(AND(IFERROR(N(INDEX(Übersicht!$M$15:$M$22,MATCH($B1659,Übersicht!$A$15:$A$22,0))),0)&gt;1,DAY($A1659)&gt;=IFERROR(N(INDEX(Übersicht!$M$15:$M$22,MATCH($B1659,Übersicht!$A$15:$A$22,0))),0)),1,0),1))</f>
        <v/>
      </c>
    </row>
    <row r="1660">
      <c r="A1660" s="92" t="n"/>
      <c r="B1660" s="55" t="n"/>
      <c r="C1660" s="55" t="n"/>
      <c r="D1660" s="55" t="n"/>
      <c r="E1660" s="93" t="n"/>
      <c r="F1660" s="94" t="n"/>
      <c r="G1660" s="94" t="n"/>
      <c r="H1660" s="94" t="n"/>
      <c r="I1660" s="94" t="n"/>
      <c r="J1660" s="55" t="n"/>
      <c r="K1660" s="95" t="n"/>
      <c r="L1660" s="116">
        <f>IF($A1660="","",DATE(YEAR($A1660),MONTH($A1660)+IF(AND(IFERROR(N(INDEX(Übersicht!$M$15:$M$22,MATCH($B1660,Übersicht!$A$15:$A$22,0))),0)&gt;1,DAY($A1660)&gt;=IFERROR(N(INDEX(Übersicht!$M$15:$M$22,MATCH($B1660,Übersicht!$A$15:$A$22,0))),0)),1,0),1))</f>
        <v/>
      </c>
    </row>
    <row r="1661">
      <c r="A1661" s="92" t="n"/>
      <c r="B1661" s="55" t="n"/>
      <c r="C1661" s="55" t="n"/>
      <c r="D1661" s="55" t="n"/>
      <c r="E1661" s="93" t="n"/>
      <c r="F1661" s="94" t="n"/>
      <c r="G1661" s="94" t="n"/>
      <c r="H1661" s="94" t="n"/>
      <c r="I1661" s="94" t="n"/>
      <c r="J1661" s="55" t="n"/>
      <c r="K1661" s="95" t="n"/>
      <c r="L1661" s="116">
        <f>IF($A1661="","",DATE(YEAR($A1661),MONTH($A1661)+IF(AND(IFERROR(N(INDEX(Übersicht!$M$15:$M$22,MATCH($B1661,Übersicht!$A$15:$A$22,0))),0)&gt;1,DAY($A1661)&gt;=IFERROR(N(INDEX(Übersicht!$M$15:$M$22,MATCH($B1661,Übersicht!$A$15:$A$22,0))),0)),1,0),1))</f>
        <v/>
      </c>
    </row>
    <row r="1662">
      <c r="A1662" s="92" t="n"/>
      <c r="B1662" s="55" t="n"/>
      <c r="C1662" s="55" t="n"/>
      <c r="D1662" s="55" t="n"/>
      <c r="E1662" s="93" t="n"/>
      <c r="F1662" s="94" t="n"/>
      <c r="G1662" s="94" t="n"/>
      <c r="H1662" s="94" t="n"/>
      <c r="I1662" s="94" t="n"/>
      <c r="J1662" s="55" t="n"/>
      <c r="K1662" s="95" t="n"/>
      <c r="L1662" s="116">
        <f>IF($A1662="","",DATE(YEAR($A1662),MONTH($A1662)+IF(AND(IFERROR(N(INDEX(Übersicht!$M$15:$M$22,MATCH($B1662,Übersicht!$A$15:$A$22,0))),0)&gt;1,DAY($A1662)&gt;=IFERROR(N(INDEX(Übersicht!$M$15:$M$22,MATCH($B1662,Übersicht!$A$15:$A$22,0))),0)),1,0),1))</f>
        <v/>
      </c>
    </row>
    <row r="1663">
      <c r="A1663" s="92" t="n"/>
      <c r="B1663" s="55" t="n"/>
      <c r="C1663" s="55" t="n"/>
      <c r="D1663" s="55" t="n"/>
      <c r="E1663" s="93" t="n"/>
      <c r="F1663" s="94" t="n"/>
      <c r="G1663" s="94" t="n"/>
      <c r="H1663" s="94" t="n"/>
      <c r="I1663" s="94" t="n"/>
      <c r="J1663" s="55" t="n"/>
      <c r="K1663" s="95" t="n"/>
      <c r="L1663" s="116">
        <f>IF($A1663="","",DATE(YEAR($A1663),MONTH($A1663)+IF(AND(IFERROR(N(INDEX(Übersicht!$M$15:$M$22,MATCH($B1663,Übersicht!$A$15:$A$22,0))),0)&gt;1,DAY($A1663)&gt;=IFERROR(N(INDEX(Übersicht!$M$15:$M$22,MATCH($B1663,Übersicht!$A$15:$A$22,0))),0)),1,0),1))</f>
        <v/>
      </c>
    </row>
    <row r="1664">
      <c r="A1664" s="92" t="n"/>
      <c r="B1664" s="55" t="n"/>
      <c r="C1664" s="55" t="n"/>
      <c r="D1664" s="55" t="n"/>
      <c r="E1664" s="93" t="n"/>
      <c r="F1664" s="94" t="n"/>
      <c r="G1664" s="94" t="n"/>
      <c r="H1664" s="94" t="n"/>
      <c r="I1664" s="94" t="n"/>
      <c r="J1664" s="55" t="n"/>
      <c r="K1664" s="95" t="n"/>
      <c r="L1664" s="116">
        <f>IF($A1664="","",DATE(YEAR($A1664),MONTH($A1664)+IF(AND(IFERROR(N(INDEX(Übersicht!$M$15:$M$22,MATCH($B1664,Übersicht!$A$15:$A$22,0))),0)&gt;1,DAY($A1664)&gt;=IFERROR(N(INDEX(Übersicht!$M$15:$M$22,MATCH($B1664,Übersicht!$A$15:$A$22,0))),0)),1,0),1))</f>
        <v/>
      </c>
    </row>
    <row r="1665">
      <c r="A1665" s="92" t="n"/>
      <c r="B1665" s="55" t="n"/>
      <c r="C1665" s="55" t="n"/>
      <c r="D1665" s="55" t="n"/>
      <c r="E1665" s="93" t="n"/>
      <c r="F1665" s="94" t="n"/>
      <c r="G1665" s="94" t="n"/>
      <c r="H1665" s="94" t="n"/>
      <c r="I1665" s="94" t="n"/>
      <c r="J1665" s="55" t="n"/>
      <c r="K1665" s="95" t="n"/>
      <c r="L1665" s="116">
        <f>IF($A1665="","",DATE(YEAR($A1665),MONTH($A1665)+IF(AND(IFERROR(N(INDEX(Übersicht!$M$15:$M$22,MATCH($B1665,Übersicht!$A$15:$A$22,0))),0)&gt;1,DAY($A1665)&gt;=IFERROR(N(INDEX(Übersicht!$M$15:$M$22,MATCH($B1665,Übersicht!$A$15:$A$22,0))),0)),1,0),1))</f>
        <v/>
      </c>
    </row>
    <row r="1666">
      <c r="A1666" s="92" t="n"/>
      <c r="B1666" s="55" t="n"/>
      <c r="C1666" s="55" t="n"/>
      <c r="D1666" s="55" t="n"/>
      <c r="E1666" s="93" t="n"/>
      <c r="F1666" s="94" t="n"/>
      <c r="G1666" s="94" t="n"/>
      <c r="H1666" s="94" t="n"/>
      <c r="I1666" s="94" t="n"/>
      <c r="J1666" s="55" t="n"/>
      <c r="K1666" s="95" t="n"/>
      <c r="L1666" s="116">
        <f>IF($A1666="","",DATE(YEAR($A1666),MONTH($A1666)+IF(AND(IFERROR(N(INDEX(Übersicht!$M$15:$M$22,MATCH($B1666,Übersicht!$A$15:$A$22,0))),0)&gt;1,DAY($A1666)&gt;=IFERROR(N(INDEX(Übersicht!$M$15:$M$22,MATCH($B1666,Übersicht!$A$15:$A$22,0))),0)),1,0),1))</f>
        <v/>
      </c>
    </row>
    <row r="1667">
      <c r="A1667" s="92" t="n"/>
      <c r="B1667" s="55" t="n"/>
      <c r="C1667" s="55" t="n"/>
      <c r="D1667" s="55" t="n"/>
      <c r="E1667" s="93" t="n"/>
      <c r="F1667" s="94" t="n"/>
      <c r="G1667" s="94" t="n"/>
      <c r="H1667" s="94" t="n"/>
      <c r="I1667" s="94" t="n"/>
      <c r="J1667" s="55" t="n"/>
      <c r="K1667" s="95" t="n"/>
      <c r="L1667" s="116">
        <f>IF($A1667="","",DATE(YEAR($A1667),MONTH($A1667)+IF(AND(IFERROR(N(INDEX(Übersicht!$M$15:$M$22,MATCH($B1667,Übersicht!$A$15:$A$22,0))),0)&gt;1,DAY($A1667)&gt;=IFERROR(N(INDEX(Übersicht!$M$15:$M$22,MATCH($B1667,Übersicht!$A$15:$A$22,0))),0)),1,0),1))</f>
        <v/>
      </c>
    </row>
    <row r="1668">
      <c r="A1668" s="92" t="n"/>
      <c r="B1668" s="55" t="n"/>
      <c r="C1668" s="55" t="n"/>
      <c r="D1668" s="55" t="n"/>
      <c r="E1668" s="93" t="n"/>
      <c r="F1668" s="94" t="n"/>
      <c r="G1668" s="94" t="n"/>
      <c r="H1668" s="94" t="n"/>
      <c r="I1668" s="94" t="n"/>
      <c r="J1668" s="55" t="n"/>
      <c r="K1668" s="95" t="n"/>
      <c r="L1668" s="116">
        <f>IF($A1668="","",DATE(YEAR($A1668),MONTH($A1668)+IF(AND(IFERROR(N(INDEX(Übersicht!$M$15:$M$22,MATCH($B1668,Übersicht!$A$15:$A$22,0))),0)&gt;1,DAY($A1668)&gt;=IFERROR(N(INDEX(Übersicht!$M$15:$M$22,MATCH($B1668,Übersicht!$A$15:$A$22,0))),0)),1,0),1))</f>
        <v/>
      </c>
    </row>
    <row r="1669">
      <c r="A1669" s="92" t="n"/>
      <c r="B1669" s="55" t="n"/>
      <c r="C1669" s="55" t="n"/>
      <c r="D1669" s="55" t="n"/>
      <c r="E1669" s="93" t="n"/>
      <c r="F1669" s="94" t="n"/>
      <c r="G1669" s="94" t="n"/>
      <c r="H1669" s="94" t="n"/>
      <c r="I1669" s="94" t="n"/>
      <c r="J1669" s="55" t="n"/>
      <c r="K1669" s="95" t="n"/>
      <c r="L1669" s="116">
        <f>IF($A1669="","",DATE(YEAR($A1669),MONTH($A1669)+IF(AND(IFERROR(N(INDEX(Übersicht!$M$15:$M$22,MATCH($B1669,Übersicht!$A$15:$A$22,0))),0)&gt;1,DAY($A1669)&gt;=IFERROR(N(INDEX(Übersicht!$M$15:$M$22,MATCH($B1669,Übersicht!$A$15:$A$22,0))),0)),1,0),1))</f>
        <v/>
      </c>
    </row>
    <row r="1670">
      <c r="A1670" s="92" t="n"/>
      <c r="B1670" s="55" t="n"/>
      <c r="C1670" s="55" t="n"/>
      <c r="D1670" s="55" t="n"/>
      <c r="E1670" s="93" t="n"/>
      <c r="F1670" s="94" t="n"/>
      <c r="G1670" s="94" t="n"/>
      <c r="H1670" s="94" t="n"/>
      <c r="I1670" s="94" t="n"/>
      <c r="J1670" s="55" t="n"/>
      <c r="K1670" s="95" t="n"/>
      <c r="L1670" s="116">
        <f>IF($A1670="","",DATE(YEAR($A1670),MONTH($A1670)+IF(AND(IFERROR(N(INDEX(Übersicht!$M$15:$M$22,MATCH($B1670,Übersicht!$A$15:$A$22,0))),0)&gt;1,DAY($A1670)&gt;=IFERROR(N(INDEX(Übersicht!$M$15:$M$22,MATCH($B1670,Übersicht!$A$15:$A$22,0))),0)),1,0),1))</f>
        <v/>
      </c>
    </row>
    <row r="1671">
      <c r="A1671" s="92" t="n"/>
      <c r="B1671" s="55" t="n"/>
      <c r="C1671" s="55" t="n"/>
      <c r="D1671" s="55" t="n"/>
      <c r="E1671" s="93" t="n"/>
      <c r="F1671" s="94" t="n"/>
      <c r="G1671" s="94" t="n"/>
      <c r="H1671" s="94" t="n"/>
      <c r="I1671" s="94" t="n"/>
      <c r="J1671" s="55" t="n"/>
      <c r="K1671" s="95" t="n"/>
      <c r="L1671" s="116">
        <f>IF($A1671="","",DATE(YEAR($A1671),MONTH($A1671)+IF(AND(IFERROR(N(INDEX(Übersicht!$M$15:$M$22,MATCH($B1671,Übersicht!$A$15:$A$22,0))),0)&gt;1,DAY($A1671)&gt;=IFERROR(N(INDEX(Übersicht!$M$15:$M$22,MATCH($B1671,Übersicht!$A$15:$A$22,0))),0)),1,0),1))</f>
        <v/>
      </c>
    </row>
    <row r="1672">
      <c r="A1672" s="92" t="n"/>
      <c r="B1672" s="55" t="n"/>
      <c r="C1672" s="55" t="n"/>
      <c r="D1672" s="55" t="n"/>
      <c r="E1672" s="93" t="n"/>
      <c r="F1672" s="94" t="n"/>
      <c r="G1672" s="94" t="n"/>
      <c r="H1672" s="94" t="n"/>
      <c r="I1672" s="94" t="n"/>
      <c r="J1672" s="55" t="n"/>
      <c r="K1672" s="95" t="n"/>
      <c r="L1672" s="116">
        <f>IF($A1672="","",DATE(YEAR($A1672),MONTH($A1672)+IF(AND(IFERROR(N(INDEX(Übersicht!$M$15:$M$22,MATCH($B1672,Übersicht!$A$15:$A$22,0))),0)&gt;1,DAY($A1672)&gt;=IFERROR(N(INDEX(Übersicht!$M$15:$M$22,MATCH($B1672,Übersicht!$A$15:$A$22,0))),0)),1,0),1))</f>
        <v/>
      </c>
    </row>
    <row r="1673">
      <c r="A1673" s="92" t="n"/>
      <c r="B1673" s="55" t="n"/>
      <c r="C1673" s="55" t="n"/>
      <c r="D1673" s="55" t="n"/>
      <c r="E1673" s="93" t="n"/>
      <c r="F1673" s="94" t="n"/>
      <c r="G1673" s="94" t="n"/>
      <c r="H1673" s="94" t="n"/>
      <c r="I1673" s="94" t="n"/>
      <c r="J1673" s="55" t="n"/>
      <c r="K1673" s="95" t="n"/>
      <c r="L1673" s="116">
        <f>IF($A1673="","",DATE(YEAR($A1673),MONTH($A1673)+IF(AND(IFERROR(N(INDEX(Übersicht!$M$15:$M$22,MATCH($B1673,Übersicht!$A$15:$A$22,0))),0)&gt;1,DAY($A1673)&gt;=IFERROR(N(INDEX(Übersicht!$M$15:$M$22,MATCH($B1673,Übersicht!$A$15:$A$22,0))),0)),1,0),1))</f>
        <v/>
      </c>
    </row>
    <row r="1674">
      <c r="A1674" s="92" t="n"/>
      <c r="B1674" s="55" t="n"/>
      <c r="C1674" s="55" t="n"/>
      <c r="D1674" s="55" t="n"/>
      <c r="E1674" s="93" t="n"/>
      <c r="F1674" s="94" t="n"/>
      <c r="G1674" s="94" t="n"/>
      <c r="H1674" s="94" t="n"/>
      <c r="I1674" s="94" t="n"/>
      <c r="J1674" s="55" t="n"/>
      <c r="K1674" s="95" t="n"/>
      <c r="L1674" s="116">
        <f>IF($A1674="","",DATE(YEAR($A1674),MONTH($A1674)+IF(AND(IFERROR(N(INDEX(Übersicht!$M$15:$M$22,MATCH($B1674,Übersicht!$A$15:$A$22,0))),0)&gt;1,DAY($A1674)&gt;=IFERROR(N(INDEX(Übersicht!$M$15:$M$22,MATCH($B1674,Übersicht!$A$15:$A$22,0))),0)),1,0),1))</f>
        <v/>
      </c>
    </row>
    <row r="1675">
      <c r="A1675" s="92" t="n"/>
      <c r="B1675" s="55" t="n"/>
      <c r="C1675" s="55" t="n"/>
      <c r="D1675" s="55" t="n"/>
      <c r="E1675" s="93" t="n"/>
      <c r="F1675" s="94" t="n"/>
      <c r="G1675" s="94" t="n"/>
      <c r="H1675" s="94" t="n"/>
      <c r="I1675" s="94" t="n"/>
      <c r="J1675" s="55" t="n"/>
      <c r="K1675" s="95" t="n"/>
      <c r="L1675" s="116">
        <f>IF($A1675="","",DATE(YEAR($A1675),MONTH($A1675)+IF(AND(IFERROR(N(INDEX(Übersicht!$M$15:$M$22,MATCH($B1675,Übersicht!$A$15:$A$22,0))),0)&gt;1,DAY($A1675)&gt;=IFERROR(N(INDEX(Übersicht!$M$15:$M$22,MATCH($B1675,Übersicht!$A$15:$A$22,0))),0)),1,0),1))</f>
        <v/>
      </c>
    </row>
    <row r="1676">
      <c r="A1676" s="92" t="n"/>
      <c r="B1676" s="55" t="n"/>
      <c r="C1676" s="55" t="n"/>
      <c r="D1676" s="55" t="n"/>
      <c r="E1676" s="93" t="n"/>
      <c r="F1676" s="94" t="n"/>
      <c r="G1676" s="94" t="n"/>
      <c r="H1676" s="94" t="n"/>
      <c r="I1676" s="94" t="n"/>
      <c r="J1676" s="55" t="n"/>
      <c r="K1676" s="95" t="n"/>
      <c r="L1676" s="116">
        <f>IF($A1676="","",DATE(YEAR($A1676),MONTH($A1676)+IF(AND(IFERROR(N(INDEX(Übersicht!$M$15:$M$22,MATCH($B1676,Übersicht!$A$15:$A$22,0))),0)&gt;1,DAY($A1676)&gt;=IFERROR(N(INDEX(Übersicht!$M$15:$M$22,MATCH($B1676,Übersicht!$A$15:$A$22,0))),0)),1,0),1))</f>
        <v/>
      </c>
    </row>
    <row r="1677">
      <c r="A1677" s="92" t="n"/>
      <c r="B1677" s="55" t="n"/>
      <c r="C1677" s="55" t="n"/>
      <c r="D1677" s="55" t="n"/>
      <c r="E1677" s="93" t="n"/>
      <c r="F1677" s="94" t="n"/>
      <c r="G1677" s="94" t="n"/>
      <c r="H1677" s="94" t="n"/>
      <c r="I1677" s="94" t="n"/>
      <c r="J1677" s="55" t="n"/>
      <c r="K1677" s="95" t="n"/>
      <c r="L1677" s="116">
        <f>IF($A1677="","",DATE(YEAR($A1677),MONTH($A1677)+IF(AND(IFERROR(N(INDEX(Übersicht!$M$15:$M$22,MATCH($B1677,Übersicht!$A$15:$A$22,0))),0)&gt;1,DAY($A1677)&gt;=IFERROR(N(INDEX(Übersicht!$M$15:$M$22,MATCH($B1677,Übersicht!$A$15:$A$22,0))),0)),1,0),1))</f>
        <v/>
      </c>
    </row>
    <row r="1678">
      <c r="A1678" s="92" t="n"/>
      <c r="B1678" s="55" t="n"/>
      <c r="C1678" s="55" t="n"/>
      <c r="D1678" s="55" t="n"/>
      <c r="E1678" s="93" t="n"/>
      <c r="F1678" s="94" t="n"/>
      <c r="G1678" s="94" t="n"/>
      <c r="H1678" s="94" t="n"/>
      <c r="I1678" s="94" t="n"/>
      <c r="J1678" s="55" t="n"/>
      <c r="K1678" s="95" t="n"/>
      <c r="L1678" s="116">
        <f>IF($A1678="","",DATE(YEAR($A1678),MONTH($A1678)+IF(AND(IFERROR(N(INDEX(Übersicht!$M$15:$M$22,MATCH($B1678,Übersicht!$A$15:$A$22,0))),0)&gt;1,DAY($A1678)&gt;=IFERROR(N(INDEX(Übersicht!$M$15:$M$22,MATCH($B1678,Übersicht!$A$15:$A$22,0))),0)),1,0),1))</f>
        <v/>
      </c>
    </row>
    <row r="1679">
      <c r="A1679" s="92" t="n"/>
      <c r="B1679" s="55" t="n"/>
      <c r="C1679" s="55" t="n"/>
      <c r="D1679" s="55" t="n"/>
      <c r="E1679" s="93" t="n"/>
      <c r="F1679" s="94" t="n"/>
      <c r="G1679" s="94" t="n"/>
      <c r="H1679" s="94" t="n"/>
      <c r="I1679" s="94" t="n"/>
      <c r="J1679" s="55" t="n"/>
      <c r="K1679" s="95" t="n"/>
      <c r="L1679" s="116">
        <f>IF($A1679="","",DATE(YEAR($A1679),MONTH($A1679)+IF(AND(IFERROR(N(INDEX(Übersicht!$M$15:$M$22,MATCH($B1679,Übersicht!$A$15:$A$22,0))),0)&gt;1,DAY($A1679)&gt;=IFERROR(N(INDEX(Übersicht!$M$15:$M$22,MATCH($B1679,Übersicht!$A$15:$A$22,0))),0)),1,0),1))</f>
        <v/>
      </c>
    </row>
    <row r="1680">
      <c r="A1680" s="92" t="n"/>
      <c r="B1680" s="55" t="n"/>
      <c r="C1680" s="55" t="n"/>
      <c r="D1680" s="55" t="n"/>
      <c r="E1680" s="93" t="n"/>
      <c r="F1680" s="94" t="n"/>
      <c r="G1680" s="94" t="n"/>
      <c r="H1680" s="94" t="n"/>
      <c r="I1680" s="94" t="n"/>
      <c r="J1680" s="55" t="n"/>
      <c r="K1680" s="95" t="n"/>
      <c r="L1680" s="116">
        <f>IF($A1680="","",DATE(YEAR($A1680),MONTH($A1680)+IF(AND(IFERROR(N(INDEX(Übersicht!$M$15:$M$22,MATCH($B1680,Übersicht!$A$15:$A$22,0))),0)&gt;1,DAY($A1680)&gt;=IFERROR(N(INDEX(Übersicht!$M$15:$M$22,MATCH($B1680,Übersicht!$A$15:$A$22,0))),0)),1,0),1))</f>
        <v/>
      </c>
    </row>
    <row r="1681">
      <c r="A1681" s="92" t="n"/>
      <c r="B1681" s="55" t="n"/>
      <c r="C1681" s="55" t="n"/>
      <c r="D1681" s="55" t="n"/>
      <c r="E1681" s="93" t="n"/>
      <c r="F1681" s="94" t="n"/>
      <c r="G1681" s="94" t="n"/>
      <c r="H1681" s="94" t="n"/>
      <c r="I1681" s="94" t="n"/>
      <c r="J1681" s="55" t="n"/>
      <c r="K1681" s="95" t="n"/>
      <c r="L1681" s="116">
        <f>IF($A1681="","",DATE(YEAR($A1681),MONTH($A1681)+IF(AND(IFERROR(N(INDEX(Übersicht!$M$15:$M$22,MATCH($B1681,Übersicht!$A$15:$A$22,0))),0)&gt;1,DAY($A1681)&gt;=IFERROR(N(INDEX(Übersicht!$M$15:$M$22,MATCH($B1681,Übersicht!$A$15:$A$22,0))),0)),1,0),1))</f>
        <v/>
      </c>
    </row>
    <row r="1682">
      <c r="A1682" s="92" t="n"/>
      <c r="B1682" s="55" t="n"/>
      <c r="C1682" s="55" t="n"/>
      <c r="D1682" s="55" t="n"/>
      <c r="E1682" s="93" t="n"/>
      <c r="F1682" s="94" t="n"/>
      <c r="G1682" s="94" t="n"/>
      <c r="H1682" s="94" t="n"/>
      <c r="I1682" s="94" t="n"/>
      <c r="J1682" s="55" t="n"/>
      <c r="K1682" s="95" t="n"/>
      <c r="L1682" s="116">
        <f>IF($A1682="","",DATE(YEAR($A1682),MONTH($A1682)+IF(AND(IFERROR(N(INDEX(Übersicht!$M$15:$M$22,MATCH($B1682,Übersicht!$A$15:$A$22,0))),0)&gt;1,DAY($A1682)&gt;=IFERROR(N(INDEX(Übersicht!$M$15:$M$22,MATCH($B1682,Übersicht!$A$15:$A$22,0))),0)),1,0),1))</f>
        <v/>
      </c>
    </row>
    <row r="1683">
      <c r="A1683" s="92" t="n"/>
      <c r="B1683" s="55" t="n"/>
      <c r="C1683" s="55" t="n"/>
      <c r="D1683" s="55" t="n"/>
      <c r="E1683" s="93" t="n"/>
      <c r="F1683" s="94" t="n"/>
      <c r="G1683" s="94" t="n"/>
      <c r="H1683" s="94" t="n"/>
      <c r="I1683" s="94" t="n"/>
      <c r="J1683" s="55" t="n"/>
      <c r="K1683" s="95" t="n"/>
      <c r="L1683" s="116">
        <f>IF($A1683="","",DATE(YEAR($A1683),MONTH($A1683)+IF(AND(IFERROR(N(INDEX(Übersicht!$M$15:$M$22,MATCH($B1683,Übersicht!$A$15:$A$22,0))),0)&gt;1,DAY($A1683)&gt;=IFERROR(N(INDEX(Übersicht!$M$15:$M$22,MATCH($B1683,Übersicht!$A$15:$A$22,0))),0)),1,0),1))</f>
        <v/>
      </c>
    </row>
    <row r="1684">
      <c r="A1684" s="92" t="n"/>
      <c r="B1684" s="55" t="n"/>
      <c r="C1684" s="55" t="n"/>
      <c r="D1684" s="55" t="n"/>
      <c r="E1684" s="93" t="n"/>
      <c r="F1684" s="94" t="n"/>
      <c r="G1684" s="94" t="n"/>
      <c r="H1684" s="94" t="n"/>
      <c r="I1684" s="94" t="n"/>
      <c r="J1684" s="55" t="n"/>
      <c r="K1684" s="95" t="n"/>
      <c r="L1684" s="116">
        <f>IF($A1684="","",DATE(YEAR($A1684),MONTH($A1684)+IF(AND(IFERROR(N(INDEX(Übersicht!$M$15:$M$22,MATCH($B1684,Übersicht!$A$15:$A$22,0))),0)&gt;1,DAY($A1684)&gt;=IFERROR(N(INDEX(Übersicht!$M$15:$M$22,MATCH($B1684,Übersicht!$A$15:$A$22,0))),0)),1,0),1))</f>
        <v/>
      </c>
    </row>
    <row r="1685">
      <c r="A1685" s="92" t="n"/>
      <c r="B1685" s="55" t="n"/>
      <c r="C1685" s="55" t="n"/>
      <c r="D1685" s="55" t="n"/>
      <c r="E1685" s="93" t="n"/>
      <c r="F1685" s="94" t="n"/>
      <c r="G1685" s="94" t="n"/>
      <c r="H1685" s="94" t="n"/>
      <c r="I1685" s="94" t="n"/>
      <c r="J1685" s="55" t="n"/>
      <c r="K1685" s="95" t="n"/>
      <c r="L1685" s="116">
        <f>IF($A1685="","",DATE(YEAR($A1685),MONTH($A1685)+IF(AND(IFERROR(N(INDEX(Übersicht!$M$15:$M$22,MATCH($B1685,Übersicht!$A$15:$A$22,0))),0)&gt;1,DAY($A1685)&gt;=IFERROR(N(INDEX(Übersicht!$M$15:$M$22,MATCH($B1685,Übersicht!$A$15:$A$22,0))),0)),1,0),1))</f>
        <v/>
      </c>
    </row>
    <row r="1686">
      <c r="A1686" s="92" t="n"/>
      <c r="B1686" s="55" t="n"/>
      <c r="C1686" s="55" t="n"/>
      <c r="D1686" s="55" t="n"/>
      <c r="E1686" s="93" t="n"/>
      <c r="F1686" s="94" t="n"/>
      <c r="G1686" s="94" t="n"/>
      <c r="H1686" s="94" t="n"/>
      <c r="I1686" s="94" t="n"/>
      <c r="J1686" s="55" t="n"/>
      <c r="K1686" s="95" t="n"/>
      <c r="L1686" s="116">
        <f>IF($A1686="","",DATE(YEAR($A1686),MONTH($A1686)+IF(AND(IFERROR(N(INDEX(Übersicht!$M$15:$M$22,MATCH($B1686,Übersicht!$A$15:$A$22,0))),0)&gt;1,DAY($A1686)&gt;=IFERROR(N(INDEX(Übersicht!$M$15:$M$22,MATCH($B1686,Übersicht!$A$15:$A$22,0))),0)),1,0),1))</f>
        <v/>
      </c>
    </row>
    <row r="1687">
      <c r="A1687" s="92" t="n"/>
      <c r="B1687" s="55" t="n"/>
      <c r="C1687" s="55" t="n"/>
      <c r="D1687" s="55" t="n"/>
      <c r="E1687" s="93" t="n"/>
      <c r="F1687" s="94" t="n"/>
      <c r="G1687" s="94" t="n"/>
      <c r="H1687" s="94" t="n"/>
      <c r="I1687" s="94" t="n"/>
      <c r="J1687" s="55" t="n"/>
      <c r="K1687" s="95" t="n"/>
      <c r="L1687" s="116">
        <f>IF($A1687="","",DATE(YEAR($A1687),MONTH($A1687)+IF(AND(IFERROR(N(INDEX(Übersicht!$M$15:$M$22,MATCH($B1687,Übersicht!$A$15:$A$22,0))),0)&gt;1,DAY($A1687)&gt;=IFERROR(N(INDEX(Übersicht!$M$15:$M$22,MATCH($B1687,Übersicht!$A$15:$A$22,0))),0)),1,0),1))</f>
        <v/>
      </c>
    </row>
    <row r="1688">
      <c r="A1688" s="92" t="n"/>
      <c r="B1688" s="55" t="n"/>
      <c r="C1688" s="55" t="n"/>
      <c r="D1688" s="55" t="n"/>
      <c r="E1688" s="93" t="n"/>
      <c r="F1688" s="94" t="n"/>
      <c r="G1688" s="94" t="n"/>
      <c r="H1688" s="94" t="n"/>
      <c r="I1688" s="94" t="n"/>
      <c r="J1688" s="55" t="n"/>
      <c r="K1688" s="95" t="n"/>
      <c r="L1688" s="116">
        <f>IF($A1688="","",DATE(YEAR($A1688),MONTH($A1688)+IF(AND(IFERROR(N(INDEX(Übersicht!$M$15:$M$22,MATCH($B1688,Übersicht!$A$15:$A$22,0))),0)&gt;1,DAY($A1688)&gt;=IFERROR(N(INDEX(Übersicht!$M$15:$M$22,MATCH($B1688,Übersicht!$A$15:$A$22,0))),0)),1,0),1))</f>
        <v/>
      </c>
    </row>
    <row r="1689">
      <c r="A1689" s="92" t="n"/>
      <c r="B1689" s="55" t="n"/>
      <c r="C1689" s="55" t="n"/>
      <c r="D1689" s="55" t="n"/>
      <c r="E1689" s="93" t="n"/>
      <c r="F1689" s="94" t="n"/>
      <c r="G1689" s="94" t="n"/>
      <c r="H1689" s="94" t="n"/>
      <c r="I1689" s="94" t="n"/>
      <c r="J1689" s="55" t="n"/>
      <c r="K1689" s="95" t="n"/>
      <c r="L1689" s="116">
        <f>IF($A1689="","",DATE(YEAR($A1689),MONTH($A1689)+IF(AND(IFERROR(N(INDEX(Übersicht!$M$15:$M$22,MATCH($B1689,Übersicht!$A$15:$A$22,0))),0)&gt;1,DAY($A1689)&gt;=IFERROR(N(INDEX(Übersicht!$M$15:$M$22,MATCH($B1689,Übersicht!$A$15:$A$22,0))),0)),1,0),1))</f>
        <v/>
      </c>
    </row>
    <row r="1690">
      <c r="A1690" s="92" t="n"/>
      <c r="B1690" s="55" t="n"/>
      <c r="C1690" s="55" t="n"/>
      <c r="D1690" s="55" t="n"/>
      <c r="E1690" s="93" t="n"/>
      <c r="F1690" s="94" t="n"/>
      <c r="G1690" s="94" t="n"/>
      <c r="H1690" s="94" t="n"/>
      <c r="I1690" s="94" t="n"/>
      <c r="J1690" s="55" t="n"/>
      <c r="K1690" s="95" t="n"/>
      <c r="L1690" s="116">
        <f>IF($A1690="","",DATE(YEAR($A1690),MONTH($A1690)+IF(AND(IFERROR(N(INDEX(Übersicht!$M$15:$M$22,MATCH($B1690,Übersicht!$A$15:$A$22,0))),0)&gt;1,DAY($A1690)&gt;=IFERROR(N(INDEX(Übersicht!$M$15:$M$22,MATCH($B1690,Übersicht!$A$15:$A$22,0))),0)),1,0),1))</f>
        <v/>
      </c>
    </row>
    <row r="1691">
      <c r="A1691" s="92" t="n"/>
      <c r="B1691" s="55" t="n"/>
      <c r="C1691" s="55" t="n"/>
      <c r="D1691" s="55" t="n"/>
      <c r="E1691" s="93" t="n"/>
      <c r="F1691" s="94" t="n"/>
      <c r="G1691" s="94" t="n"/>
      <c r="H1691" s="94" t="n"/>
      <c r="I1691" s="94" t="n"/>
      <c r="J1691" s="55" t="n"/>
      <c r="K1691" s="95" t="n"/>
      <c r="L1691" s="116">
        <f>IF($A1691="","",DATE(YEAR($A1691),MONTH($A1691)+IF(AND(IFERROR(N(INDEX(Übersicht!$M$15:$M$22,MATCH($B1691,Übersicht!$A$15:$A$22,0))),0)&gt;1,DAY($A1691)&gt;=IFERROR(N(INDEX(Übersicht!$M$15:$M$22,MATCH($B1691,Übersicht!$A$15:$A$22,0))),0)),1,0),1))</f>
        <v/>
      </c>
    </row>
    <row r="1692">
      <c r="A1692" s="92" t="n"/>
      <c r="B1692" s="55" t="n"/>
      <c r="C1692" s="55" t="n"/>
      <c r="D1692" s="55" t="n"/>
      <c r="E1692" s="93" t="n"/>
      <c r="F1692" s="94" t="n"/>
      <c r="G1692" s="94" t="n"/>
      <c r="H1692" s="94" t="n"/>
      <c r="I1692" s="94" t="n"/>
      <c r="J1692" s="55" t="n"/>
      <c r="K1692" s="95" t="n"/>
      <c r="L1692" s="116">
        <f>IF($A1692="","",DATE(YEAR($A1692),MONTH($A1692)+IF(AND(IFERROR(N(INDEX(Übersicht!$M$15:$M$22,MATCH($B1692,Übersicht!$A$15:$A$22,0))),0)&gt;1,DAY($A1692)&gt;=IFERROR(N(INDEX(Übersicht!$M$15:$M$22,MATCH($B1692,Übersicht!$A$15:$A$22,0))),0)),1,0),1))</f>
        <v/>
      </c>
    </row>
    <row r="1693">
      <c r="A1693" s="92" t="n"/>
      <c r="B1693" s="55" t="n"/>
      <c r="C1693" s="55" t="n"/>
      <c r="D1693" s="55" t="n"/>
      <c r="E1693" s="93" t="n"/>
      <c r="F1693" s="94" t="n"/>
      <c r="G1693" s="94" t="n"/>
      <c r="H1693" s="94" t="n"/>
      <c r="I1693" s="94" t="n"/>
      <c r="J1693" s="55" t="n"/>
      <c r="K1693" s="95" t="n"/>
      <c r="L1693" s="116">
        <f>IF($A1693="","",DATE(YEAR($A1693),MONTH($A1693)+IF(AND(IFERROR(N(INDEX(Übersicht!$M$15:$M$22,MATCH($B1693,Übersicht!$A$15:$A$22,0))),0)&gt;1,DAY($A1693)&gt;=IFERROR(N(INDEX(Übersicht!$M$15:$M$22,MATCH($B1693,Übersicht!$A$15:$A$22,0))),0)),1,0),1))</f>
        <v/>
      </c>
    </row>
    <row r="1694">
      <c r="A1694" s="92" t="n"/>
      <c r="B1694" s="55" t="n"/>
      <c r="C1694" s="55" t="n"/>
      <c r="D1694" s="55" t="n"/>
      <c r="E1694" s="93" t="n"/>
      <c r="F1694" s="94" t="n"/>
      <c r="G1694" s="94" t="n"/>
      <c r="H1694" s="94" t="n"/>
      <c r="I1694" s="94" t="n"/>
      <c r="J1694" s="55" t="n"/>
      <c r="K1694" s="95" t="n"/>
      <c r="L1694" s="116">
        <f>IF($A1694="","",DATE(YEAR($A1694),MONTH($A1694)+IF(AND(IFERROR(N(INDEX(Übersicht!$M$15:$M$22,MATCH($B1694,Übersicht!$A$15:$A$22,0))),0)&gt;1,DAY($A1694)&gt;=IFERROR(N(INDEX(Übersicht!$M$15:$M$22,MATCH($B1694,Übersicht!$A$15:$A$22,0))),0)),1,0),1))</f>
        <v/>
      </c>
    </row>
    <row r="1695">
      <c r="A1695" s="92" t="n"/>
      <c r="B1695" s="55" t="n"/>
      <c r="C1695" s="55" t="n"/>
      <c r="D1695" s="55" t="n"/>
      <c r="E1695" s="93" t="n"/>
      <c r="F1695" s="94" t="n"/>
      <c r="G1695" s="94" t="n"/>
      <c r="H1695" s="94" t="n"/>
      <c r="I1695" s="94" t="n"/>
      <c r="J1695" s="55" t="n"/>
      <c r="K1695" s="95" t="n"/>
      <c r="L1695" s="116">
        <f>IF($A1695="","",DATE(YEAR($A1695),MONTH($A1695)+IF(AND(IFERROR(N(INDEX(Übersicht!$M$15:$M$22,MATCH($B1695,Übersicht!$A$15:$A$22,0))),0)&gt;1,DAY($A1695)&gt;=IFERROR(N(INDEX(Übersicht!$M$15:$M$22,MATCH($B1695,Übersicht!$A$15:$A$22,0))),0)),1,0),1))</f>
        <v/>
      </c>
    </row>
    <row r="1696">
      <c r="A1696" s="92" t="n"/>
      <c r="B1696" s="55" t="n"/>
      <c r="C1696" s="55" t="n"/>
      <c r="D1696" s="55" t="n"/>
      <c r="E1696" s="93" t="n"/>
      <c r="F1696" s="94" t="n"/>
      <c r="G1696" s="94" t="n"/>
      <c r="H1696" s="94" t="n"/>
      <c r="I1696" s="94" t="n"/>
      <c r="J1696" s="55" t="n"/>
      <c r="K1696" s="95" t="n"/>
      <c r="L1696" s="116">
        <f>IF($A1696="","",DATE(YEAR($A1696),MONTH($A1696)+IF(AND(IFERROR(N(INDEX(Übersicht!$M$15:$M$22,MATCH($B1696,Übersicht!$A$15:$A$22,0))),0)&gt;1,DAY($A1696)&gt;=IFERROR(N(INDEX(Übersicht!$M$15:$M$22,MATCH($B1696,Übersicht!$A$15:$A$22,0))),0)),1,0),1))</f>
        <v/>
      </c>
    </row>
    <row r="1697">
      <c r="A1697" s="92" t="n"/>
      <c r="B1697" s="55" t="n"/>
      <c r="C1697" s="55" t="n"/>
      <c r="D1697" s="55" t="n"/>
      <c r="E1697" s="93" t="n"/>
      <c r="F1697" s="94" t="n"/>
      <c r="G1697" s="94" t="n"/>
      <c r="H1697" s="94" t="n"/>
      <c r="I1697" s="94" t="n"/>
      <c r="J1697" s="55" t="n"/>
      <c r="K1697" s="95" t="n"/>
      <c r="L1697" s="116">
        <f>IF($A1697="","",DATE(YEAR($A1697),MONTH($A1697)+IF(AND(IFERROR(N(INDEX(Übersicht!$M$15:$M$22,MATCH($B1697,Übersicht!$A$15:$A$22,0))),0)&gt;1,DAY($A1697)&gt;=IFERROR(N(INDEX(Übersicht!$M$15:$M$22,MATCH($B1697,Übersicht!$A$15:$A$22,0))),0)),1,0),1))</f>
        <v/>
      </c>
    </row>
    <row r="1698">
      <c r="A1698" s="92" t="n"/>
      <c r="B1698" s="55" t="n"/>
      <c r="C1698" s="55" t="n"/>
      <c r="D1698" s="55" t="n"/>
      <c r="E1698" s="93" t="n"/>
      <c r="F1698" s="94" t="n"/>
      <c r="G1698" s="94" t="n"/>
      <c r="H1698" s="94" t="n"/>
      <c r="I1698" s="94" t="n"/>
      <c r="J1698" s="55" t="n"/>
      <c r="K1698" s="95" t="n"/>
      <c r="L1698" s="116">
        <f>IF($A1698="","",DATE(YEAR($A1698),MONTH($A1698)+IF(AND(IFERROR(N(INDEX(Übersicht!$M$15:$M$22,MATCH($B1698,Übersicht!$A$15:$A$22,0))),0)&gt;1,DAY($A1698)&gt;=IFERROR(N(INDEX(Übersicht!$M$15:$M$22,MATCH($B1698,Übersicht!$A$15:$A$22,0))),0)),1,0),1))</f>
        <v/>
      </c>
    </row>
    <row r="1699">
      <c r="A1699" s="92" t="n"/>
      <c r="B1699" s="55" t="n"/>
      <c r="C1699" s="55" t="n"/>
      <c r="D1699" s="55" t="n"/>
      <c r="E1699" s="93" t="n"/>
      <c r="F1699" s="94" t="n"/>
      <c r="G1699" s="94" t="n"/>
      <c r="H1699" s="94" t="n"/>
      <c r="I1699" s="94" t="n"/>
      <c r="J1699" s="55" t="n"/>
      <c r="K1699" s="95" t="n"/>
      <c r="L1699" s="116">
        <f>IF($A1699="","",DATE(YEAR($A1699),MONTH($A1699)+IF(AND(IFERROR(N(INDEX(Übersicht!$M$15:$M$22,MATCH($B1699,Übersicht!$A$15:$A$22,0))),0)&gt;1,DAY($A1699)&gt;=IFERROR(N(INDEX(Übersicht!$M$15:$M$22,MATCH($B1699,Übersicht!$A$15:$A$22,0))),0)),1,0),1))</f>
        <v/>
      </c>
    </row>
    <row r="1700">
      <c r="A1700" s="92" t="n"/>
      <c r="B1700" s="55" t="n"/>
      <c r="C1700" s="55" t="n"/>
      <c r="D1700" s="55" t="n"/>
      <c r="E1700" s="93" t="n"/>
      <c r="F1700" s="94" t="n"/>
      <c r="G1700" s="94" t="n"/>
      <c r="H1700" s="94" t="n"/>
      <c r="I1700" s="94" t="n"/>
      <c r="J1700" s="55" t="n"/>
      <c r="K1700" s="95" t="n"/>
      <c r="L1700" s="116">
        <f>IF($A1700="","",DATE(YEAR($A1700),MONTH($A1700)+IF(AND(IFERROR(N(INDEX(Übersicht!$M$15:$M$22,MATCH($B1700,Übersicht!$A$15:$A$22,0))),0)&gt;1,DAY($A1700)&gt;=IFERROR(N(INDEX(Übersicht!$M$15:$M$22,MATCH($B1700,Übersicht!$A$15:$A$22,0))),0)),1,0),1))</f>
        <v/>
      </c>
    </row>
    <row r="1701">
      <c r="A1701" s="92" t="n"/>
      <c r="B1701" s="55" t="n"/>
      <c r="C1701" s="55" t="n"/>
      <c r="D1701" s="55" t="n"/>
      <c r="E1701" s="93" t="n"/>
      <c r="F1701" s="94" t="n"/>
      <c r="G1701" s="94" t="n"/>
      <c r="H1701" s="94" t="n"/>
      <c r="I1701" s="94" t="n"/>
      <c r="J1701" s="55" t="n"/>
      <c r="K1701" s="95" t="n"/>
      <c r="L1701" s="116">
        <f>IF($A1701="","",DATE(YEAR($A1701),MONTH($A1701)+IF(AND(IFERROR(N(INDEX(Übersicht!$M$15:$M$22,MATCH($B1701,Übersicht!$A$15:$A$22,0))),0)&gt;1,DAY($A1701)&gt;=IFERROR(N(INDEX(Übersicht!$M$15:$M$22,MATCH($B1701,Übersicht!$A$15:$A$22,0))),0)),1,0),1))</f>
        <v/>
      </c>
    </row>
    <row r="1702">
      <c r="A1702" s="92" t="n"/>
      <c r="B1702" s="55" t="n"/>
      <c r="C1702" s="55" t="n"/>
      <c r="D1702" s="55" t="n"/>
      <c r="E1702" s="93" t="n"/>
      <c r="F1702" s="94" t="n"/>
      <c r="G1702" s="94" t="n"/>
      <c r="H1702" s="94" t="n"/>
      <c r="I1702" s="94" t="n"/>
      <c r="J1702" s="55" t="n"/>
      <c r="K1702" s="95" t="n"/>
      <c r="L1702" s="116">
        <f>IF($A1702="","",DATE(YEAR($A1702),MONTH($A1702)+IF(AND(IFERROR(N(INDEX(Übersicht!$M$15:$M$22,MATCH($B1702,Übersicht!$A$15:$A$22,0))),0)&gt;1,DAY($A1702)&gt;=IFERROR(N(INDEX(Übersicht!$M$15:$M$22,MATCH($B1702,Übersicht!$A$15:$A$22,0))),0)),1,0),1))</f>
        <v/>
      </c>
    </row>
    <row r="1703">
      <c r="A1703" s="92" t="n"/>
      <c r="B1703" s="55" t="n"/>
      <c r="C1703" s="55" t="n"/>
      <c r="D1703" s="55" t="n"/>
      <c r="E1703" s="93" t="n"/>
      <c r="F1703" s="94" t="n"/>
      <c r="G1703" s="94" t="n"/>
      <c r="H1703" s="94" t="n"/>
      <c r="I1703" s="94" t="n"/>
      <c r="J1703" s="55" t="n"/>
      <c r="K1703" s="95" t="n"/>
      <c r="L1703" s="116">
        <f>IF($A1703="","",DATE(YEAR($A1703),MONTH($A1703)+IF(AND(IFERROR(N(INDEX(Übersicht!$M$15:$M$22,MATCH($B1703,Übersicht!$A$15:$A$22,0))),0)&gt;1,DAY($A1703)&gt;=IFERROR(N(INDEX(Übersicht!$M$15:$M$22,MATCH($B1703,Übersicht!$A$15:$A$22,0))),0)),1,0),1))</f>
        <v/>
      </c>
    </row>
    <row r="1704">
      <c r="A1704" s="92" t="n"/>
      <c r="B1704" s="55" t="n"/>
      <c r="C1704" s="55" t="n"/>
      <c r="D1704" s="55" t="n"/>
      <c r="E1704" s="93" t="n"/>
      <c r="F1704" s="94" t="n"/>
      <c r="G1704" s="94" t="n"/>
      <c r="H1704" s="94" t="n"/>
      <c r="I1704" s="94" t="n"/>
      <c r="J1704" s="55" t="n"/>
      <c r="K1704" s="95" t="n"/>
      <c r="L1704" s="116">
        <f>IF($A1704="","",DATE(YEAR($A1704),MONTH($A1704)+IF(AND(IFERROR(N(INDEX(Übersicht!$M$15:$M$22,MATCH($B1704,Übersicht!$A$15:$A$22,0))),0)&gt;1,DAY($A1704)&gt;=IFERROR(N(INDEX(Übersicht!$M$15:$M$22,MATCH($B1704,Übersicht!$A$15:$A$22,0))),0)),1,0),1))</f>
        <v/>
      </c>
    </row>
    <row r="1705">
      <c r="A1705" s="92" t="n"/>
      <c r="B1705" s="55" t="n"/>
      <c r="C1705" s="55" t="n"/>
      <c r="D1705" s="55" t="n"/>
      <c r="E1705" s="93" t="n"/>
      <c r="F1705" s="94" t="n"/>
      <c r="G1705" s="94" t="n"/>
      <c r="H1705" s="94" t="n"/>
      <c r="I1705" s="94" t="n"/>
      <c r="J1705" s="55" t="n"/>
      <c r="K1705" s="95" t="n"/>
      <c r="L1705" s="116">
        <f>IF($A1705="","",DATE(YEAR($A1705),MONTH($A1705)+IF(AND(IFERROR(N(INDEX(Übersicht!$M$15:$M$22,MATCH($B1705,Übersicht!$A$15:$A$22,0))),0)&gt;1,DAY($A1705)&gt;=IFERROR(N(INDEX(Übersicht!$M$15:$M$22,MATCH($B1705,Übersicht!$A$15:$A$22,0))),0)),1,0),1))</f>
        <v/>
      </c>
    </row>
    <row r="1706">
      <c r="A1706" s="92" t="n"/>
      <c r="B1706" s="55" t="n"/>
      <c r="C1706" s="55" t="n"/>
      <c r="D1706" s="55" t="n"/>
      <c r="E1706" s="93" t="n"/>
      <c r="F1706" s="94" t="n"/>
      <c r="G1706" s="94" t="n"/>
      <c r="H1706" s="94" t="n"/>
      <c r="I1706" s="94" t="n"/>
      <c r="J1706" s="55" t="n"/>
      <c r="K1706" s="95" t="n"/>
      <c r="L1706" s="116">
        <f>IF($A1706="","",DATE(YEAR($A1706),MONTH($A1706)+IF(AND(IFERROR(N(INDEX(Übersicht!$M$15:$M$22,MATCH($B1706,Übersicht!$A$15:$A$22,0))),0)&gt;1,DAY($A1706)&gt;=IFERROR(N(INDEX(Übersicht!$M$15:$M$22,MATCH($B1706,Übersicht!$A$15:$A$22,0))),0)),1,0),1))</f>
        <v/>
      </c>
    </row>
    <row r="1707">
      <c r="A1707" s="92" t="n"/>
      <c r="B1707" s="55" t="n"/>
      <c r="C1707" s="55" t="n"/>
      <c r="D1707" s="55" t="n"/>
      <c r="E1707" s="93" t="n"/>
      <c r="F1707" s="94" t="n"/>
      <c r="G1707" s="94" t="n"/>
      <c r="H1707" s="94" t="n"/>
      <c r="I1707" s="94" t="n"/>
      <c r="J1707" s="55" t="n"/>
      <c r="K1707" s="95" t="n"/>
      <c r="L1707" s="116">
        <f>IF($A1707="","",DATE(YEAR($A1707),MONTH($A1707)+IF(AND(IFERROR(N(INDEX(Übersicht!$M$15:$M$22,MATCH($B1707,Übersicht!$A$15:$A$22,0))),0)&gt;1,DAY($A1707)&gt;=IFERROR(N(INDEX(Übersicht!$M$15:$M$22,MATCH($B1707,Übersicht!$A$15:$A$22,0))),0)),1,0),1))</f>
        <v/>
      </c>
    </row>
    <row r="1708">
      <c r="A1708" s="92" t="n"/>
      <c r="B1708" s="55" t="n"/>
      <c r="C1708" s="55" t="n"/>
      <c r="D1708" s="55" t="n"/>
      <c r="E1708" s="93" t="n"/>
      <c r="F1708" s="94" t="n"/>
      <c r="G1708" s="94" t="n"/>
      <c r="H1708" s="94" t="n"/>
      <c r="I1708" s="94" t="n"/>
      <c r="J1708" s="55" t="n"/>
      <c r="K1708" s="95" t="n"/>
      <c r="L1708" s="116">
        <f>IF($A1708="","",DATE(YEAR($A1708),MONTH($A1708)+IF(AND(IFERROR(N(INDEX(Übersicht!$M$15:$M$22,MATCH($B1708,Übersicht!$A$15:$A$22,0))),0)&gt;1,DAY($A1708)&gt;=IFERROR(N(INDEX(Übersicht!$M$15:$M$22,MATCH($B1708,Übersicht!$A$15:$A$22,0))),0)),1,0),1))</f>
        <v/>
      </c>
    </row>
    <row r="1709">
      <c r="A1709" s="92" t="n"/>
      <c r="B1709" s="55" t="n"/>
      <c r="C1709" s="55" t="n"/>
      <c r="D1709" s="55" t="n"/>
      <c r="E1709" s="93" t="n"/>
      <c r="F1709" s="94" t="n"/>
      <c r="G1709" s="94" t="n"/>
      <c r="H1709" s="94" t="n"/>
      <c r="I1709" s="94" t="n"/>
      <c r="J1709" s="55" t="n"/>
      <c r="K1709" s="95" t="n"/>
      <c r="L1709" s="116">
        <f>IF($A1709="","",DATE(YEAR($A1709),MONTH($A1709)+IF(AND(IFERROR(N(INDEX(Übersicht!$M$15:$M$22,MATCH($B1709,Übersicht!$A$15:$A$22,0))),0)&gt;1,DAY($A1709)&gt;=IFERROR(N(INDEX(Übersicht!$M$15:$M$22,MATCH($B1709,Übersicht!$A$15:$A$22,0))),0)),1,0),1))</f>
        <v/>
      </c>
    </row>
    <row r="1710">
      <c r="A1710" s="92" t="n"/>
      <c r="B1710" s="55" t="n"/>
      <c r="C1710" s="55" t="n"/>
      <c r="D1710" s="55" t="n"/>
      <c r="E1710" s="93" t="n"/>
      <c r="F1710" s="94" t="n"/>
      <c r="G1710" s="94" t="n"/>
      <c r="H1710" s="94" t="n"/>
      <c r="I1710" s="94" t="n"/>
      <c r="J1710" s="55" t="n"/>
      <c r="K1710" s="95" t="n"/>
      <c r="L1710" s="116">
        <f>IF($A1710="","",DATE(YEAR($A1710),MONTH($A1710)+IF(AND(IFERROR(N(INDEX(Übersicht!$M$15:$M$22,MATCH($B1710,Übersicht!$A$15:$A$22,0))),0)&gt;1,DAY($A1710)&gt;=IFERROR(N(INDEX(Übersicht!$M$15:$M$22,MATCH($B1710,Übersicht!$A$15:$A$22,0))),0)),1,0),1))</f>
        <v/>
      </c>
    </row>
    <row r="1711">
      <c r="A1711" s="92" t="n"/>
      <c r="B1711" s="55" t="n"/>
      <c r="C1711" s="55" t="n"/>
      <c r="D1711" s="55" t="n"/>
      <c r="E1711" s="93" t="n"/>
      <c r="F1711" s="94" t="n"/>
      <c r="G1711" s="94" t="n"/>
      <c r="H1711" s="94" t="n"/>
      <c r="I1711" s="94" t="n"/>
      <c r="J1711" s="55" t="n"/>
      <c r="K1711" s="95" t="n"/>
      <c r="L1711" s="116">
        <f>IF($A1711="","",DATE(YEAR($A1711),MONTH($A1711)+IF(AND(IFERROR(N(INDEX(Übersicht!$M$15:$M$22,MATCH($B1711,Übersicht!$A$15:$A$22,0))),0)&gt;1,DAY($A1711)&gt;=IFERROR(N(INDEX(Übersicht!$M$15:$M$22,MATCH($B1711,Übersicht!$A$15:$A$22,0))),0)),1,0),1))</f>
        <v/>
      </c>
    </row>
    <row r="1712">
      <c r="A1712" s="92" t="n"/>
      <c r="B1712" s="55" t="n"/>
      <c r="C1712" s="55" t="n"/>
      <c r="D1712" s="55" t="n"/>
      <c r="E1712" s="93" t="n"/>
      <c r="F1712" s="94" t="n"/>
      <c r="G1712" s="94" t="n"/>
      <c r="H1712" s="94" t="n"/>
      <c r="I1712" s="94" t="n"/>
      <c r="J1712" s="55" t="n"/>
      <c r="K1712" s="95" t="n"/>
      <c r="L1712" s="116">
        <f>IF($A1712="","",DATE(YEAR($A1712),MONTH($A1712)+IF(AND(IFERROR(N(INDEX(Übersicht!$M$15:$M$22,MATCH($B1712,Übersicht!$A$15:$A$22,0))),0)&gt;1,DAY($A1712)&gt;=IFERROR(N(INDEX(Übersicht!$M$15:$M$22,MATCH($B1712,Übersicht!$A$15:$A$22,0))),0)),1,0),1))</f>
        <v/>
      </c>
    </row>
    <row r="1713">
      <c r="A1713" s="92" t="n"/>
      <c r="B1713" s="55" t="n"/>
      <c r="C1713" s="55" t="n"/>
      <c r="D1713" s="55" t="n"/>
      <c r="E1713" s="93" t="n"/>
      <c r="F1713" s="94" t="n"/>
      <c r="G1713" s="94" t="n"/>
      <c r="H1713" s="94" t="n"/>
      <c r="I1713" s="94" t="n"/>
      <c r="J1713" s="55" t="n"/>
      <c r="K1713" s="95" t="n"/>
      <c r="L1713" s="116">
        <f>IF($A1713="","",DATE(YEAR($A1713),MONTH($A1713)+IF(AND(IFERROR(N(INDEX(Übersicht!$M$15:$M$22,MATCH($B1713,Übersicht!$A$15:$A$22,0))),0)&gt;1,DAY($A1713)&gt;=IFERROR(N(INDEX(Übersicht!$M$15:$M$22,MATCH($B1713,Übersicht!$A$15:$A$22,0))),0)),1,0),1))</f>
        <v/>
      </c>
    </row>
    <row r="1714">
      <c r="A1714" s="92" t="n"/>
      <c r="B1714" s="55" t="n"/>
      <c r="C1714" s="55" t="n"/>
      <c r="D1714" s="55" t="n"/>
      <c r="E1714" s="93" t="n"/>
      <c r="F1714" s="94" t="n"/>
      <c r="G1714" s="94" t="n"/>
      <c r="H1714" s="94" t="n"/>
      <c r="I1714" s="94" t="n"/>
      <c r="J1714" s="55" t="n"/>
      <c r="K1714" s="95" t="n"/>
      <c r="L1714" s="116">
        <f>IF($A1714="","",DATE(YEAR($A1714),MONTH($A1714)+IF(AND(IFERROR(N(INDEX(Übersicht!$M$15:$M$22,MATCH($B1714,Übersicht!$A$15:$A$22,0))),0)&gt;1,DAY($A1714)&gt;=IFERROR(N(INDEX(Übersicht!$M$15:$M$22,MATCH($B1714,Übersicht!$A$15:$A$22,0))),0)),1,0),1))</f>
        <v/>
      </c>
    </row>
    <row r="1715">
      <c r="A1715" s="92" t="n"/>
      <c r="B1715" s="55" t="n"/>
      <c r="C1715" s="55" t="n"/>
      <c r="D1715" s="55" t="n"/>
      <c r="E1715" s="93" t="n"/>
      <c r="F1715" s="94" t="n"/>
      <c r="G1715" s="94" t="n"/>
      <c r="H1715" s="94" t="n"/>
      <c r="I1715" s="94" t="n"/>
      <c r="J1715" s="55" t="n"/>
      <c r="K1715" s="95" t="n"/>
      <c r="L1715" s="116">
        <f>IF($A1715="","",DATE(YEAR($A1715),MONTH($A1715)+IF(AND(IFERROR(N(INDEX(Übersicht!$M$15:$M$22,MATCH($B1715,Übersicht!$A$15:$A$22,0))),0)&gt;1,DAY($A1715)&gt;=IFERROR(N(INDEX(Übersicht!$M$15:$M$22,MATCH($B1715,Übersicht!$A$15:$A$22,0))),0)),1,0),1))</f>
        <v/>
      </c>
    </row>
    <row r="1716">
      <c r="A1716" s="92" t="n"/>
      <c r="B1716" s="55" t="n"/>
      <c r="C1716" s="55" t="n"/>
      <c r="D1716" s="55" t="n"/>
      <c r="E1716" s="93" t="n"/>
      <c r="F1716" s="94" t="n"/>
      <c r="G1716" s="94" t="n"/>
      <c r="H1716" s="94" t="n"/>
      <c r="I1716" s="94" t="n"/>
      <c r="J1716" s="55" t="n"/>
      <c r="K1716" s="95" t="n"/>
      <c r="L1716" s="116">
        <f>IF($A1716="","",DATE(YEAR($A1716),MONTH($A1716)+IF(AND(IFERROR(N(INDEX(Übersicht!$M$15:$M$22,MATCH($B1716,Übersicht!$A$15:$A$22,0))),0)&gt;1,DAY($A1716)&gt;=IFERROR(N(INDEX(Übersicht!$M$15:$M$22,MATCH($B1716,Übersicht!$A$15:$A$22,0))),0)),1,0),1))</f>
        <v/>
      </c>
    </row>
    <row r="1717">
      <c r="A1717" s="92" t="n"/>
      <c r="B1717" s="55" t="n"/>
      <c r="C1717" s="55" t="n"/>
      <c r="D1717" s="55" t="n"/>
      <c r="E1717" s="93" t="n"/>
      <c r="F1717" s="94" t="n"/>
      <c r="G1717" s="94" t="n"/>
      <c r="H1717" s="94" t="n"/>
      <c r="I1717" s="94" t="n"/>
      <c r="J1717" s="55" t="n"/>
      <c r="K1717" s="95" t="n"/>
      <c r="L1717" s="116">
        <f>IF($A1717="","",DATE(YEAR($A1717),MONTH($A1717)+IF(AND(IFERROR(N(INDEX(Übersicht!$M$15:$M$22,MATCH($B1717,Übersicht!$A$15:$A$22,0))),0)&gt;1,DAY($A1717)&gt;=IFERROR(N(INDEX(Übersicht!$M$15:$M$22,MATCH($B1717,Übersicht!$A$15:$A$22,0))),0)),1,0),1))</f>
        <v/>
      </c>
    </row>
    <row r="1718">
      <c r="A1718" s="92" t="n"/>
      <c r="B1718" s="55" t="n"/>
      <c r="C1718" s="55" t="n"/>
      <c r="D1718" s="55" t="n"/>
      <c r="E1718" s="93" t="n"/>
      <c r="F1718" s="94" t="n"/>
      <c r="G1718" s="94" t="n"/>
      <c r="H1718" s="94" t="n"/>
      <c r="I1718" s="94" t="n"/>
      <c r="J1718" s="55" t="n"/>
      <c r="K1718" s="95" t="n"/>
      <c r="L1718" s="116">
        <f>IF($A1718="","",DATE(YEAR($A1718),MONTH($A1718)+IF(AND(IFERROR(N(INDEX(Übersicht!$M$15:$M$22,MATCH($B1718,Übersicht!$A$15:$A$22,0))),0)&gt;1,DAY($A1718)&gt;=IFERROR(N(INDEX(Übersicht!$M$15:$M$22,MATCH($B1718,Übersicht!$A$15:$A$22,0))),0)),1,0),1))</f>
        <v/>
      </c>
    </row>
    <row r="1719">
      <c r="A1719" s="92" t="n"/>
      <c r="B1719" s="55" t="n"/>
      <c r="C1719" s="55" t="n"/>
      <c r="D1719" s="55" t="n"/>
      <c r="E1719" s="93" t="n"/>
      <c r="F1719" s="94" t="n"/>
      <c r="G1719" s="94" t="n"/>
      <c r="H1719" s="94" t="n"/>
      <c r="I1719" s="94" t="n"/>
      <c r="J1719" s="55" t="n"/>
      <c r="K1719" s="95" t="n"/>
      <c r="L1719" s="116">
        <f>IF($A1719="","",DATE(YEAR($A1719),MONTH($A1719)+IF(AND(IFERROR(N(INDEX(Übersicht!$M$15:$M$22,MATCH($B1719,Übersicht!$A$15:$A$22,0))),0)&gt;1,DAY($A1719)&gt;=IFERROR(N(INDEX(Übersicht!$M$15:$M$22,MATCH($B1719,Übersicht!$A$15:$A$22,0))),0)),1,0),1))</f>
        <v/>
      </c>
    </row>
    <row r="1720">
      <c r="A1720" s="92" t="n"/>
      <c r="B1720" s="55" t="n"/>
      <c r="C1720" s="55" t="n"/>
      <c r="D1720" s="55" t="n"/>
      <c r="E1720" s="93" t="n"/>
      <c r="F1720" s="94" t="n"/>
      <c r="G1720" s="94" t="n"/>
      <c r="H1720" s="94" t="n"/>
      <c r="I1720" s="94" t="n"/>
      <c r="J1720" s="55" t="n"/>
      <c r="K1720" s="95" t="n"/>
      <c r="L1720" s="116">
        <f>IF($A1720="","",DATE(YEAR($A1720),MONTH($A1720)+IF(AND(IFERROR(N(INDEX(Übersicht!$M$15:$M$22,MATCH($B1720,Übersicht!$A$15:$A$22,0))),0)&gt;1,DAY($A1720)&gt;=IFERROR(N(INDEX(Übersicht!$M$15:$M$22,MATCH($B1720,Übersicht!$A$15:$A$22,0))),0)),1,0),1))</f>
        <v/>
      </c>
    </row>
    <row r="1721">
      <c r="A1721" s="92" t="n"/>
      <c r="B1721" s="55" t="n"/>
      <c r="C1721" s="55" t="n"/>
      <c r="D1721" s="55" t="n"/>
      <c r="E1721" s="93" t="n"/>
      <c r="F1721" s="94" t="n"/>
      <c r="G1721" s="94" t="n"/>
      <c r="H1721" s="94" t="n"/>
      <c r="I1721" s="94" t="n"/>
      <c r="J1721" s="55" t="n"/>
      <c r="K1721" s="95" t="n"/>
      <c r="L1721" s="116">
        <f>IF($A1721="","",DATE(YEAR($A1721),MONTH($A1721)+IF(AND(IFERROR(N(INDEX(Übersicht!$M$15:$M$22,MATCH($B1721,Übersicht!$A$15:$A$22,0))),0)&gt;1,DAY($A1721)&gt;=IFERROR(N(INDEX(Übersicht!$M$15:$M$22,MATCH($B1721,Übersicht!$A$15:$A$22,0))),0)),1,0),1))</f>
        <v/>
      </c>
    </row>
    <row r="1722">
      <c r="A1722" s="92" t="n"/>
      <c r="B1722" s="55" t="n"/>
      <c r="C1722" s="55" t="n"/>
      <c r="D1722" s="55" t="n"/>
      <c r="E1722" s="93" t="n"/>
      <c r="F1722" s="94" t="n"/>
      <c r="G1722" s="94" t="n"/>
      <c r="H1722" s="94" t="n"/>
      <c r="I1722" s="94" t="n"/>
      <c r="J1722" s="55" t="n"/>
      <c r="K1722" s="95" t="n"/>
      <c r="L1722" s="116">
        <f>IF($A1722="","",DATE(YEAR($A1722),MONTH($A1722)+IF(AND(IFERROR(N(INDEX(Übersicht!$M$15:$M$22,MATCH($B1722,Übersicht!$A$15:$A$22,0))),0)&gt;1,DAY($A1722)&gt;=IFERROR(N(INDEX(Übersicht!$M$15:$M$22,MATCH($B1722,Übersicht!$A$15:$A$22,0))),0)),1,0),1))</f>
        <v/>
      </c>
    </row>
    <row r="1723">
      <c r="A1723" s="92" t="n"/>
      <c r="B1723" s="55" t="n"/>
      <c r="C1723" s="55" t="n"/>
      <c r="D1723" s="55" t="n"/>
      <c r="E1723" s="93" t="n"/>
      <c r="F1723" s="94" t="n"/>
      <c r="G1723" s="94" t="n"/>
      <c r="H1723" s="94" t="n"/>
      <c r="I1723" s="94" t="n"/>
      <c r="J1723" s="55" t="n"/>
      <c r="K1723" s="95" t="n"/>
      <c r="L1723" s="116">
        <f>IF($A1723="","",DATE(YEAR($A1723),MONTH($A1723)+IF(AND(IFERROR(N(INDEX(Übersicht!$M$15:$M$22,MATCH($B1723,Übersicht!$A$15:$A$22,0))),0)&gt;1,DAY($A1723)&gt;=IFERROR(N(INDEX(Übersicht!$M$15:$M$22,MATCH($B1723,Übersicht!$A$15:$A$22,0))),0)),1,0),1))</f>
        <v/>
      </c>
    </row>
    <row r="1724">
      <c r="A1724" s="92" t="n"/>
      <c r="B1724" s="55" t="n"/>
      <c r="C1724" s="55" t="n"/>
      <c r="D1724" s="55" t="n"/>
      <c r="E1724" s="93" t="n"/>
      <c r="F1724" s="94" t="n"/>
      <c r="G1724" s="94" t="n"/>
      <c r="H1724" s="94" t="n"/>
      <c r="I1724" s="94" t="n"/>
      <c r="J1724" s="55" t="n"/>
      <c r="K1724" s="95" t="n"/>
      <c r="L1724" s="116">
        <f>IF($A1724="","",DATE(YEAR($A1724),MONTH($A1724)+IF(AND(IFERROR(N(INDEX(Übersicht!$M$15:$M$22,MATCH($B1724,Übersicht!$A$15:$A$22,0))),0)&gt;1,DAY($A1724)&gt;=IFERROR(N(INDEX(Übersicht!$M$15:$M$22,MATCH($B1724,Übersicht!$A$15:$A$22,0))),0)),1,0),1))</f>
        <v/>
      </c>
    </row>
    <row r="1725">
      <c r="A1725" s="92" t="n"/>
      <c r="B1725" s="55" t="n"/>
      <c r="C1725" s="55" t="n"/>
      <c r="D1725" s="55" t="n"/>
      <c r="E1725" s="93" t="n"/>
      <c r="F1725" s="94" t="n"/>
      <c r="G1725" s="94" t="n"/>
      <c r="H1725" s="94" t="n"/>
      <c r="I1725" s="94" t="n"/>
      <c r="J1725" s="55" t="n"/>
      <c r="K1725" s="95" t="n"/>
      <c r="L1725" s="116">
        <f>IF($A1725="","",DATE(YEAR($A1725),MONTH($A1725)+IF(AND(IFERROR(N(INDEX(Übersicht!$M$15:$M$22,MATCH($B1725,Übersicht!$A$15:$A$22,0))),0)&gt;1,DAY($A1725)&gt;=IFERROR(N(INDEX(Übersicht!$M$15:$M$22,MATCH($B1725,Übersicht!$A$15:$A$22,0))),0)),1,0),1))</f>
        <v/>
      </c>
    </row>
    <row r="1726">
      <c r="A1726" s="92" t="n"/>
      <c r="B1726" s="55" t="n"/>
      <c r="C1726" s="55" t="n"/>
      <c r="D1726" s="55" t="n"/>
      <c r="E1726" s="93" t="n"/>
      <c r="F1726" s="94" t="n"/>
      <c r="G1726" s="94" t="n"/>
      <c r="H1726" s="94" t="n"/>
      <c r="I1726" s="94" t="n"/>
      <c r="J1726" s="55" t="n"/>
      <c r="K1726" s="95" t="n"/>
      <c r="L1726" s="116">
        <f>IF($A1726="","",DATE(YEAR($A1726),MONTH($A1726)+IF(AND(IFERROR(N(INDEX(Übersicht!$M$15:$M$22,MATCH($B1726,Übersicht!$A$15:$A$22,0))),0)&gt;1,DAY($A1726)&gt;=IFERROR(N(INDEX(Übersicht!$M$15:$M$22,MATCH($B1726,Übersicht!$A$15:$A$22,0))),0)),1,0),1))</f>
        <v/>
      </c>
    </row>
    <row r="1727">
      <c r="A1727" s="92" t="n"/>
      <c r="B1727" s="55" t="n"/>
      <c r="C1727" s="55" t="n"/>
      <c r="D1727" s="55" t="n"/>
      <c r="E1727" s="93" t="n"/>
      <c r="F1727" s="94" t="n"/>
      <c r="G1727" s="94" t="n"/>
      <c r="H1727" s="94" t="n"/>
      <c r="I1727" s="94" t="n"/>
      <c r="J1727" s="55" t="n"/>
      <c r="K1727" s="95" t="n"/>
      <c r="L1727" s="116">
        <f>IF($A1727="","",DATE(YEAR($A1727),MONTH($A1727)+IF(AND(IFERROR(N(INDEX(Übersicht!$M$15:$M$22,MATCH($B1727,Übersicht!$A$15:$A$22,0))),0)&gt;1,DAY($A1727)&gt;=IFERROR(N(INDEX(Übersicht!$M$15:$M$22,MATCH($B1727,Übersicht!$A$15:$A$22,0))),0)),1,0),1))</f>
        <v/>
      </c>
    </row>
    <row r="1728">
      <c r="A1728" s="92" t="n"/>
      <c r="B1728" s="55" t="n"/>
      <c r="C1728" s="55" t="n"/>
      <c r="D1728" s="55" t="n"/>
      <c r="E1728" s="93" t="n"/>
      <c r="F1728" s="94" t="n"/>
      <c r="G1728" s="94" t="n"/>
      <c r="H1728" s="94" t="n"/>
      <c r="I1728" s="94" t="n"/>
      <c r="J1728" s="55" t="n"/>
      <c r="K1728" s="95" t="n"/>
      <c r="L1728" s="116">
        <f>IF($A1728="","",DATE(YEAR($A1728),MONTH($A1728)+IF(AND(IFERROR(N(INDEX(Übersicht!$M$15:$M$22,MATCH($B1728,Übersicht!$A$15:$A$22,0))),0)&gt;1,DAY($A1728)&gt;=IFERROR(N(INDEX(Übersicht!$M$15:$M$22,MATCH($B1728,Übersicht!$A$15:$A$22,0))),0)),1,0),1))</f>
        <v/>
      </c>
    </row>
    <row r="1729">
      <c r="A1729" s="92" t="n"/>
      <c r="B1729" s="55" t="n"/>
      <c r="C1729" s="55" t="n"/>
      <c r="D1729" s="55" t="n"/>
      <c r="E1729" s="93" t="n"/>
      <c r="F1729" s="94" t="n"/>
      <c r="G1729" s="94" t="n"/>
      <c r="H1729" s="94" t="n"/>
      <c r="I1729" s="94" t="n"/>
      <c r="J1729" s="55" t="n"/>
      <c r="K1729" s="95" t="n"/>
      <c r="L1729" s="116">
        <f>IF($A1729="","",DATE(YEAR($A1729),MONTH($A1729)+IF(AND(IFERROR(N(INDEX(Übersicht!$M$15:$M$22,MATCH($B1729,Übersicht!$A$15:$A$22,0))),0)&gt;1,DAY($A1729)&gt;=IFERROR(N(INDEX(Übersicht!$M$15:$M$22,MATCH($B1729,Übersicht!$A$15:$A$22,0))),0)),1,0),1))</f>
        <v/>
      </c>
    </row>
    <row r="1730">
      <c r="A1730" s="92" t="n"/>
      <c r="B1730" s="55" t="n"/>
      <c r="C1730" s="55" t="n"/>
      <c r="D1730" s="55" t="n"/>
      <c r="E1730" s="93" t="n"/>
      <c r="F1730" s="94" t="n"/>
      <c r="G1730" s="94" t="n"/>
      <c r="H1730" s="94" t="n"/>
      <c r="I1730" s="94" t="n"/>
      <c r="J1730" s="55" t="n"/>
      <c r="K1730" s="95" t="n"/>
      <c r="L1730" s="116">
        <f>IF($A1730="","",DATE(YEAR($A1730),MONTH($A1730)+IF(AND(IFERROR(N(INDEX(Übersicht!$M$15:$M$22,MATCH($B1730,Übersicht!$A$15:$A$22,0))),0)&gt;1,DAY($A1730)&gt;=IFERROR(N(INDEX(Übersicht!$M$15:$M$22,MATCH($B1730,Übersicht!$A$15:$A$22,0))),0)),1,0),1))</f>
        <v/>
      </c>
    </row>
    <row r="1731">
      <c r="A1731" s="92" t="n"/>
      <c r="B1731" s="55" t="n"/>
      <c r="C1731" s="55" t="n"/>
      <c r="D1731" s="55" t="n"/>
      <c r="E1731" s="93" t="n"/>
      <c r="F1731" s="94" t="n"/>
      <c r="G1731" s="94" t="n"/>
      <c r="H1731" s="94" t="n"/>
      <c r="I1731" s="94" t="n"/>
      <c r="J1731" s="55" t="n"/>
      <c r="K1731" s="95" t="n"/>
      <c r="L1731" s="116">
        <f>IF($A1731="","",DATE(YEAR($A1731),MONTH($A1731)+IF(AND(IFERROR(N(INDEX(Übersicht!$M$15:$M$22,MATCH($B1731,Übersicht!$A$15:$A$22,0))),0)&gt;1,DAY($A1731)&gt;=IFERROR(N(INDEX(Übersicht!$M$15:$M$22,MATCH($B1731,Übersicht!$A$15:$A$22,0))),0)),1,0),1))</f>
        <v/>
      </c>
    </row>
    <row r="1732">
      <c r="A1732" s="92" t="n"/>
      <c r="B1732" s="55" t="n"/>
      <c r="C1732" s="55" t="n"/>
      <c r="D1732" s="55" t="n"/>
      <c r="E1732" s="93" t="n"/>
      <c r="F1732" s="94" t="n"/>
      <c r="G1732" s="94" t="n"/>
      <c r="H1732" s="94" t="n"/>
      <c r="I1732" s="94" t="n"/>
      <c r="J1732" s="55" t="n"/>
      <c r="K1732" s="95" t="n"/>
      <c r="L1732" s="116">
        <f>IF($A1732="","",DATE(YEAR($A1732),MONTH($A1732)+IF(AND(IFERROR(N(INDEX(Übersicht!$M$15:$M$22,MATCH($B1732,Übersicht!$A$15:$A$22,0))),0)&gt;1,DAY($A1732)&gt;=IFERROR(N(INDEX(Übersicht!$M$15:$M$22,MATCH($B1732,Übersicht!$A$15:$A$22,0))),0)),1,0),1))</f>
        <v/>
      </c>
    </row>
    <row r="1733">
      <c r="A1733" s="92" t="n"/>
      <c r="B1733" s="55" t="n"/>
      <c r="C1733" s="55" t="n"/>
      <c r="D1733" s="55" t="n"/>
      <c r="E1733" s="93" t="n"/>
      <c r="F1733" s="94" t="n"/>
      <c r="G1733" s="94" t="n"/>
      <c r="H1733" s="94" t="n"/>
      <c r="I1733" s="94" t="n"/>
      <c r="J1733" s="55" t="n"/>
      <c r="K1733" s="95" t="n"/>
      <c r="L1733" s="116">
        <f>IF($A1733="","",DATE(YEAR($A1733),MONTH($A1733)+IF(AND(IFERROR(N(INDEX(Übersicht!$M$15:$M$22,MATCH($B1733,Übersicht!$A$15:$A$22,0))),0)&gt;1,DAY($A1733)&gt;=IFERROR(N(INDEX(Übersicht!$M$15:$M$22,MATCH($B1733,Übersicht!$A$15:$A$22,0))),0)),1,0),1))</f>
        <v/>
      </c>
    </row>
    <row r="1734">
      <c r="A1734" s="92" t="n"/>
      <c r="B1734" s="55" t="n"/>
      <c r="C1734" s="55" t="n"/>
      <c r="D1734" s="55" t="n"/>
      <c r="E1734" s="93" t="n"/>
      <c r="F1734" s="94" t="n"/>
      <c r="G1734" s="94" t="n"/>
      <c r="H1734" s="94" t="n"/>
      <c r="I1734" s="94" t="n"/>
      <c r="J1734" s="55" t="n"/>
      <c r="K1734" s="95" t="n"/>
      <c r="L1734" s="116">
        <f>IF($A1734="","",DATE(YEAR($A1734),MONTH($A1734)+IF(AND(IFERROR(N(INDEX(Übersicht!$M$15:$M$22,MATCH($B1734,Übersicht!$A$15:$A$22,0))),0)&gt;1,DAY($A1734)&gt;=IFERROR(N(INDEX(Übersicht!$M$15:$M$22,MATCH($B1734,Übersicht!$A$15:$A$22,0))),0)),1,0),1))</f>
        <v/>
      </c>
    </row>
    <row r="1735">
      <c r="A1735" s="92" t="n"/>
      <c r="B1735" s="55" t="n"/>
      <c r="C1735" s="55" t="n"/>
      <c r="D1735" s="55" t="n"/>
      <c r="E1735" s="93" t="n"/>
      <c r="F1735" s="94" t="n"/>
      <c r="G1735" s="94" t="n"/>
      <c r="H1735" s="94" t="n"/>
      <c r="I1735" s="94" t="n"/>
      <c r="J1735" s="55" t="n"/>
      <c r="K1735" s="95" t="n"/>
      <c r="L1735" s="116">
        <f>IF($A1735="","",DATE(YEAR($A1735),MONTH($A1735)+IF(AND(IFERROR(N(INDEX(Übersicht!$M$15:$M$22,MATCH($B1735,Übersicht!$A$15:$A$22,0))),0)&gt;1,DAY($A1735)&gt;=IFERROR(N(INDEX(Übersicht!$M$15:$M$22,MATCH($B1735,Übersicht!$A$15:$A$22,0))),0)),1,0),1))</f>
        <v/>
      </c>
    </row>
    <row r="1736">
      <c r="A1736" s="92" t="n"/>
      <c r="B1736" s="55" t="n"/>
      <c r="C1736" s="55" t="n"/>
      <c r="D1736" s="55" t="n"/>
      <c r="E1736" s="93" t="n"/>
      <c r="F1736" s="94" t="n"/>
      <c r="G1736" s="94" t="n"/>
      <c r="H1736" s="94" t="n"/>
      <c r="I1736" s="94" t="n"/>
      <c r="J1736" s="55" t="n"/>
      <c r="K1736" s="95" t="n"/>
      <c r="L1736" s="116">
        <f>IF($A1736="","",DATE(YEAR($A1736),MONTH($A1736)+IF(AND(IFERROR(N(INDEX(Übersicht!$M$15:$M$22,MATCH($B1736,Übersicht!$A$15:$A$22,0))),0)&gt;1,DAY($A1736)&gt;=IFERROR(N(INDEX(Übersicht!$M$15:$M$22,MATCH($B1736,Übersicht!$A$15:$A$22,0))),0)),1,0),1))</f>
        <v/>
      </c>
    </row>
    <row r="1737">
      <c r="A1737" s="92" t="n"/>
      <c r="B1737" s="55" t="n"/>
      <c r="C1737" s="55" t="n"/>
      <c r="D1737" s="55" t="n"/>
      <c r="E1737" s="93" t="n"/>
      <c r="F1737" s="94" t="n"/>
      <c r="G1737" s="94" t="n"/>
      <c r="H1737" s="94" t="n"/>
      <c r="I1737" s="94" t="n"/>
      <c r="J1737" s="55" t="n"/>
      <c r="K1737" s="95" t="n"/>
      <c r="L1737" s="116">
        <f>IF($A1737="","",DATE(YEAR($A1737),MONTH($A1737)+IF(AND(IFERROR(N(INDEX(Übersicht!$M$15:$M$22,MATCH($B1737,Übersicht!$A$15:$A$22,0))),0)&gt;1,DAY($A1737)&gt;=IFERROR(N(INDEX(Übersicht!$M$15:$M$22,MATCH($B1737,Übersicht!$A$15:$A$22,0))),0)),1,0),1))</f>
        <v/>
      </c>
    </row>
    <row r="1738">
      <c r="A1738" s="92" t="n"/>
      <c r="B1738" s="55" t="n"/>
      <c r="C1738" s="55" t="n"/>
      <c r="D1738" s="55" t="n"/>
      <c r="E1738" s="93" t="n"/>
      <c r="F1738" s="94" t="n"/>
      <c r="G1738" s="94" t="n"/>
      <c r="H1738" s="94" t="n"/>
      <c r="I1738" s="94" t="n"/>
      <c r="J1738" s="55" t="n"/>
      <c r="K1738" s="95" t="n"/>
      <c r="L1738" s="116">
        <f>IF($A1738="","",DATE(YEAR($A1738),MONTH($A1738)+IF(AND(IFERROR(N(INDEX(Übersicht!$M$15:$M$22,MATCH($B1738,Übersicht!$A$15:$A$22,0))),0)&gt;1,DAY($A1738)&gt;=IFERROR(N(INDEX(Übersicht!$M$15:$M$22,MATCH($B1738,Übersicht!$A$15:$A$22,0))),0)),1,0),1))</f>
        <v/>
      </c>
    </row>
    <row r="1739">
      <c r="A1739" s="92" t="n"/>
      <c r="B1739" s="55" t="n"/>
      <c r="C1739" s="55" t="n"/>
      <c r="D1739" s="55" t="n"/>
      <c r="E1739" s="93" t="n"/>
      <c r="F1739" s="94" t="n"/>
      <c r="G1739" s="94" t="n"/>
      <c r="H1739" s="94" t="n"/>
      <c r="I1739" s="94" t="n"/>
      <c r="J1739" s="55" t="n"/>
      <c r="K1739" s="95" t="n"/>
      <c r="L1739" s="116">
        <f>IF($A1739="","",DATE(YEAR($A1739),MONTH($A1739)+IF(AND(IFERROR(N(INDEX(Übersicht!$M$15:$M$22,MATCH($B1739,Übersicht!$A$15:$A$22,0))),0)&gt;1,DAY($A1739)&gt;=IFERROR(N(INDEX(Übersicht!$M$15:$M$22,MATCH($B1739,Übersicht!$A$15:$A$22,0))),0)),1,0),1))</f>
        <v/>
      </c>
    </row>
    <row r="1740">
      <c r="A1740" s="92" t="n"/>
      <c r="B1740" s="55" t="n"/>
      <c r="C1740" s="55" t="n"/>
      <c r="D1740" s="55" t="n"/>
      <c r="E1740" s="93" t="n"/>
      <c r="F1740" s="94" t="n"/>
      <c r="G1740" s="94" t="n"/>
      <c r="H1740" s="94" t="n"/>
      <c r="I1740" s="94" t="n"/>
      <c r="J1740" s="55" t="n"/>
      <c r="K1740" s="95" t="n"/>
      <c r="L1740" s="116">
        <f>IF($A1740="","",DATE(YEAR($A1740),MONTH($A1740)+IF(AND(IFERROR(N(INDEX(Übersicht!$M$15:$M$22,MATCH($B1740,Übersicht!$A$15:$A$22,0))),0)&gt;1,DAY($A1740)&gt;=IFERROR(N(INDEX(Übersicht!$M$15:$M$22,MATCH($B1740,Übersicht!$A$15:$A$22,0))),0)),1,0),1))</f>
        <v/>
      </c>
    </row>
    <row r="1741">
      <c r="A1741" s="92" t="n"/>
      <c r="B1741" s="55" t="n"/>
      <c r="C1741" s="55" t="n"/>
      <c r="D1741" s="55" t="n"/>
      <c r="E1741" s="93" t="n"/>
      <c r="F1741" s="94" t="n"/>
      <c r="G1741" s="94" t="n"/>
      <c r="H1741" s="94" t="n"/>
      <c r="I1741" s="94" t="n"/>
      <c r="J1741" s="55" t="n"/>
      <c r="K1741" s="95" t="n"/>
      <c r="L1741" s="116">
        <f>IF($A1741="","",DATE(YEAR($A1741),MONTH($A1741)+IF(AND(IFERROR(N(INDEX(Übersicht!$M$15:$M$22,MATCH($B1741,Übersicht!$A$15:$A$22,0))),0)&gt;1,DAY($A1741)&gt;=IFERROR(N(INDEX(Übersicht!$M$15:$M$22,MATCH($B1741,Übersicht!$A$15:$A$22,0))),0)),1,0),1))</f>
        <v/>
      </c>
    </row>
    <row r="1742">
      <c r="A1742" s="92" t="n"/>
      <c r="B1742" s="55" t="n"/>
      <c r="C1742" s="55" t="n"/>
      <c r="D1742" s="55" t="n"/>
      <c r="E1742" s="93" t="n"/>
      <c r="F1742" s="94" t="n"/>
      <c r="G1742" s="94" t="n"/>
      <c r="H1742" s="94" t="n"/>
      <c r="I1742" s="94" t="n"/>
      <c r="J1742" s="55" t="n"/>
      <c r="K1742" s="95" t="n"/>
      <c r="L1742" s="116">
        <f>IF($A1742="","",DATE(YEAR($A1742),MONTH($A1742)+IF(AND(IFERROR(N(INDEX(Übersicht!$M$15:$M$22,MATCH($B1742,Übersicht!$A$15:$A$22,0))),0)&gt;1,DAY($A1742)&gt;=IFERROR(N(INDEX(Übersicht!$M$15:$M$22,MATCH($B1742,Übersicht!$A$15:$A$22,0))),0)),1,0),1))</f>
        <v/>
      </c>
    </row>
    <row r="1743">
      <c r="A1743" s="92" t="n"/>
      <c r="B1743" s="55" t="n"/>
      <c r="C1743" s="55" t="n"/>
      <c r="D1743" s="55" t="n"/>
      <c r="E1743" s="93" t="n"/>
      <c r="F1743" s="94" t="n"/>
      <c r="G1743" s="94" t="n"/>
      <c r="H1743" s="94" t="n"/>
      <c r="I1743" s="94" t="n"/>
      <c r="J1743" s="55" t="n"/>
      <c r="K1743" s="95" t="n"/>
      <c r="L1743" s="116">
        <f>IF($A1743="","",DATE(YEAR($A1743),MONTH($A1743)+IF(AND(IFERROR(N(INDEX(Übersicht!$M$15:$M$22,MATCH($B1743,Übersicht!$A$15:$A$22,0))),0)&gt;1,DAY($A1743)&gt;=IFERROR(N(INDEX(Übersicht!$M$15:$M$22,MATCH($B1743,Übersicht!$A$15:$A$22,0))),0)),1,0),1))</f>
        <v/>
      </c>
    </row>
    <row r="1744">
      <c r="A1744" s="92" t="n"/>
      <c r="B1744" s="55" t="n"/>
      <c r="C1744" s="55" t="n"/>
      <c r="D1744" s="55" t="n"/>
      <c r="E1744" s="93" t="n"/>
      <c r="F1744" s="94" t="n"/>
      <c r="G1744" s="94" t="n"/>
      <c r="H1744" s="94" t="n"/>
      <c r="I1744" s="94" t="n"/>
      <c r="J1744" s="55" t="n"/>
      <c r="K1744" s="95" t="n"/>
      <c r="L1744" s="116">
        <f>IF($A1744="","",DATE(YEAR($A1744),MONTH($A1744)+IF(AND(IFERROR(N(INDEX(Übersicht!$M$15:$M$22,MATCH($B1744,Übersicht!$A$15:$A$22,0))),0)&gt;1,DAY($A1744)&gt;=IFERROR(N(INDEX(Übersicht!$M$15:$M$22,MATCH($B1744,Übersicht!$A$15:$A$22,0))),0)),1,0),1))</f>
        <v/>
      </c>
    </row>
    <row r="1745">
      <c r="A1745" s="92" t="n"/>
      <c r="B1745" s="55" t="n"/>
      <c r="C1745" s="55" t="n"/>
      <c r="D1745" s="55" t="n"/>
      <c r="E1745" s="93" t="n"/>
      <c r="F1745" s="94" t="n"/>
      <c r="G1745" s="94" t="n"/>
      <c r="H1745" s="94" t="n"/>
      <c r="I1745" s="94" t="n"/>
      <c r="J1745" s="55" t="n"/>
      <c r="K1745" s="95" t="n"/>
      <c r="L1745" s="116">
        <f>IF($A1745="","",DATE(YEAR($A1745),MONTH($A1745)+IF(AND(IFERROR(N(INDEX(Übersicht!$M$15:$M$22,MATCH($B1745,Übersicht!$A$15:$A$22,0))),0)&gt;1,DAY($A1745)&gt;=IFERROR(N(INDEX(Übersicht!$M$15:$M$22,MATCH($B1745,Übersicht!$A$15:$A$22,0))),0)),1,0),1))</f>
        <v/>
      </c>
    </row>
    <row r="1746">
      <c r="A1746" s="92" t="n"/>
      <c r="B1746" s="55" t="n"/>
      <c r="C1746" s="55" t="n"/>
      <c r="D1746" s="55" t="n"/>
      <c r="E1746" s="93" t="n"/>
      <c r="F1746" s="94" t="n"/>
      <c r="G1746" s="94" t="n"/>
      <c r="H1746" s="94" t="n"/>
      <c r="I1746" s="94" t="n"/>
      <c r="J1746" s="55" t="n"/>
      <c r="K1746" s="95" t="n"/>
      <c r="L1746" s="116">
        <f>IF($A1746="","",DATE(YEAR($A1746),MONTH($A1746)+IF(AND(IFERROR(N(INDEX(Übersicht!$M$15:$M$22,MATCH($B1746,Übersicht!$A$15:$A$22,0))),0)&gt;1,DAY($A1746)&gt;=IFERROR(N(INDEX(Übersicht!$M$15:$M$22,MATCH($B1746,Übersicht!$A$15:$A$22,0))),0)),1,0),1))</f>
        <v/>
      </c>
    </row>
    <row r="1747">
      <c r="A1747" s="92" t="n"/>
      <c r="B1747" s="55" t="n"/>
      <c r="C1747" s="55" t="n"/>
      <c r="D1747" s="55" t="n"/>
      <c r="E1747" s="93" t="n"/>
      <c r="F1747" s="94" t="n"/>
      <c r="G1747" s="94" t="n"/>
      <c r="H1747" s="94" t="n"/>
      <c r="I1747" s="94" t="n"/>
      <c r="J1747" s="55" t="n"/>
      <c r="K1747" s="95" t="n"/>
      <c r="L1747" s="116">
        <f>IF($A1747="","",DATE(YEAR($A1747),MONTH($A1747)+IF(AND(IFERROR(N(INDEX(Übersicht!$M$15:$M$22,MATCH($B1747,Übersicht!$A$15:$A$22,0))),0)&gt;1,DAY($A1747)&gt;=IFERROR(N(INDEX(Übersicht!$M$15:$M$22,MATCH($B1747,Übersicht!$A$15:$A$22,0))),0)),1,0),1))</f>
        <v/>
      </c>
    </row>
    <row r="1748">
      <c r="A1748" s="92" t="n"/>
      <c r="B1748" s="55" t="n"/>
      <c r="C1748" s="55" t="n"/>
      <c r="D1748" s="55" t="n"/>
      <c r="E1748" s="93" t="n"/>
      <c r="F1748" s="94" t="n"/>
      <c r="G1748" s="94" t="n"/>
      <c r="H1748" s="94" t="n"/>
      <c r="I1748" s="94" t="n"/>
      <c r="J1748" s="55" t="n"/>
      <c r="K1748" s="95" t="n"/>
      <c r="L1748" s="116">
        <f>IF($A1748="","",DATE(YEAR($A1748),MONTH($A1748)+IF(AND(IFERROR(N(INDEX(Übersicht!$M$15:$M$22,MATCH($B1748,Übersicht!$A$15:$A$22,0))),0)&gt;1,DAY($A1748)&gt;=IFERROR(N(INDEX(Übersicht!$M$15:$M$22,MATCH($B1748,Übersicht!$A$15:$A$22,0))),0)),1,0),1))</f>
        <v/>
      </c>
    </row>
    <row r="1749">
      <c r="A1749" s="92" t="n"/>
      <c r="B1749" s="55" t="n"/>
      <c r="C1749" s="55" t="n"/>
      <c r="D1749" s="55" t="n"/>
      <c r="E1749" s="93" t="n"/>
      <c r="F1749" s="94" t="n"/>
      <c r="G1749" s="94" t="n"/>
      <c r="H1749" s="94" t="n"/>
      <c r="I1749" s="94" t="n"/>
      <c r="J1749" s="55" t="n"/>
      <c r="K1749" s="95" t="n"/>
      <c r="L1749" s="116">
        <f>IF($A1749="","",DATE(YEAR($A1749),MONTH($A1749)+IF(AND(IFERROR(N(INDEX(Übersicht!$M$15:$M$22,MATCH($B1749,Übersicht!$A$15:$A$22,0))),0)&gt;1,DAY($A1749)&gt;=IFERROR(N(INDEX(Übersicht!$M$15:$M$22,MATCH($B1749,Übersicht!$A$15:$A$22,0))),0)),1,0),1))</f>
        <v/>
      </c>
    </row>
    <row r="1750">
      <c r="A1750" s="92" t="n"/>
      <c r="B1750" s="55" t="n"/>
      <c r="C1750" s="55" t="n"/>
      <c r="D1750" s="55" t="n"/>
      <c r="E1750" s="93" t="n"/>
      <c r="F1750" s="94" t="n"/>
      <c r="G1750" s="94" t="n"/>
      <c r="H1750" s="94" t="n"/>
      <c r="I1750" s="94" t="n"/>
      <c r="J1750" s="55" t="n"/>
      <c r="K1750" s="95" t="n"/>
      <c r="L1750" s="116">
        <f>IF($A1750="","",DATE(YEAR($A1750),MONTH($A1750)+IF(AND(IFERROR(N(INDEX(Übersicht!$M$15:$M$22,MATCH($B1750,Übersicht!$A$15:$A$22,0))),0)&gt;1,DAY($A1750)&gt;=IFERROR(N(INDEX(Übersicht!$M$15:$M$22,MATCH($B1750,Übersicht!$A$15:$A$22,0))),0)),1,0),1))</f>
        <v/>
      </c>
    </row>
    <row r="1751">
      <c r="A1751" s="92" t="n"/>
      <c r="B1751" s="55" t="n"/>
      <c r="C1751" s="55" t="n"/>
      <c r="D1751" s="55" t="n"/>
      <c r="E1751" s="93" t="n"/>
      <c r="F1751" s="94" t="n"/>
      <c r="G1751" s="94" t="n"/>
      <c r="H1751" s="94" t="n"/>
      <c r="I1751" s="94" t="n"/>
      <c r="J1751" s="55" t="n"/>
      <c r="K1751" s="95" t="n"/>
      <c r="L1751" s="116">
        <f>IF($A1751="","",DATE(YEAR($A1751),MONTH($A1751)+IF(AND(IFERROR(N(INDEX(Übersicht!$M$15:$M$22,MATCH($B1751,Übersicht!$A$15:$A$22,0))),0)&gt;1,DAY($A1751)&gt;=IFERROR(N(INDEX(Übersicht!$M$15:$M$22,MATCH($B1751,Übersicht!$A$15:$A$22,0))),0)),1,0),1))</f>
        <v/>
      </c>
    </row>
    <row r="1752">
      <c r="A1752" s="92" t="n"/>
      <c r="B1752" s="55" t="n"/>
      <c r="C1752" s="55" t="n"/>
      <c r="D1752" s="55" t="n"/>
      <c r="E1752" s="93" t="n"/>
      <c r="F1752" s="94" t="n"/>
      <c r="G1752" s="94" t="n"/>
      <c r="H1752" s="94" t="n"/>
      <c r="I1752" s="94" t="n"/>
      <c r="J1752" s="55" t="n"/>
      <c r="K1752" s="95" t="n"/>
      <c r="L1752" s="116">
        <f>IF($A1752="","",DATE(YEAR($A1752),MONTH($A1752)+IF(AND(IFERROR(N(INDEX(Übersicht!$M$15:$M$22,MATCH($B1752,Übersicht!$A$15:$A$22,0))),0)&gt;1,DAY($A1752)&gt;=IFERROR(N(INDEX(Übersicht!$M$15:$M$22,MATCH($B1752,Übersicht!$A$15:$A$22,0))),0)),1,0),1))</f>
        <v/>
      </c>
    </row>
    <row r="1753">
      <c r="A1753" s="92" t="n"/>
      <c r="B1753" s="55" t="n"/>
      <c r="C1753" s="55" t="n"/>
      <c r="D1753" s="55" t="n"/>
      <c r="E1753" s="93" t="n"/>
      <c r="F1753" s="94" t="n"/>
      <c r="G1753" s="94" t="n"/>
      <c r="H1753" s="94" t="n"/>
      <c r="I1753" s="94" t="n"/>
      <c r="J1753" s="55" t="n"/>
      <c r="K1753" s="95" t="n"/>
      <c r="L1753" s="116">
        <f>IF($A1753="","",DATE(YEAR($A1753),MONTH($A1753)+IF(AND(IFERROR(N(INDEX(Übersicht!$M$15:$M$22,MATCH($B1753,Übersicht!$A$15:$A$22,0))),0)&gt;1,DAY($A1753)&gt;=IFERROR(N(INDEX(Übersicht!$M$15:$M$22,MATCH($B1753,Übersicht!$A$15:$A$22,0))),0)),1,0),1))</f>
        <v/>
      </c>
    </row>
    <row r="1754">
      <c r="A1754" s="92" t="n"/>
      <c r="B1754" s="55" t="n"/>
      <c r="C1754" s="55" t="n"/>
      <c r="D1754" s="55" t="n"/>
      <c r="E1754" s="93" t="n"/>
      <c r="F1754" s="94" t="n"/>
      <c r="G1754" s="94" t="n"/>
      <c r="H1754" s="94" t="n"/>
      <c r="I1754" s="94" t="n"/>
      <c r="J1754" s="55" t="n"/>
      <c r="K1754" s="95" t="n"/>
      <c r="L1754" s="116">
        <f>IF($A1754="","",DATE(YEAR($A1754),MONTH($A1754)+IF(AND(IFERROR(N(INDEX(Übersicht!$M$15:$M$22,MATCH($B1754,Übersicht!$A$15:$A$22,0))),0)&gt;1,DAY($A1754)&gt;=IFERROR(N(INDEX(Übersicht!$M$15:$M$22,MATCH($B1754,Übersicht!$A$15:$A$22,0))),0)),1,0),1))</f>
        <v/>
      </c>
    </row>
    <row r="1755">
      <c r="A1755" s="92" t="n"/>
      <c r="B1755" s="55" t="n"/>
      <c r="C1755" s="55" t="n"/>
      <c r="D1755" s="55" t="n"/>
      <c r="E1755" s="93" t="n"/>
      <c r="F1755" s="94" t="n"/>
      <c r="G1755" s="94" t="n"/>
      <c r="H1755" s="94" t="n"/>
      <c r="I1755" s="94" t="n"/>
      <c r="J1755" s="55" t="n"/>
      <c r="K1755" s="95" t="n"/>
      <c r="L1755" s="116">
        <f>IF($A1755="","",DATE(YEAR($A1755),MONTH($A1755)+IF(AND(IFERROR(N(INDEX(Übersicht!$M$15:$M$22,MATCH($B1755,Übersicht!$A$15:$A$22,0))),0)&gt;1,DAY($A1755)&gt;=IFERROR(N(INDEX(Übersicht!$M$15:$M$22,MATCH($B1755,Übersicht!$A$15:$A$22,0))),0)),1,0),1))</f>
        <v/>
      </c>
    </row>
    <row r="1756">
      <c r="A1756" s="92" t="n"/>
      <c r="B1756" s="55" t="n"/>
      <c r="C1756" s="55" t="n"/>
      <c r="D1756" s="55" t="n"/>
      <c r="E1756" s="93" t="n"/>
      <c r="F1756" s="94" t="n"/>
      <c r="G1756" s="94" t="n"/>
      <c r="H1756" s="94" t="n"/>
      <c r="I1756" s="94" t="n"/>
      <c r="J1756" s="55" t="n"/>
      <c r="K1756" s="95" t="n"/>
      <c r="L1756" s="116">
        <f>IF($A1756="","",DATE(YEAR($A1756),MONTH($A1756)+IF(AND(IFERROR(N(INDEX(Übersicht!$M$15:$M$22,MATCH($B1756,Übersicht!$A$15:$A$22,0))),0)&gt;1,DAY($A1756)&gt;=IFERROR(N(INDEX(Übersicht!$M$15:$M$22,MATCH($B1756,Übersicht!$A$15:$A$22,0))),0)),1,0),1))</f>
        <v/>
      </c>
    </row>
    <row r="1757">
      <c r="A1757" s="92" t="n"/>
      <c r="B1757" s="55" t="n"/>
      <c r="C1757" s="55" t="n"/>
      <c r="D1757" s="55" t="n"/>
      <c r="E1757" s="93" t="n"/>
      <c r="F1757" s="94" t="n"/>
      <c r="G1757" s="94" t="n"/>
      <c r="H1757" s="94" t="n"/>
      <c r="I1757" s="94" t="n"/>
      <c r="J1757" s="55" t="n"/>
      <c r="K1757" s="95" t="n"/>
      <c r="L1757" s="116">
        <f>IF($A1757="","",DATE(YEAR($A1757),MONTH($A1757)+IF(AND(IFERROR(N(INDEX(Übersicht!$M$15:$M$22,MATCH($B1757,Übersicht!$A$15:$A$22,0))),0)&gt;1,DAY($A1757)&gt;=IFERROR(N(INDEX(Übersicht!$M$15:$M$22,MATCH($B1757,Übersicht!$A$15:$A$22,0))),0)),1,0),1))</f>
        <v/>
      </c>
    </row>
    <row r="1758">
      <c r="A1758" s="92" t="n"/>
      <c r="B1758" s="55" t="n"/>
      <c r="C1758" s="55" t="n"/>
      <c r="D1758" s="55" t="n"/>
      <c r="E1758" s="93" t="n"/>
      <c r="F1758" s="94" t="n"/>
      <c r="G1758" s="94" t="n"/>
      <c r="H1758" s="94" t="n"/>
      <c r="I1758" s="94" t="n"/>
      <c r="J1758" s="55" t="n"/>
      <c r="K1758" s="95" t="n"/>
      <c r="L1758" s="116">
        <f>IF($A1758="","",DATE(YEAR($A1758),MONTH($A1758)+IF(AND(IFERROR(N(INDEX(Übersicht!$M$15:$M$22,MATCH($B1758,Übersicht!$A$15:$A$22,0))),0)&gt;1,DAY($A1758)&gt;=IFERROR(N(INDEX(Übersicht!$M$15:$M$22,MATCH($B1758,Übersicht!$A$15:$A$22,0))),0)),1,0),1))</f>
        <v/>
      </c>
    </row>
    <row r="1759">
      <c r="A1759" s="92" t="n"/>
      <c r="B1759" s="55" t="n"/>
      <c r="C1759" s="55" t="n"/>
      <c r="D1759" s="55" t="n"/>
      <c r="E1759" s="93" t="n"/>
      <c r="F1759" s="94" t="n"/>
      <c r="G1759" s="94" t="n"/>
      <c r="H1759" s="94" t="n"/>
      <c r="I1759" s="94" t="n"/>
      <c r="J1759" s="55" t="n"/>
      <c r="K1759" s="95" t="n"/>
      <c r="L1759" s="116">
        <f>IF($A1759="","",DATE(YEAR($A1759),MONTH($A1759)+IF(AND(IFERROR(N(INDEX(Übersicht!$M$15:$M$22,MATCH($B1759,Übersicht!$A$15:$A$22,0))),0)&gt;1,DAY($A1759)&gt;=IFERROR(N(INDEX(Übersicht!$M$15:$M$22,MATCH($B1759,Übersicht!$A$15:$A$22,0))),0)),1,0),1))</f>
        <v/>
      </c>
    </row>
    <row r="1760">
      <c r="A1760" s="92" t="n"/>
      <c r="B1760" s="55" t="n"/>
      <c r="C1760" s="55" t="n"/>
      <c r="D1760" s="55" t="n"/>
      <c r="E1760" s="93" t="n"/>
      <c r="F1760" s="94" t="n"/>
      <c r="G1760" s="94" t="n"/>
      <c r="H1760" s="94" t="n"/>
      <c r="I1760" s="94" t="n"/>
      <c r="J1760" s="55" t="n"/>
      <c r="K1760" s="95" t="n"/>
      <c r="L1760" s="116">
        <f>IF($A1760="","",DATE(YEAR($A1760),MONTH($A1760)+IF(AND(IFERROR(N(INDEX(Übersicht!$M$15:$M$22,MATCH($B1760,Übersicht!$A$15:$A$22,0))),0)&gt;1,DAY($A1760)&gt;=IFERROR(N(INDEX(Übersicht!$M$15:$M$22,MATCH($B1760,Übersicht!$A$15:$A$22,0))),0)),1,0),1))</f>
        <v/>
      </c>
    </row>
    <row r="1761">
      <c r="A1761" s="92" t="n"/>
      <c r="B1761" s="55" t="n"/>
      <c r="C1761" s="55" t="n"/>
      <c r="D1761" s="55" t="n"/>
      <c r="E1761" s="93" t="n"/>
      <c r="F1761" s="94" t="n"/>
      <c r="G1761" s="94" t="n"/>
      <c r="H1761" s="94" t="n"/>
      <c r="I1761" s="94" t="n"/>
      <c r="J1761" s="55" t="n"/>
      <c r="K1761" s="95" t="n"/>
      <c r="L1761" s="116">
        <f>IF($A1761="","",DATE(YEAR($A1761),MONTH($A1761)+IF(AND(IFERROR(N(INDEX(Übersicht!$M$15:$M$22,MATCH($B1761,Übersicht!$A$15:$A$22,0))),0)&gt;1,DAY($A1761)&gt;=IFERROR(N(INDEX(Übersicht!$M$15:$M$22,MATCH($B1761,Übersicht!$A$15:$A$22,0))),0)),1,0),1))</f>
        <v/>
      </c>
    </row>
    <row r="1762">
      <c r="A1762" s="92" t="n"/>
      <c r="B1762" s="55" t="n"/>
      <c r="C1762" s="55" t="n"/>
      <c r="D1762" s="55" t="n"/>
      <c r="E1762" s="93" t="n"/>
      <c r="F1762" s="94" t="n"/>
      <c r="G1762" s="94" t="n"/>
      <c r="H1762" s="94" t="n"/>
      <c r="I1762" s="94" t="n"/>
      <c r="J1762" s="55" t="n"/>
      <c r="K1762" s="95" t="n"/>
      <c r="L1762" s="116">
        <f>IF($A1762="","",DATE(YEAR($A1762),MONTH($A1762)+IF(AND(IFERROR(N(INDEX(Übersicht!$M$15:$M$22,MATCH($B1762,Übersicht!$A$15:$A$22,0))),0)&gt;1,DAY($A1762)&gt;=IFERROR(N(INDEX(Übersicht!$M$15:$M$22,MATCH($B1762,Übersicht!$A$15:$A$22,0))),0)),1,0),1))</f>
        <v/>
      </c>
    </row>
    <row r="1763">
      <c r="A1763" s="92" t="n"/>
      <c r="B1763" s="55" t="n"/>
      <c r="C1763" s="55" t="n"/>
      <c r="D1763" s="55" t="n"/>
      <c r="E1763" s="93" t="n"/>
      <c r="F1763" s="94" t="n"/>
      <c r="G1763" s="94" t="n"/>
      <c r="H1763" s="94" t="n"/>
      <c r="I1763" s="94" t="n"/>
      <c r="J1763" s="55" t="n"/>
      <c r="K1763" s="95" t="n"/>
      <c r="L1763" s="116">
        <f>IF($A1763="","",DATE(YEAR($A1763),MONTH($A1763)+IF(AND(IFERROR(N(INDEX(Übersicht!$M$15:$M$22,MATCH($B1763,Übersicht!$A$15:$A$22,0))),0)&gt;1,DAY($A1763)&gt;=IFERROR(N(INDEX(Übersicht!$M$15:$M$22,MATCH($B1763,Übersicht!$A$15:$A$22,0))),0)),1,0),1))</f>
        <v/>
      </c>
    </row>
    <row r="1764">
      <c r="A1764" s="92" t="n"/>
      <c r="B1764" s="55" t="n"/>
      <c r="C1764" s="55" t="n"/>
      <c r="D1764" s="55" t="n"/>
      <c r="E1764" s="93" t="n"/>
      <c r="F1764" s="94" t="n"/>
      <c r="G1764" s="94" t="n"/>
      <c r="H1764" s="94" t="n"/>
      <c r="I1764" s="94" t="n"/>
      <c r="J1764" s="55" t="n"/>
      <c r="K1764" s="95" t="n"/>
      <c r="L1764" s="116">
        <f>IF($A1764="","",DATE(YEAR($A1764),MONTH($A1764)+IF(AND(IFERROR(N(INDEX(Übersicht!$M$15:$M$22,MATCH($B1764,Übersicht!$A$15:$A$22,0))),0)&gt;1,DAY($A1764)&gt;=IFERROR(N(INDEX(Übersicht!$M$15:$M$22,MATCH($B1764,Übersicht!$A$15:$A$22,0))),0)),1,0),1))</f>
        <v/>
      </c>
    </row>
    <row r="1765">
      <c r="A1765" s="92" t="n"/>
      <c r="B1765" s="55" t="n"/>
      <c r="C1765" s="55" t="n"/>
      <c r="D1765" s="55" t="n"/>
      <c r="E1765" s="93" t="n"/>
      <c r="F1765" s="94" t="n"/>
      <c r="G1765" s="94" t="n"/>
      <c r="H1765" s="94" t="n"/>
      <c r="I1765" s="94" t="n"/>
      <c r="J1765" s="55" t="n"/>
      <c r="K1765" s="95" t="n"/>
      <c r="L1765" s="116">
        <f>IF($A1765="","",DATE(YEAR($A1765),MONTH($A1765)+IF(AND(IFERROR(N(INDEX(Übersicht!$M$15:$M$22,MATCH($B1765,Übersicht!$A$15:$A$22,0))),0)&gt;1,DAY($A1765)&gt;=IFERROR(N(INDEX(Übersicht!$M$15:$M$22,MATCH($B1765,Übersicht!$A$15:$A$22,0))),0)),1,0),1))</f>
        <v/>
      </c>
    </row>
    <row r="1766">
      <c r="A1766" s="92" t="n"/>
      <c r="B1766" s="55" t="n"/>
      <c r="C1766" s="55" t="n"/>
      <c r="D1766" s="55" t="n"/>
      <c r="E1766" s="93" t="n"/>
      <c r="F1766" s="94" t="n"/>
      <c r="G1766" s="94" t="n"/>
      <c r="H1766" s="94" t="n"/>
      <c r="I1766" s="94" t="n"/>
      <c r="J1766" s="55" t="n"/>
      <c r="K1766" s="95" t="n"/>
      <c r="L1766" s="116">
        <f>IF($A1766="","",DATE(YEAR($A1766),MONTH($A1766)+IF(AND(IFERROR(N(INDEX(Übersicht!$M$15:$M$22,MATCH($B1766,Übersicht!$A$15:$A$22,0))),0)&gt;1,DAY($A1766)&gt;=IFERROR(N(INDEX(Übersicht!$M$15:$M$22,MATCH($B1766,Übersicht!$A$15:$A$22,0))),0)),1,0),1))</f>
        <v/>
      </c>
    </row>
    <row r="1767">
      <c r="A1767" s="92" t="n"/>
      <c r="B1767" s="55" t="n"/>
      <c r="C1767" s="55" t="n"/>
      <c r="D1767" s="55" t="n"/>
      <c r="E1767" s="93" t="n"/>
      <c r="F1767" s="94" t="n"/>
      <c r="G1767" s="94" t="n"/>
      <c r="H1767" s="94" t="n"/>
      <c r="I1767" s="94" t="n"/>
      <c r="J1767" s="55" t="n"/>
      <c r="K1767" s="95" t="n"/>
      <c r="L1767" s="116">
        <f>IF($A1767="","",DATE(YEAR($A1767),MONTH($A1767)+IF(AND(IFERROR(N(INDEX(Übersicht!$M$15:$M$22,MATCH($B1767,Übersicht!$A$15:$A$22,0))),0)&gt;1,DAY($A1767)&gt;=IFERROR(N(INDEX(Übersicht!$M$15:$M$22,MATCH($B1767,Übersicht!$A$15:$A$22,0))),0)),1,0),1))</f>
        <v/>
      </c>
    </row>
    <row r="1768">
      <c r="A1768" s="92" t="n"/>
      <c r="B1768" s="55" t="n"/>
      <c r="C1768" s="55" t="n"/>
      <c r="D1768" s="55" t="n"/>
      <c r="E1768" s="93" t="n"/>
      <c r="F1768" s="94" t="n"/>
      <c r="G1768" s="94" t="n"/>
      <c r="H1768" s="94" t="n"/>
      <c r="I1768" s="94" t="n"/>
      <c r="J1768" s="55" t="n"/>
      <c r="K1768" s="95" t="n"/>
      <c r="L1768" s="116">
        <f>IF($A1768="","",DATE(YEAR($A1768),MONTH($A1768)+IF(AND(IFERROR(N(INDEX(Übersicht!$M$15:$M$22,MATCH($B1768,Übersicht!$A$15:$A$22,0))),0)&gt;1,DAY($A1768)&gt;=IFERROR(N(INDEX(Übersicht!$M$15:$M$22,MATCH($B1768,Übersicht!$A$15:$A$22,0))),0)),1,0),1))</f>
        <v/>
      </c>
    </row>
    <row r="1769">
      <c r="A1769" s="92" t="n"/>
      <c r="B1769" s="55" t="n"/>
      <c r="C1769" s="55" t="n"/>
      <c r="D1769" s="55" t="n"/>
      <c r="E1769" s="93" t="n"/>
      <c r="F1769" s="94" t="n"/>
      <c r="G1769" s="94" t="n"/>
      <c r="H1769" s="94" t="n"/>
      <c r="I1769" s="94" t="n"/>
      <c r="J1769" s="55" t="n"/>
      <c r="K1769" s="95" t="n"/>
      <c r="L1769" s="116">
        <f>IF($A1769="","",DATE(YEAR($A1769),MONTH($A1769)+IF(AND(IFERROR(N(INDEX(Übersicht!$M$15:$M$22,MATCH($B1769,Übersicht!$A$15:$A$22,0))),0)&gt;1,DAY($A1769)&gt;=IFERROR(N(INDEX(Übersicht!$M$15:$M$22,MATCH($B1769,Übersicht!$A$15:$A$22,0))),0)),1,0),1))</f>
        <v/>
      </c>
    </row>
    <row r="1770">
      <c r="A1770" s="92" t="n"/>
      <c r="B1770" s="55" t="n"/>
      <c r="C1770" s="55" t="n"/>
      <c r="D1770" s="55" t="n"/>
      <c r="E1770" s="93" t="n"/>
      <c r="F1770" s="94" t="n"/>
      <c r="G1770" s="94" t="n"/>
      <c r="H1770" s="94" t="n"/>
      <c r="I1770" s="94" t="n"/>
      <c r="J1770" s="55" t="n"/>
      <c r="K1770" s="95" t="n"/>
      <c r="L1770" s="116">
        <f>IF($A1770="","",DATE(YEAR($A1770),MONTH($A1770)+IF(AND(IFERROR(N(INDEX(Übersicht!$M$15:$M$22,MATCH($B1770,Übersicht!$A$15:$A$22,0))),0)&gt;1,DAY($A1770)&gt;=IFERROR(N(INDEX(Übersicht!$M$15:$M$22,MATCH($B1770,Übersicht!$A$15:$A$22,0))),0)),1,0),1))</f>
        <v/>
      </c>
    </row>
    <row r="1771">
      <c r="A1771" s="92" t="n"/>
      <c r="B1771" s="55" t="n"/>
      <c r="C1771" s="55" t="n"/>
      <c r="D1771" s="55" t="n"/>
      <c r="E1771" s="93" t="n"/>
      <c r="F1771" s="94" t="n"/>
      <c r="G1771" s="94" t="n"/>
      <c r="H1771" s="94" t="n"/>
      <c r="I1771" s="94" t="n"/>
      <c r="J1771" s="55" t="n"/>
      <c r="K1771" s="95" t="n"/>
      <c r="L1771" s="116">
        <f>IF($A1771="","",DATE(YEAR($A1771),MONTH($A1771)+IF(AND(IFERROR(N(INDEX(Übersicht!$M$15:$M$22,MATCH($B1771,Übersicht!$A$15:$A$22,0))),0)&gt;1,DAY($A1771)&gt;=IFERROR(N(INDEX(Übersicht!$M$15:$M$22,MATCH($B1771,Übersicht!$A$15:$A$22,0))),0)),1,0),1))</f>
        <v/>
      </c>
    </row>
    <row r="1772">
      <c r="A1772" s="92" t="n"/>
      <c r="B1772" s="55" t="n"/>
      <c r="C1772" s="55" t="n"/>
      <c r="D1772" s="55" t="n"/>
      <c r="E1772" s="93" t="n"/>
      <c r="F1772" s="94" t="n"/>
      <c r="G1772" s="94" t="n"/>
      <c r="H1772" s="94" t="n"/>
      <c r="I1772" s="94" t="n"/>
      <c r="J1772" s="55" t="n"/>
      <c r="K1772" s="95" t="n"/>
      <c r="L1772" s="116">
        <f>IF($A1772="","",DATE(YEAR($A1772),MONTH($A1772)+IF(AND(IFERROR(N(INDEX(Übersicht!$M$15:$M$22,MATCH($B1772,Übersicht!$A$15:$A$22,0))),0)&gt;1,DAY($A1772)&gt;=IFERROR(N(INDEX(Übersicht!$M$15:$M$22,MATCH($B1772,Übersicht!$A$15:$A$22,0))),0)),1,0),1))</f>
        <v/>
      </c>
    </row>
    <row r="1773">
      <c r="A1773" s="92" t="n"/>
      <c r="B1773" s="55" t="n"/>
      <c r="C1773" s="55" t="n"/>
      <c r="D1773" s="55" t="n"/>
      <c r="E1773" s="93" t="n"/>
      <c r="F1773" s="94" t="n"/>
      <c r="G1773" s="94" t="n"/>
      <c r="H1773" s="94" t="n"/>
      <c r="I1773" s="94" t="n"/>
      <c r="J1773" s="55" t="n"/>
      <c r="K1773" s="95" t="n"/>
      <c r="L1773" s="116">
        <f>IF($A1773="","",DATE(YEAR($A1773),MONTH($A1773)+IF(AND(IFERROR(N(INDEX(Übersicht!$M$15:$M$22,MATCH($B1773,Übersicht!$A$15:$A$22,0))),0)&gt;1,DAY($A1773)&gt;=IFERROR(N(INDEX(Übersicht!$M$15:$M$22,MATCH($B1773,Übersicht!$A$15:$A$22,0))),0)),1,0),1))</f>
        <v/>
      </c>
    </row>
    <row r="1774">
      <c r="A1774" s="92" t="n"/>
      <c r="B1774" s="55" t="n"/>
      <c r="C1774" s="55" t="n"/>
      <c r="D1774" s="55" t="n"/>
      <c r="E1774" s="93" t="n"/>
      <c r="F1774" s="94" t="n"/>
      <c r="G1774" s="94" t="n"/>
      <c r="H1774" s="94" t="n"/>
      <c r="I1774" s="94" t="n"/>
      <c r="J1774" s="55" t="n"/>
      <c r="K1774" s="95" t="n"/>
      <c r="L1774" s="116">
        <f>IF($A1774="","",DATE(YEAR($A1774),MONTH($A1774)+IF(AND(IFERROR(N(INDEX(Übersicht!$M$15:$M$22,MATCH($B1774,Übersicht!$A$15:$A$22,0))),0)&gt;1,DAY($A1774)&gt;=IFERROR(N(INDEX(Übersicht!$M$15:$M$22,MATCH($B1774,Übersicht!$A$15:$A$22,0))),0)),1,0),1))</f>
        <v/>
      </c>
    </row>
    <row r="1775">
      <c r="A1775" s="92" t="n"/>
      <c r="B1775" s="55" t="n"/>
      <c r="C1775" s="55" t="n"/>
      <c r="D1775" s="55" t="n"/>
      <c r="E1775" s="93" t="n"/>
      <c r="F1775" s="94" t="n"/>
      <c r="G1775" s="94" t="n"/>
      <c r="H1775" s="94" t="n"/>
      <c r="I1775" s="94" t="n"/>
      <c r="J1775" s="55" t="n"/>
      <c r="K1775" s="95" t="n"/>
      <c r="L1775" s="116">
        <f>IF($A1775="","",DATE(YEAR($A1775),MONTH($A1775)+IF(AND(IFERROR(N(INDEX(Übersicht!$M$15:$M$22,MATCH($B1775,Übersicht!$A$15:$A$22,0))),0)&gt;1,DAY($A1775)&gt;=IFERROR(N(INDEX(Übersicht!$M$15:$M$22,MATCH($B1775,Übersicht!$A$15:$A$22,0))),0)),1,0),1))</f>
        <v/>
      </c>
    </row>
    <row r="1776">
      <c r="A1776" s="92" t="n"/>
      <c r="B1776" s="55" t="n"/>
      <c r="C1776" s="55" t="n"/>
      <c r="D1776" s="55" t="n"/>
      <c r="E1776" s="93" t="n"/>
      <c r="F1776" s="94" t="n"/>
      <c r="G1776" s="94" t="n"/>
      <c r="H1776" s="94" t="n"/>
      <c r="I1776" s="94" t="n"/>
      <c r="J1776" s="55" t="n"/>
      <c r="K1776" s="95" t="n"/>
      <c r="L1776" s="116">
        <f>IF($A1776="","",DATE(YEAR($A1776),MONTH($A1776)+IF(AND(IFERROR(N(INDEX(Übersicht!$M$15:$M$22,MATCH($B1776,Übersicht!$A$15:$A$22,0))),0)&gt;1,DAY($A1776)&gt;=IFERROR(N(INDEX(Übersicht!$M$15:$M$22,MATCH($B1776,Übersicht!$A$15:$A$22,0))),0)),1,0),1))</f>
        <v/>
      </c>
    </row>
    <row r="1777">
      <c r="A1777" s="92" t="n"/>
      <c r="B1777" s="55" t="n"/>
      <c r="C1777" s="55" t="n"/>
      <c r="D1777" s="55" t="n"/>
      <c r="E1777" s="93" t="n"/>
      <c r="F1777" s="94" t="n"/>
      <c r="G1777" s="94" t="n"/>
      <c r="H1777" s="94" t="n"/>
      <c r="I1777" s="94" t="n"/>
      <c r="J1777" s="55" t="n"/>
      <c r="K1777" s="95" t="n"/>
      <c r="L1777" s="116">
        <f>IF($A1777="","",DATE(YEAR($A1777),MONTH($A1777)+IF(AND(IFERROR(N(INDEX(Übersicht!$M$15:$M$22,MATCH($B1777,Übersicht!$A$15:$A$22,0))),0)&gt;1,DAY($A1777)&gt;=IFERROR(N(INDEX(Übersicht!$M$15:$M$22,MATCH($B1777,Übersicht!$A$15:$A$22,0))),0)),1,0),1))</f>
        <v/>
      </c>
    </row>
    <row r="1778">
      <c r="A1778" s="92" t="n"/>
      <c r="B1778" s="55" t="n"/>
      <c r="C1778" s="55" t="n"/>
      <c r="D1778" s="55" t="n"/>
      <c r="E1778" s="93" t="n"/>
      <c r="F1778" s="94" t="n"/>
      <c r="G1778" s="94" t="n"/>
      <c r="H1778" s="94" t="n"/>
      <c r="I1778" s="94" t="n"/>
      <c r="J1778" s="55" t="n"/>
      <c r="K1778" s="95" t="n"/>
      <c r="L1778" s="116">
        <f>IF($A1778="","",DATE(YEAR($A1778),MONTH($A1778)+IF(AND(IFERROR(N(INDEX(Übersicht!$M$15:$M$22,MATCH($B1778,Übersicht!$A$15:$A$22,0))),0)&gt;1,DAY($A1778)&gt;=IFERROR(N(INDEX(Übersicht!$M$15:$M$22,MATCH($B1778,Übersicht!$A$15:$A$22,0))),0)),1,0),1))</f>
        <v/>
      </c>
    </row>
    <row r="1779">
      <c r="A1779" s="92" t="n"/>
      <c r="B1779" s="55" t="n"/>
      <c r="C1779" s="55" t="n"/>
      <c r="D1779" s="55" t="n"/>
      <c r="E1779" s="93" t="n"/>
      <c r="F1779" s="94" t="n"/>
      <c r="G1779" s="94" t="n"/>
      <c r="H1779" s="94" t="n"/>
      <c r="I1779" s="94" t="n"/>
      <c r="J1779" s="55" t="n"/>
      <c r="K1779" s="95" t="n"/>
      <c r="L1779" s="116">
        <f>IF($A1779="","",DATE(YEAR($A1779),MONTH($A1779)+IF(AND(IFERROR(N(INDEX(Übersicht!$M$15:$M$22,MATCH($B1779,Übersicht!$A$15:$A$22,0))),0)&gt;1,DAY($A1779)&gt;=IFERROR(N(INDEX(Übersicht!$M$15:$M$22,MATCH($B1779,Übersicht!$A$15:$A$22,0))),0)),1,0),1))</f>
        <v/>
      </c>
    </row>
    <row r="1780">
      <c r="A1780" s="92" t="n"/>
      <c r="B1780" s="55" t="n"/>
      <c r="C1780" s="55" t="n"/>
      <c r="D1780" s="55" t="n"/>
      <c r="E1780" s="93" t="n"/>
      <c r="F1780" s="94" t="n"/>
      <c r="G1780" s="94" t="n"/>
      <c r="H1780" s="94" t="n"/>
      <c r="I1780" s="94" t="n"/>
      <c r="J1780" s="55" t="n"/>
      <c r="K1780" s="95" t="n"/>
      <c r="L1780" s="116">
        <f>IF($A1780="","",DATE(YEAR($A1780),MONTH($A1780)+IF(AND(IFERROR(N(INDEX(Übersicht!$M$15:$M$22,MATCH($B1780,Übersicht!$A$15:$A$22,0))),0)&gt;1,DAY($A1780)&gt;=IFERROR(N(INDEX(Übersicht!$M$15:$M$22,MATCH($B1780,Übersicht!$A$15:$A$22,0))),0)),1,0),1))</f>
        <v/>
      </c>
    </row>
    <row r="1781">
      <c r="A1781" s="92" t="n"/>
      <c r="B1781" s="55" t="n"/>
      <c r="C1781" s="55" t="n"/>
      <c r="D1781" s="55" t="n"/>
      <c r="E1781" s="93" t="n"/>
      <c r="F1781" s="94" t="n"/>
      <c r="G1781" s="94" t="n"/>
      <c r="H1781" s="94" t="n"/>
      <c r="I1781" s="94" t="n"/>
      <c r="J1781" s="55" t="n"/>
      <c r="K1781" s="95" t="n"/>
      <c r="L1781" s="116">
        <f>IF($A1781="","",DATE(YEAR($A1781),MONTH($A1781)+IF(AND(IFERROR(N(INDEX(Übersicht!$M$15:$M$22,MATCH($B1781,Übersicht!$A$15:$A$22,0))),0)&gt;1,DAY($A1781)&gt;=IFERROR(N(INDEX(Übersicht!$M$15:$M$22,MATCH($B1781,Übersicht!$A$15:$A$22,0))),0)),1,0),1))</f>
        <v/>
      </c>
    </row>
    <row r="1782">
      <c r="A1782" s="92" t="n"/>
      <c r="B1782" s="55" t="n"/>
      <c r="C1782" s="55" t="n"/>
      <c r="D1782" s="55" t="n"/>
      <c r="E1782" s="93" t="n"/>
      <c r="F1782" s="94" t="n"/>
      <c r="G1782" s="94" t="n"/>
      <c r="H1782" s="94" t="n"/>
      <c r="I1782" s="94" t="n"/>
      <c r="J1782" s="55" t="n"/>
      <c r="K1782" s="95" t="n"/>
      <c r="L1782" s="116">
        <f>IF($A1782="","",DATE(YEAR($A1782),MONTH($A1782)+IF(AND(IFERROR(N(INDEX(Übersicht!$M$15:$M$22,MATCH($B1782,Übersicht!$A$15:$A$22,0))),0)&gt;1,DAY($A1782)&gt;=IFERROR(N(INDEX(Übersicht!$M$15:$M$22,MATCH($B1782,Übersicht!$A$15:$A$22,0))),0)),1,0),1))</f>
        <v/>
      </c>
    </row>
    <row r="1783">
      <c r="A1783" s="92" t="n"/>
      <c r="B1783" s="55" t="n"/>
      <c r="C1783" s="55" t="n"/>
      <c r="D1783" s="55" t="n"/>
      <c r="E1783" s="93" t="n"/>
      <c r="F1783" s="94" t="n"/>
      <c r="G1783" s="94" t="n"/>
      <c r="H1783" s="94" t="n"/>
      <c r="I1783" s="94" t="n"/>
      <c r="J1783" s="55" t="n"/>
      <c r="K1783" s="95" t="n"/>
      <c r="L1783" s="116">
        <f>IF($A1783="","",DATE(YEAR($A1783),MONTH($A1783)+IF(AND(IFERROR(N(INDEX(Übersicht!$M$15:$M$22,MATCH($B1783,Übersicht!$A$15:$A$22,0))),0)&gt;1,DAY($A1783)&gt;=IFERROR(N(INDEX(Übersicht!$M$15:$M$22,MATCH($B1783,Übersicht!$A$15:$A$22,0))),0)),1,0),1))</f>
        <v/>
      </c>
    </row>
    <row r="1784">
      <c r="A1784" s="92" t="n"/>
      <c r="B1784" s="55" t="n"/>
      <c r="C1784" s="55" t="n"/>
      <c r="D1784" s="55" t="n"/>
      <c r="E1784" s="93" t="n"/>
      <c r="F1784" s="94" t="n"/>
      <c r="G1784" s="94" t="n"/>
      <c r="H1784" s="94" t="n"/>
      <c r="I1784" s="94" t="n"/>
      <c r="J1784" s="55" t="n"/>
      <c r="K1784" s="95" t="n"/>
      <c r="L1784" s="116">
        <f>IF($A1784="","",DATE(YEAR($A1784),MONTH($A1784)+IF(AND(IFERROR(N(INDEX(Übersicht!$M$15:$M$22,MATCH($B1784,Übersicht!$A$15:$A$22,0))),0)&gt;1,DAY($A1784)&gt;=IFERROR(N(INDEX(Übersicht!$M$15:$M$22,MATCH($B1784,Übersicht!$A$15:$A$22,0))),0)),1,0),1))</f>
        <v/>
      </c>
    </row>
    <row r="1785">
      <c r="A1785" s="92" t="n"/>
      <c r="B1785" s="55" t="n"/>
      <c r="C1785" s="55" t="n"/>
      <c r="D1785" s="55" t="n"/>
      <c r="E1785" s="93" t="n"/>
      <c r="F1785" s="94" t="n"/>
      <c r="G1785" s="94" t="n"/>
      <c r="H1785" s="94" t="n"/>
      <c r="I1785" s="94" t="n"/>
      <c r="J1785" s="55" t="n"/>
      <c r="K1785" s="95" t="n"/>
      <c r="L1785" s="116">
        <f>IF($A1785="","",DATE(YEAR($A1785),MONTH($A1785)+IF(AND(IFERROR(N(INDEX(Übersicht!$M$15:$M$22,MATCH($B1785,Übersicht!$A$15:$A$22,0))),0)&gt;1,DAY($A1785)&gt;=IFERROR(N(INDEX(Übersicht!$M$15:$M$22,MATCH($B1785,Übersicht!$A$15:$A$22,0))),0)),1,0),1))</f>
        <v/>
      </c>
    </row>
    <row r="1786">
      <c r="A1786" s="92" t="n"/>
      <c r="B1786" s="55" t="n"/>
      <c r="C1786" s="55" t="n"/>
      <c r="D1786" s="55" t="n"/>
      <c r="E1786" s="93" t="n"/>
      <c r="F1786" s="94" t="n"/>
      <c r="G1786" s="94" t="n"/>
      <c r="H1786" s="94" t="n"/>
      <c r="I1786" s="94" t="n"/>
      <c r="J1786" s="55" t="n"/>
      <c r="K1786" s="95" t="n"/>
      <c r="L1786" s="116">
        <f>IF($A1786="","",DATE(YEAR($A1786),MONTH($A1786)+IF(AND(IFERROR(N(INDEX(Übersicht!$M$15:$M$22,MATCH($B1786,Übersicht!$A$15:$A$22,0))),0)&gt;1,DAY($A1786)&gt;=IFERROR(N(INDEX(Übersicht!$M$15:$M$22,MATCH($B1786,Übersicht!$A$15:$A$22,0))),0)),1,0),1))</f>
        <v/>
      </c>
    </row>
    <row r="1787">
      <c r="A1787" s="92" t="n"/>
      <c r="B1787" s="55" t="n"/>
      <c r="C1787" s="55" t="n"/>
      <c r="D1787" s="55" t="n"/>
      <c r="E1787" s="93" t="n"/>
      <c r="F1787" s="94" t="n"/>
      <c r="G1787" s="94" t="n"/>
      <c r="H1787" s="94" t="n"/>
      <c r="I1787" s="94" t="n"/>
      <c r="J1787" s="55" t="n"/>
      <c r="K1787" s="95" t="n"/>
      <c r="L1787" s="116">
        <f>IF($A1787="","",DATE(YEAR($A1787),MONTH($A1787)+IF(AND(IFERROR(N(INDEX(Übersicht!$M$15:$M$22,MATCH($B1787,Übersicht!$A$15:$A$22,0))),0)&gt;1,DAY($A1787)&gt;=IFERROR(N(INDEX(Übersicht!$M$15:$M$22,MATCH($B1787,Übersicht!$A$15:$A$22,0))),0)),1,0),1))</f>
        <v/>
      </c>
    </row>
    <row r="1788">
      <c r="A1788" s="92" t="n"/>
      <c r="B1788" s="55" t="n"/>
      <c r="C1788" s="55" t="n"/>
      <c r="D1788" s="55" t="n"/>
      <c r="E1788" s="93" t="n"/>
      <c r="F1788" s="94" t="n"/>
      <c r="G1788" s="94" t="n"/>
      <c r="H1788" s="94" t="n"/>
      <c r="I1788" s="94" t="n"/>
      <c r="J1788" s="55" t="n"/>
      <c r="K1788" s="95" t="n"/>
      <c r="L1788" s="116">
        <f>IF($A1788="","",DATE(YEAR($A1788),MONTH($A1788)+IF(AND(IFERROR(N(INDEX(Übersicht!$M$15:$M$22,MATCH($B1788,Übersicht!$A$15:$A$22,0))),0)&gt;1,DAY($A1788)&gt;=IFERROR(N(INDEX(Übersicht!$M$15:$M$22,MATCH($B1788,Übersicht!$A$15:$A$22,0))),0)),1,0),1))</f>
        <v/>
      </c>
    </row>
    <row r="1789">
      <c r="A1789" s="92" t="n"/>
      <c r="B1789" s="55" t="n"/>
      <c r="C1789" s="55" t="n"/>
      <c r="D1789" s="55" t="n"/>
      <c r="E1789" s="93" t="n"/>
      <c r="F1789" s="94" t="n"/>
      <c r="G1789" s="94" t="n"/>
      <c r="H1789" s="94" t="n"/>
      <c r="I1789" s="94" t="n"/>
      <c r="J1789" s="55" t="n"/>
      <c r="K1789" s="95" t="n"/>
      <c r="L1789" s="116">
        <f>IF($A1789="","",DATE(YEAR($A1789),MONTH($A1789)+IF(AND(IFERROR(N(INDEX(Übersicht!$M$15:$M$22,MATCH($B1789,Übersicht!$A$15:$A$22,0))),0)&gt;1,DAY($A1789)&gt;=IFERROR(N(INDEX(Übersicht!$M$15:$M$22,MATCH($B1789,Übersicht!$A$15:$A$22,0))),0)),1,0),1))</f>
        <v/>
      </c>
    </row>
    <row r="1790">
      <c r="A1790" s="92" t="n"/>
      <c r="B1790" s="55" t="n"/>
      <c r="C1790" s="55" t="n"/>
      <c r="D1790" s="55" t="n"/>
      <c r="E1790" s="93" t="n"/>
      <c r="F1790" s="94" t="n"/>
      <c r="G1790" s="94" t="n"/>
      <c r="H1790" s="94" t="n"/>
      <c r="I1790" s="94" t="n"/>
      <c r="J1790" s="55" t="n"/>
      <c r="K1790" s="95" t="n"/>
      <c r="L1790" s="116">
        <f>IF($A1790="","",DATE(YEAR($A1790),MONTH($A1790)+IF(AND(IFERROR(N(INDEX(Übersicht!$M$15:$M$22,MATCH($B1790,Übersicht!$A$15:$A$22,0))),0)&gt;1,DAY($A1790)&gt;=IFERROR(N(INDEX(Übersicht!$M$15:$M$22,MATCH($B1790,Übersicht!$A$15:$A$22,0))),0)),1,0),1))</f>
        <v/>
      </c>
    </row>
    <row r="1791">
      <c r="A1791" s="92" t="n"/>
      <c r="B1791" s="55" t="n"/>
      <c r="C1791" s="55" t="n"/>
      <c r="D1791" s="55" t="n"/>
      <c r="E1791" s="93" t="n"/>
      <c r="F1791" s="94" t="n"/>
      <c r="G1791" s="94" t="n"/>
      <c r="H1791" s="94" t="n"/>
      <c r="I1791" s="94" t="n"/>
      <c r="J1791" s="55" t="n"/>
      <c r="K1791" s="95" t="n"/>
      <c r="L1791" s="116">
        <f>IF($A1791="","",DATE(YEAR($A1791),MONTH($A1791)+IF(AND(IFERROR(N(INDEX(Übersicht!$M$15:$M$22,MATCH($B1791,Übersicht!$A$15:$A$22,0))),0)&gt;1,DAY($A1791)&gt;=IFERROR(N(INDEX(Übersicht!$M$15:$M$22,MATCH($B1791,Übersicht!$A$15:$A$22,0))),0)),1,0),1))</f>
        <v/>
      </c>
    </row>
    <row r="1792">
      <c r="A1792" s="92" t="n"/>
      <c r="B1792" s="55" t="n"/>
      <c r="C1792" s="55" t="n"/>
      <c r="D1792" s="55" t="n"/>
      <c r="E1792" s="93" t="n"/>
      <c r="F1792" s="94" t="n"/>
      <c r="G1792" s="94" t="n"/>
      <c r="H1792" s="94" t="n"/>
      <c r="I1792" s="94" t="n"/>
      <c r="J1792" s="55" t="n"/>
      <c r="K1792" s="95" t="n"/>
      <c r="L1792" s="116">
        <f>IF($A1792="","",DATE(YEAR($A1792),MONTH($A1792)+IF(AND(IFERROR(N(INDEX(Übersicht!$M$15:$M$22,MATCH($B1792,Übersicht!$A$15:$A$22,0))),0)&gt;1,DAY($A1792)&gt;=IFERROR(N(INDEX(Übersicht!$M$15:$M$22,MATCH($B1792,Übersicht!$A$15:$A$22,0))),0)),1,0),1))</f>
        <v/>
      </c>
    </row>
    <row r="1793">
      <c r="A1793" s="92" t="n"/>
      <c r="B1793" s="55" t="n"/>
      <c r="C1793" s="55" t="n"/>
      <c r="D1793" s="55" t="n"/>
      <c r="E1793" s="93" t="n"/>
      <c r="F1793" s="94" t="n"/>
      <c r="G1793" s="94" t="n"/>
      <c r="H1793" s="94" t="n"/>
      <c r="I1793" s="94" t="n"/>
      <c r="J1793" s="55" t="n"/>
      <c r="K1793" s="95" t="n"/>
      <c r="L1793" s="116">
        <f>IF($A1793="","",DATE(YEAR($A1793),MONTH($A1793)+IF(AND(IFERROR(N(INDEX(Übersicht!$M$15:$M$22,MATCH($B1793,Übersicht!$A$15:$A$22,0))),0)&gt;1,DAY($A1793)&gt;=IFERROR(N(INDEX(Übersicht!$M$15:$M$22,MATCH($B1793,Übersicht!$A$15:$A$22,0))),0)),1,0),1))</f>
        <v/>
      </c>
    </row>
    <row r="1794">
      <c r="A1794" s="92" t="n"/>
      <c r="B1794" s="55" t="n"/>
      <c r="C1794" s="55" t="n"/>
      <c r="D1794" s="55" t="n"/>
      <c r="E1794" s="93" t="n"/>
      <c r="F1794" s="94" t="n"/>
      <c r="G1794" s="94" t="n"/>
      <c r="H1794" s="94" t="n"/>
      <c r="I1794" s="94" t="n"/>
      <c r="J1794" s="55" t="n"/>
      <c r="K1794" s="95" t="n"/>
      <c r="L1794" s="116">
        <f>IF($A1794="","",DATE(YEAR($A1794),MONTH($A1794)+IF(AND(IFERROR(N(INDEX(Übersicht!$M$15:$M$22,MATCH($B1794,Übersicht!$A$15:$A$22,0))),0)&gt;1,DAY($A1794)&gt;=IFERROR(N(INDEX(Übersicht!$M$15:$M$22,MATCH($B1794,Übersicht!$A$15:$A$22,0))),0)),1,0),1))</f>
        <v/>
      </c>
    </row>
    <row r="1795">
      <c r="A1795" s="92" t="n"/>
      <c r="B1795" s="55" t="n"/>
      <c r="C1795" s="55" t="n"/>
      <c r="D1795" s="55" t="n"/>
      <c r="E1795" s="93" t="n"/>
      <c r="F1795" s="94" t="n"/>
      <c r="G1795" s="94" t="n"/>
      <c r="H1795" s="94" t="n"/>
      <c r="I1795" s="94" t="n"/>
      <c r="J1795" s="55" t="n"/>
      <c r="K1795" s="95" t="n"/>
      <c r="L1795" s="116">
        <f>IF($A1795="","",DATE(YEAR($A1795),MONTH($A1795)+IF(AND(IFERROR(N(INDEX(Übersicht!$M$15:$M$22,MATCH($B1795,Übersicht!$A$15:$A$22,0))),0)&gt;1,DAY($A1795)&gt;=IFERROR(N(INDEX(Übersicht!$M$15:$M$22,MATCH($B1795,Übersicht!$A$15:$A$22,0))),0)),1,0),1))</f>
        <v/>
      </c>
    </row>
    <row r="1796">
      <c r="A1796" s="92" t="n"/>
      <c r="B1796" s="55" t="n"/>
      <c r="C1796" s="55" t="n"/>
      <c r="D1796" s="55" t="n"/>
      <c r="E1796" s="93" t="n"/>
      <c r="F1796" s="94" t="n"/>
      <c r="G1796" s="94" t="n"/>
      <c r="H1796" s="94" t="n"/>
      <c r="I1796" s="94" t="n"/>
      <c r="J1796" s="55" t="n"/>
      <c r="K1796" s="95" t="n"/>
      <c r="L1796" s="116">
        <f>IF($A1796="","",DATE(YEAR($A1796),MONTH($A1796)+IF(AND(IFERROR(N(INDEX(Übersicht!$M$15:$M$22,MATCH($B1796,Übersicht!$A$15:$A$22,0))),0)&gt;1,DAY($A1796)&gt;=IFERROR(N(INDEX(Übersicht!$M$15:$M$22,MATCH($B1796,Übersicht!$A$15:$A$22,0))),0)),1,0),1))</f>
        <v/>
      </c>
    </row>
    <row r="1797">
      <c r="A1797" s="92" t="n"/>
      <c r="B1797" s="55" t="n"/>
      <c r="C1797" s="55" t="n"/>
      <c r="D1797" s="55" t="n"/>
      <c r="E1797" s="93" t="n"/>
      <c r="F1797" s="94" t="n"/>
      <c r="G1797" s="94" t="n"/>
      <c r="H1797" s="94" t="n"/>
      <c r="I1797" s="94" t="n"/>
      <c r="J1797" s="55" t="n"/>
      <c r="K1797" s="95" t="n"/>
      <c r="L1797" s="116">
        <f>IF($A1797="","",DATE(YEAR($A1797),MONTH($A1797)+IF(AND(IFERROR(N(INDEX(Übersicht!$M$15:$M$22,MATCH($B1797,Übersicht!$A$15:$A$22,0))),0)&gt;1,DAY($A1797)&gt;=IFERROR(N(INDEX(Übersicht!$M$15:$M$22,MATCH($B1797,Übersicht!$A$15:$A$22,0))),0)),1,0),1))</f>
        <v/>
      </c>
    </row>
    <row r="1798">
      <c r="A1798" s="92" t="n"/>
      <c r="B1798" s="55" t="n"/>
      <c r="C1798" s="55" t="n"/>
      <c r="D1798" s="55" t="n"/>
      <c r="E1798" s="93" t="n"/>
      <c r="F1798" s="94" t="n"/>
      <c r="G1798" s="94" t="n"/>
      <c r="H1798" s="94" t="n"/>
      <c r="I1798" s="94" t="n"/>
      <c r="J1798" s="55" t="n"/>
      <c r="K1798" s="95" t="n"/>
      <c r="L1798" s="116">
        <f>IF($A1798="","",DATE(YEAR($A1798),MONTH($A1798)+IF(AND(IFERROR(N(INDEX(Übersicht!$M$15:$M$22,MATCH($B1798,Übersicht!$A$15:$A$22,0))),0)&gt;1,DAY($A1798)&gt;=IFERROR(N(INDEX(Übersicht!$M$15:$M$22,MATCH($B1798,Übersicht!$A$15:$A$22,0))),0)),1,0),1))</f>
        <v/>
      </c>
    </row>
    <row r="1799">
      <c r="A1799" s="92" t="n"/>
      <c r="B1799" s="55" t="n"/>
      <c r="C1799" s="55" t="n"/>
      <c r="D1799" s="55" t="n"/>
      <c r="E1799" s="93" t="n"/>
      <c r="F1799" s="94" t="n"/>
      <c r="G1799" s="94" t="n"/>
      <c r="H1799" s="94" t="n"/>
      <c r="I1799" s="94" t="n"/>
      <c r="J1799" s="55" t="n"/>
      <c r="K1799" s="95" t="n"/>
      <c r="L1799" s="116">
        <f>IF($A1799="","",DATE(YEAR($A1799),MONTH($A1799)+IF(AND(IFERROR(N(INDEX(Übersicht!$M$15:$M$22,MATCH($B1799,Übersicht!$A$15:$A$22,0))),0)&gt;1,DAY($A1799)&gt;=IFERROR(N(INDEX(Übersicht!$M$15:$M$22,MATCH($B1799,Übersicht!$A$15:$A$22,0))),0)),1,0),1))</f>
        <v/>
      </c>
    </row>
    <row r="1800">
      <c r="A1800" s="92" t="n"/>
      <c r="B1800" s="55" t="n"/>
      <c r="C1800" s="55" t="n"/>
      <c r="D1800" s="55" t="n"/>
      <c r="E1800" s="93" t="n"/>
      <c r="F1800" s="94" t="n"/>
      <c r="G1800" s="94" t="n"/>
      <c r="H1800" s="94" t="n"/>
      <c r="I1800" s="94" t="n"/>
      <c r="J1800" s="55" t="n"/>
      <c r="K1800" s="95" t="n"/>
      <c r="L1800" s="116">
        <f>IF($A1800="","",DATE(YEAR($A1800),MONTH($A1800)+IF(AND(IFERROR(N(INDEX(Übersicht!$M$15:$M$22,MATCH($B1800,Übersicht!$A$15:$A$22,0))),0)&gt;1,DAY($A1800)&gt;=IFERROR(N(INDEX(Übersicht!$M$15:$M$22,MATCH($B1800,Übersicht!$A$15:$A$22,0))),0)),1,0),1))</f>
        <v/>
      </c>
    </row>
    <row r="1801">
      <c r="A1801" s="92" t="n"/>
      <c r="B1801" s="55" t="n"/>
      <c r="C1801" s="55" t="n"/>
      <c r="D1801" s="55" t="n"/>
      <c r="E1801" s="93" t="n"/>
      <c r="F1801" s="94" t="n"/>
      <c r="G1801" s="94" t="n"/>
      <c r="H1801" s="94" t="n"/>
      <c r="I1801" s="94" t="n"/>
      <c r="J1801" s="55" t="n"/>
      <c r="K1801" s="95" t="n"/>
      <c r="L1801" s="116">
        <f>IF($A1801="","",DATE(YEAR($A1801),MONTH($A1801)+IF(AND(IFERROR(N(INDEX(Übersicht!$M$15:$M$22,MATCH($B1801,Übersicht!$A$15:$A$22,0))),0)&gt;1,DAY($A1801)&gt;=IFERROR(N(INDEX(Übersicht!$M$15:$M$22,MATCH($B1801,Übersicht!$A$15:$A$22,0))),0)),1,0),1))</f>
        <v/>
      </c>
    </row>
    <row r="1802">
      <c r="A1802" s="92" t="n"/>
      <c r="B1802" s="55" t="n"/>
      <c r="C1802" s="55" t="n"/>
      <c r="D1802" s="55" t="n"/>
      <c r="E1802" s="93" t="n"/>
      <c r="F1802" s="94" t="n"/>
      <c r="G1802" s="94" t="n"/>
      <c r="H1802" s="94" t="n"/>
      <c r="I1802" s="94" t="n"/>
      <c r="J1802" s="55" t="n"/>
      <c r="K1802" s="95" t="n"/>
      <c r="L1802" s="116">
        <f>IF($A1802="","",DATE(YEAR($A1802),MONTH($A1802)+IF(AND(IFERROR(N(INDEX(Übersicht!$M$15:$M$22,MATCH($B1802,Übersicht!$A$15:$A$22,0))),0)&gt;1,DAY($A1802)&gt;=IFERROR(N(INDEX(Übersicht!$M$15:$M$22,MATCH($B1802,Übersicht!$A$15:$A$22,0))),0)),1,0),1))</f>
        <v/>
      </c>
    </row>
    <row r="1803">
      <c r="A1803" s="92" t="n"/>
      <c r="B1803" s="55" t="n"/>
      <c r="C1803" s="55" t="n"/>
      <c r="D1803" s="55" t="n"/>
      <c r="E1803" s="93" t="n"/>
      <c r="F1803" s="94" t="n"/>
      <c r="G1803" s="94" t="n"/>
      <c r="H1803" s="94" t="n"/>
      <c r="I1803" s="94" t="n"/>
      <c r="J1803" s="55" t="n"/>
      <c r="K1803" s="95" t="n"/>
      <c r="L1803" s="116">
        <f>IF($A1803="","",DATE(YEAR($A1803),MONTH($A1803)+IF(AND(IFERROR(N(INDEX(Übersicht!$M$15:$M$22,MATCH($B1803,Übersicht!$A$15:$A$22,0))),0)&gt;1,DAY($A1803)&gt;=IFERROR(N(INDEX(Übersicht!$M$15:$M$22,MATCH($B1803,Übersicht!$A$15:$A$22,0))),0)),1,0),1))</f>
        <v/>
      </c>
    </row>
    <row r="1804">
      <c r="A1804" s="92" t="n"/>
      <c r="B1804" s="55" t="n"/>
      <c r="C1804" s="55" t="n"/>
      <c r="D1804" s="55" t="n"/>
      <c r="E1804" s="93" t="n"/>
      <c r="F1804" s="94" t="n"/>
      <c r="G1804" s="94" t="n"/>
      <c r="H1804" s="94" t="n"/>
      <c r="I1804" s="94" t="n"/>
      <c r="J1804" s="55" t="n"/>
      <c r="K1804" s="95" t="n"/>
      <c r="L1804" s="116">
        <f>IF($A1804="","",DATE(YEAR($A1804),MONTH($A1804)+IF(AND(IFERROR(N(INDEX(Übersicht!$M$15:$M$22,MATCH($B1804,Übersicht!$A$15:$A$22,0))),0)&gt;1,DAY($A1804)&gt;=IFERROR(N(INDEX(Übersicht!$M$15:$M$22,MATCH($B1804,Übersicht!$A$15:$A$22,0))),0)),1,0),1))</f>
        <v/>
      </c>
    </row>
    <row r="1805">
      <c r="A1805" s="92" t="n"/>
      <c r="B1805" s="55" t="n"/>
      <c r="C1805" s="55" t="n"/>
      <c r="D1805" s="55" t="n"/>
      <c r="E1805" s="93" t="n"/>
      <c r="F1805" s="94" t="n"/>
      <c r="G1805" s="94" t="n"/>
      <c r="H1805" s="94" t="n"/>
      <c r="I1805" s="94" t="n"/>
      <c r="J1805" s="55" t="n"/>
      <c r="K1805" s="95" t="n"/>
      <c r="L1805" s="116">
        <f>IF($A1805="","",DATE(YEAR($A1805),MONTH($A1805)+IF(AND(IFERROR(N(INDEX(Übersicht!$M$15:$M$22,MATCH($B1805,Übersicht!$A$15:$A$22,0))),0)&gt;1,DAY($A1805)&gt;=IFERROR(N(INDEX(Übersicht!$M$15:$M$22,MATCH($B1805,Übersicht!$A$15:$A$22,0))),0)),1,0),1))</f>
        <v/>
      </c>
    </row>
    <row r="1806">
      <c r="A1806" s="92" t="n"/>
      <c r="B1806" s="55" t="n"/>
      <c r="C1806" s="55" t="n"/>
      <c r="D1806" s="55" t="n"/>
      <c r="E1806" s="93" t="n"/>
      <c r="F1806" s="94" t="n"/>
      <c r="G1806" s="94" t="n"/>
      <c r="H1806" s="94" t="n"/>
      <c r="I1806" s="94" t="n"/>
      <c r="J1806" s="55" t="n"/>
      <c r="K1806" s="95" t="n"/>
      <c r="L1806" s="116">
        <f>IF($A1806="","",DATE(YEAR($A1806),MONTH($A1806)+IF(AND(IFERROR(N(INDEX(Übersicht!$M$15:$M$22,MATCH($B1806,Übersicht!$A$15:$A$22,0))),0)&gt;1,DAY($A1806)&gt;=IFERROR(N(INDEX(Übersicht!$M$15:$M$22,MATCH($B1806,Übersicht!$A$15:$A$22,0))),0)),1,0),1))</f>
        <v/>
      </c>
    </row>
    <row r="1807">
      <c r="A1807" s="92" t="n"/>
      <c r="B1807" s="55" t="n"/>
      <c r="C1807" s="55" t="n"/>
      <c r="D1807" s="55" t="n"/>
      <c r="E1807" s="93" t="n"/>
      <c r="F1807" s="94" t="n"/>
      <c r="G1807" s="94" t="n"/>
      <c r="H1807" s="94" t="n"/>
      <c r="I1807" s="94" t="n"/>
      <c r="J1807" s="55" t="n"/>
      <c r="K1807" s="95" t="n"/>
      <c r="L1807" s="116">
        <f>IF($A1807="","",DATE(YEAR($A1807),MONTH($A1807)+IF(AND(IFERROR(N(INDEX(Übersicht!$M$15:$M$22,MATCH($B1807,Übersicht!$A$15:$A$22,0))),0)&gt;1,DAY($A1807)&gt;=IFERROR(N(INDEX(Übersicht!$M$15:$M$22,MATCH($B1807,Übersicht!$A$15:$A$22,0))),0)),1,0),1))</f>
        <v/>
      </c>
    </row>
    <row r="1808">
      <c r="A1808" s="92" t="n"/>
      <c r="B1808" s="55" t="n"/>
      <c r="C1808" s="55" t="n"/>
      <c r="D1808" s="55" t="n"/>
      <c r="E1808" s="93" t="n"/>
      <c r="F1808" s="94" t="n"/>
      <c r="G1808" s="94" t="n"/>
      <c r="H1808" s="94" t="n"/>
      <c r="I1808" s="94" t="n"/>
      <c r="J1808" s="55" t="n"/>
      <c r="K1808" s="95" t="n"/>
      <c r="L1808" s="116">
        <f>IF($A1808="","",DATE(YEAR($A1808),MONTH($A1808)+IF(AND(IFERROR(N(INDEX(Übersicht!$M$15:$M$22,MATCH($B1808,Übersicht!$A$15:$A$22,0))),0)&gt;1,DAY($A1808)&gt;=IFERROR(N(INDEX(Übersicht!$M$15:$M$22,MATCH($B1808,Übersicht!$A$15:$A$22,0))),0)),1,0),1))</f>
        <v/>
      </c>
    </row>
    <row r="1809">
      <c r="A1809" s="92" t="n"/>
      <c r="B1809" s="55" t="n"/>
      <c r="C1809" s="55" t="n"/>
      <c r="D1809" s="55" t="n"/>
      <c r="E1809" s="93" t="n"/>
      <c r="F1809" s="94" t="n"/>
      <c r="G1809" s="94" t="n"/>
      <c r="H1809" s="94" t="n"/>
      <c r="I1809" s="94" t="n"/>
      <c r="J1809" s="55" t="n"/>
      <c r="K1809" s="95" t="n"/>
      <c r="L1809" s="116">
        <f>IF($A1809="","",DATE(YEAR($A1809),MONTH($A1809)+IF(AND(IFERROR(N(INDEX(Übersicht!$M$15:$M$22,MATCH($B1809,Übersicht!$A$15:$A$22,0))),0)&gt;1,DAY($A1809)&gt;=IFERROR(N(INDEX(Übersicht!$M$15:$M$22,MATCH($B1809,Übersicht!$A$15:$A$22,0))),0)),1,0),1))</f>
        <v/>
      </c>
    </row>
    <row r="1810">
      <c r="A1810" s="92" t="n"/>
      <c r="B1810" s="55" t="n"/>
      <c r="C1810" s="55" t="n"/>
      <c r="D1810" s="55" t="n"/>
      <c r="E1810" s="93" t="n"/>
      <c r="F1810" s="94" t="n"/>
      <c r="G1810" s="94" t="n"/>
      <c r="H1810" s="94" t="n"/>
      <c r="I1810" s="94" t="n"/>
      <c r="J1810" s="55" t="n"/>
      <c r="K1810" s="95" t="n"/>
      <c r="L1810" s="116">
        <f>IF($A1810="","",DATE(YEAR($A1810),MONTH($A1810)+IF(AND(IFERROR(N(INDEX(Übersicht!$M$15:$M$22,MATCH($B1810,Übersicht!$A$15:$A$22,0))),0)&gt;1,DAY($A1810)&gt;=IFERROR(N(INDEX(Übersicht!$M$15:$M$22,MATCH($B1810,Übersicht!$A$15:$A$22,0))),0)),1,0),1))</f>
        <v/>
      </c>
    </row>
    <row r="1811">
      <c r="A1811" s="92" t="n"/>
      <c r="B1811" s="55" t="n"/>
      <c r="C1811" s="55" t="n"/>
      <c r="D1811" s="55" t="n"/>
      <c r="E1811" s="93" t="n"/>
      <c r="F1811" s="94" t="n"/>
      <c r="G1811" s="94" t="n"/>
      <c r="H1811" s="94" t="n"/>
      <c r="I1811" s="94" t="n"/>
      <c r="J1811" s="55" t="n"/>
      <c r="K1811" s="95" t="n"/>
      <c r="L1811" s="116">
        <f>IF($A1811="","",DATE(YEAR($A1811),MONTH($A1811)+IF(AND(IFERROR(N(INDEX(Übersicht!$M$15:$M$22,MATCH($B1811,Übersicht!$A$15:$A$22,0))),0)&gt;1,DAY($A1811)&gt;=IFERROR(N(INDEX(Übersicht!$M$15:$M$22,MATCH($B1811,Übersicht!$A$15:$A$22,0))),0)),1,0),1))</f>
        <v/>
      </c>
    </row>
    <row r="1812">
      <c r="A1812" s="92" t="n"/>
      <c r="B1812" s="55" t="n"/>
      <c r="C1812" s="55" t="n"/>
      <c r="D1812" s="55" t="n"/>
      <c r="E1812" s="93" t="n"/>
      <c r="F1812" s="94" t="n"/>
      <c r="G1812" s="94" t="n"/>
      <c r="H1812" s="94" t="n"/>
      <c r="I1812" s="94" t="n"/>
      <c r="J1812" s="55" t="n"/>
      <c r="K1812" s="95" t="n"/>
      <c r="L1812" s="116">
        <f>IF($A1812="","",DATE(YEAR($A1812),MONTH($A1812)+IF(AND(IFERROR(N(INDEX(Übersicht!$M$15:$M$22,MATCH($B1812,Übersicht!$A$15:$A$22,0))),0)&gt;1,DAY($A1812)&gt;=IFERROR(N(INDEX(Übersicht!$M$15:$M$22,MATCH($B1812,Übersicht!$A$15:$A$22,0))),0)),1,0),1))</f>
        <v/>
      </c>
    </row>
    <row r="1813">
      <c r="A1813" s="92" t="n"/>
      <c r="B1813" s="55" t="n"/>
      <c r="C1813" s="55" t="n"/>
      <c r="D1813" s="55" t="n"/>
      <c r="E1813" s="93" t="n"/>
      <c r="F1813" s="94" t="n"/>
      <c r="G1813" s="94" t="n"/>
      <c r="H1813" s="94" t="n"/>
      <c r="I1813" s="94" t="n"/>
      <c r="J1813" s="55" t="n"/>
      <c r="K1813" s="95" t="n"/>
      <c r="L1813" s="116">
        <f>IF($A1813="","",DATE(YEAR($A1813),MONTH($A1813)+IF(AND(IFERROR(N(INDEX(Übersicht!$M$15:$M$22,MATCH($B1813,Übersicht!$A$15:$A$22,0))),0)&gt;1,DAY($A1813)&gt;=IFERROR(N(INDEX(Übersicht!$M$15:$M$22,MATCH($B1813,Übersicht!$A$15:$A$22,0))),0)),1,0),1))</f>
        <v/>
      </c>
    </row>
    <row r="1814">
      <c r="A1814" s="92" t="n"/>
      <c r="B1814" s="55" t="n"/>
      <c r="C1814" s="55" t="n"/>
      <c r="D1814" s="55" t="n"/>
      <c r="E1814" s="93" t="n"/>
      <c r="F1814" s="94" t="n"/>
      <c r="G1814" s="94" t="n"/>
      <c r="H1814" s="94" t="n"/>
      <c r="I1814" s="94" t="n"/>
      <c r="J1814" s="55" t="n"/>
      <c r="K1814" s="95" t="n"/>
      <c r="L1814" s="116">
        <f>IF($A1814="","",DATE(YEAR($A1814),MONTH($A1814)+IF(AND(IFERROR(N(INDEX(Übersicht!$M$15:$M$22,MATCH($B1814,Übersicht!$A$15:$A$22,0))),0)&gt;1,DAY($A1814)&gt;=IFERROR(N(INDEX(Übersicht!$M$15:$M$22,MATCH($B1814,Übersicht!$A$15:$A$22,0))),0)),1,0),1))</f>
        <v/>
      </c>
    </row>
    <row r="1815">
      <c r="A1815" s="92" t="n"/>
      <c r="B1815" s="55" t="n"/>
      <c r="C1815" s="55" t="n"/>
      <c r="D1815" s="55" t="n"/>
      <c r="E1815" s="93" t="n"/>
      <c r="F1815" s="94" t="n"/>
      <c r="G1815" s="94" t="n"/>
      <c r="H1815" s="94" t="n"/>
      <c r="I1815" s="94" t="n"/>
      <c r="J1815" s="55" t="n"/>
      <c r="K1815" s="95" t="n"/>
      <c r="L1815" s="116">
        <f>IF($A1815="","",DATE(YEAR($A1815),MONTH($A1815)+IF(AND(IFERROR(N(INDEX(Übersicht!$M$15:$M$22,MATCH($B1815,Übersicht!$A$15:$A$22,0))),0)&gt;1,DAY($A1815)&gt;=IFERROR(N(INDEX(Übersicht!$M$15:$M$22,MATCH($B1815,Übersicht!$A$15:$A$22,0))),0)),1,0),1))</f>
        <v/>
      </c>
    </row>
    <row r="1816">
      <c r="A1816" s="92" t="n"/>
      <c r="B1816" s="55" t="n"/>
      <c r="C1816" s="55" t="n"/>
      <c r="D1816" s="55" t="n"/>
      <c r="E1816" s="93" t="n"/>
      <c r="F1816" s="94" t="n"/>
      <c r="G1816" s="94" t="n"/>
      <c r="H1816" s="94" t="n"/>
      <c r="I1816" s="94" t="n"/>
      <c r="J1816" s="55" t="n"/>
      <c r="K1816" s="95" t="n"/>
      <c r="L1816" s="116">
        <f>IF($A1816="","",DATE(YEAR($A1816),MONTH($A1816)+IF(AND(IFERROR(N(INDEX(Übersicht!$M$15:$M$22,MATCH($B1816,Übersicht!$A$15:$A$22,0))),0)&gt;1,DAY($A1816)&gt;=IFERROR(N(INDEX(Übersicht!$M$15:$M$22,MATCH($B1816,Übersicht!$A$15:$A$22,0))),0)),1,0),1))</f>
        <v/>
      </c>
    </row>
    <row r="1817">
      <c r="A1817" s="92" t="n"/>
      <c r="B1817" s="55" t="n"/>
      <c r="C1817" s="55" t="n"/>
      <c r="D1817" s="55" t="n"/>
      <c r="E1817" s="93" t="n"/>
      <c r="F1817" s="94" t="n"/>
      <c r="G1817" s="94" t="n"/>
      <c r="H1817" s="94" t="n"/>
      <c r="I1817" s="94" t="n"/>
      <c r="J1817" s="55" t="n"/>
      <c r="K1817" s="95" t="n"/>
      <c r="L1817" s="116">
        <f>IF($A1817="","",DATE(YEAR($A1817),MONTH($A1817)+IF(AND(IFERROR(N(INDEX(Übersicht!$M$15:$M$22,MATCH($B1817,Übersicht!$A$15:$A$22,0))),0)&gt;1,DAY($A1817)&gt;=IFERROR(N(INDEX(Übersicht!$M$15:$M$22,MATCH($B1817,Übersicht!$A$15:$A$22,0))),0)),1,0),1))</f>
        <v/>
      </c>
    </row>
    <row r="1818">
      <c r="A1818" s="92" t="n"/>
      <c r="B1818" s="55" t="n"/>
      <c r="C1818" s="55" t="n"/>
      <c r="D1818" s="55" t="n"/>
      <c r="E1818" s="93" t="n"/>
      <c r="F1818" s="94" t="n"/>
      <c r="G1818" s="94" t="n"/>
      <c r="H1818" s="94" t="n"/>
      <c r="I1818" s="94" t="n"/>
      <c r="J1818" s="55" t="n"/>
      <c r="K1818" s="95" t="n"/>
      <c r="L1818" s="116">
        <f>IF($A1818="","",DATE(YEAR($A1818),MONTH($A1818)+IF(AND(IFERROR(N(INDEX(Übersicht!$M$15:$M$22,MATCH($B1818,Übersicht!$A$15:$A$22,0))),0)&gt;1,DAY($A1818)&gt;=IFERROR(N(INDEX(Übersicht!$M$15:$M$22,MATCH($B1818,Übersicht!$A$15:$A$22,0))),0)),1,0),1))</f>
        <v/>
      </c>
    </row>
    <row r="1819">
      <c r="A1819" s="92" t="n"/>
      <c r="B1819" s="55" t="n"/>
      <c r="C1819" s="55" t="n"/>
      <c r="D1819" s="55" t="n"/>
      <c r="E1819" s="93" t="n"/>
      <c r="F1819" s="94" t="n"/>
      <c r="G1819" s="94" t="n"/>
      <c r="H1819" s="94" t="n"/>
      <c r="I1819" s="94" t="n"/>
      <c r="J1819" s="55" t="n"/>
      <c r="K1819" s="95" t="n"/>
      <c r="L1819" s="116">
        <f>IF($A1819="","",DATE(YEAR($A1819),MONTH($A1819)+IF(AND(IFERROR(N(INDEX(Übersicht!$M$15:$M$22,MATCH($B1819,Übersicht!$A$15:$A$22,0))),0)&gt;1,DAY($A1819)&gt;=IFERROR(N(INDEX(Übersicht!$M$15:$M$22,MATCH($B1819,Übersicht!$A$15:$A$22,0))),0)),1,0),1))</f>
        <v/>
      </c>
    </row>
    <row r="1820">
      <c r="A1820" s="92" t="n"/>
      <c r="B1820" s="55" t="n"/>
      <c r="C1820" s="55" t="n"/>
      <c r="D1820" s="55" t="n"/>
      <c r="E1820" s="93" t="n"/>
      <c r="F1820" s="94" t="n"/>
      <c r="G1820" s="94" t="n"/>
      <c r="H1820" s="94" t="n"/>
      <c r="I1820" s="94" t="n"/>
      <c r="J1820" s="55" t="n"/>
      <c r="K1820" s="95" t="n"/>
      <c r="L1820" s="116">
        <f>IF($A1820="","",DATE(YEAR($A1820),MONTH($A1820)+IF(AND(IFERROR(N(INDEX(Übersicht!$M$15:$M$22,MATCH($B1820,Übersicht!$A$15:$A$22,0))),0)&gt;1,DAY($A1820)&gt;=IFERROR(N(INDEX(Übersicht!$M$15:$M$22,MATCH($B1820,Übersicht!$A$15:$A$22,0))),0)),1,0),1))</f>
        <v/>
      </c>
    </row>
    <row r="1821">
      <c r="A1821" s="92" t="n"/>
      <c r="B1821" s="55" t="n"/>
      <c r="C1821" s="55" t="n"/>
      <c r="D1821" s="55" t="n"/>
      <c r="E1821" s="93" t="n"/>
      <c r="F1821" s="94" t="n"/>
      <c r="G1821" s="94" t="n"/>
      <c r="H1821" s="94" t="n"/>
      <c r="I1821" s="94" t="n"/>
      <c r="J1821" s="55" t="n"/>
      <c r="K1821" s="95" t="n"/>
      <c r="L1821" s="116">
        <f>IF($A1821="","",DATE(YEAR($A1821),MONTH($A1821)+IF(AND(IFERROR(N(INDEX(Übersicht!$M$15:$M$22,MATCH($B1821,Übersicht!$A$15:$A$22,0))),0)&gt;1,DAY($A1821)&gt;=IFERROR(N(INDEX(Übersicht!$M$15:$M$22,MATCH($B1821,Übersicht!$A$15:$A$22,0))),0)),1,0),1))</f>
        <v/>
      </c>
    </row>
    <row r="1822">
      <c r="A1822" s="92" t="n"/>
      <c r="B1822" s="55" t="n"/>
      <c r="C1822" s="55" t="n"/>
      <c r="D1822" s="55" t="n"/>
      <c r="E1822" s="93" t="n"/>
      <c r="F1822" s="94" t="n"/>
      <c r="G1822" s="94" t="n"/>
      <c r="H1822" s="94" t="n"/>
      <c r="I1822" s="94" t="n"/>
      <c r="J1822" s="55" t="n"/>
      <c r="K1822" s="95" t="n"/>
      <c r="L1822" s="116">
        <f>IF($A1822="","",DATE(YEAR($A1822),MONTH($A1822)+IF(AND(IFERROR(N(INDEX(Übersicht!$M$15:$M$22,MATCH($B1822,Übersicht!$A$15:$A$22,0))),0)&gt;1,DAY($A1822)&gt;=IFERROR(N(INDEX(Übersicht!$M$15:$M$22,MATCH($B1822,Übersicht!$A$15:$A$22,0))),0)),1,0),1))</f>
        <v/>
      </c>
    </row>
    <row r="1823">
      <c r="A1823" s="92" t="n"/>
      <c r="B1823" s="55" t="n"/>
      <c r="C1823" s="55" t="n"/>
      <c r="D1823" s="55" t="n"/>
      <c r="E1823" s="93" t="n"/>
      <c r="F1823" s="94" t="n"/>
      <c r="G1823" s="94" t="n"/>
      <c r="H1823" s="94" t="n"/>
      <c r="I1823" s="94" t="n"/>
      <c r="J1823" s="55" t="n"/>
      <c r="K1823" s="95" t="n"/>
      <c r="L1823" s="116">
        <f>IF($A1823="","",DATE(YEAR($A1823),MONTH($A1823)+IF(AND(IFERROR(N(INDEX(Übersicht!$M$15:$M$22,MATCH($B1823,Übersicht!$A$15:$A$22,0))),0)&gt;1,DAY($A1823)&gt;=IFERROR(N(INDEX(Übersicht!$M$15:$M$22,MATCH($B1823,Übersicht!$A$15:$A$22,0))),0)),1,0),1))</f>
        <v/>
      </c>
    </row>
    <row r="1824">
      <c r="A1824" s="92" t="n"/>
      <c r="B1824" s="55" t="n"/>
      <c r="C1824" s="55" t="n"/>
      <c r="D1824" s="55" t="n"/>
      <c r="E1824" s="93" t="n"/>
      <c r="F1824" s="94" t="n"/>
      <c r="G1824" s="94" t="n"/>
      <c r="H1824" s="94" t="n"/>
      <c r="I1824" s="94" t="n"/>
      <c r="J1824" s="55" t="n"/>
      <c r="K1824" s="95" t="n"/>
      <c r="L1824" s="116">
        <f>IF($A1824="","",DATE(YEAR($A1824),MONTH($A1824)+IF(AND(IFERROR(N(INDEX(Übersicht!$M$15:$M$22,MATCH($B1824,Übersicht!$A$15:$A$22,0))),0)&gt;1,DAY($A1824)&gt;=IFERROR(N(INDEX(Übersicht!$M$15:$M$22,MATCH($B1824,Übersicht!$A$15:$A$22,0))),0)),1,0),1))</f>
        <v/>
      </c>
    </row>
    <row r="1825">
      <c r="A1825" s="92" t="n"/>
      <c r="B1825" s="55" t="n"/>
      <c r="C1825" s="55" t="n"/>
      <c r="D1825" s="55" t="n"/>
      <c r="E1825" s="93" t="n"/>
      <c r="F1825" s="94" t="n"/>
      <c r="G1825" s="94" t="n"/>
      <c r="H1825" s="94" t="n"/>
      <c r="I1825" s="94" t="n"/>
      <c r="J1825" s="55" t="n"/>
      <c r="K1825" s="95" t="n"/>
      <c r="L1825" s="116">
        <f>IF($A1825="","",DATE(YEAR($A1825),MONTH($A1825)+IF(AND(IFERROR(N(INDEX(Übersicht!$M$15:$M$22,MATCH($B1825,Übersicht!$A$15:$A$22,0))),0)&gt;1,DAY($A1825)&gt;=IFERROR(N(INDEX(Übersicht!$M$15:$M$22,MATCH($B1825,Übersicht!$A$15:$A$22,0))),0)),1,0),1))</f>
        <v/>
      </c>
    </row>
    <row r="1826">
      <c r="A1826" s="92" t="n"/>
      <c r="B1826" s="55" t="n"/>
      <c r="C1826" s="55" t="n"/>
      <c r="D1826" s="55" t="n"/>
      <c r="E1826" s="93" t="n"/>
      <c r="F1826" s="94" t="n"/>
      <c r="G1826" s="94" t="n"/>
      <c r="H1826" s="94" t="n"/>
      <c r="I1826" s="94" t="n"/>
      <c r="J1826" s="55" t="n"/>
      <c r="K1826" s="95" t="n"/>
      <c r="L1826" s="116">
        <f>IF($A1826="","",DATE(YEAR($A1826),MONTH($A1826)+IF(AND(IFERROR(N(INDEX(Übersicht!$M$15:$M$22,MATCH($B1826,Übersicht!$A$15:$A$22,0))),0)&gt;1,DAY($A1826)&gt;=IFERROR(N(INDEX(Übersicht!$M$15:$M$22,MATCH($B1826,Übersicht!$A$15:$A$22,0))),0)),1,0),1))</f>
        <v/>
      </c>
    </row>
    <row r="1827">
      <c r="A1827" s="92" t="n"/>
      <c r="B1827" s="55" t="n"/>
      <c r="C1827" s="55" t="n"/>
      <c r="D1827" s="55" t="n"/>
      <c r="E1827" s="93" t="n"/>
      <c r="F1827" s="94" t="n"/>
      <c r="G1827" s="94" t="n"/>
      <c r="H1827" s="94" t="n"/>
      <c r="I1827" s="94" t="n"/>
      <c r="J1827" s="55" t="n"/>
      <c r="K1827" s="95" t="n"/>
      <c r="L1827" s="116">
        <f>IF($A1827="","",DATE(YEAR($A1827),MONTH($A1827)+IF(AND(IFERROR(N(INDEX(Übersicht!$M$15:$M$22,MATCH($B1827,Übersicht!$A$15:$A$22,0))),0)&gt;1,DAY($A1827)&gt;=IFERROR(N(INDEX(Übersicht!$M$15:$M$22,MATCH($B1827,Übersicht!$A$15:$A$22,0))),0)),1,0),1))</f>
        <v/>
      </c>
    </row>
    <row r="1828">
      <c r="A1828" s="92" t="n"/>
      <c r="B1828" s="55" t="n"/>
      <c r="C1828" s="55" t="n"/>
      <c r="D1828" s="55" t="n"/>
      <c r="E1828" s="93" t="n"/>
      <c r="F1828" s="94" t="n"/>
      <c r="G1828" s="94" t="n"/>
      <c r="H1828" s="94" t="n"/>
      <c r="I1828" s="94" t="n"/>
      <c r="J1828" s="55" t="n"/>
      <c r="K1828" s="95" t="n"/>
      <c r="L1828" s="116">
        <f>IF($A1828="","",DATE(YEAR($A1828),MONTH($A1828)+IF(AND(IFERROR(N(INDEX(Übersicht!$M$15:$M$22,MATCH($B1828,Übersicht!$A$15:$A$22,0))),0)&gt;1,DAY($A1828)&gt;=IFERROR(N(INDEX(Übersicht!$M$15:$M$22,MATCH($B1828,Übersicht!$A$15:$A$22,0))),0)),1,0),1))</f>
        <v/>
      </c>
    </row>
    <row r="1829">
      <c r="A1829" s="92" t="n"/>
      <c r="B1829" s="55" t="n"/>
      <c r="C1829" s="55" t="n"/>
      <c r="D1829" s="55" t="n"/>
      <c r="E1829" s="93" t="n"/>
      <c r="F1829" s="94" t="n"/>
      <c r="G1829" s="94" t="n"/>
      <c r="H1829" s="94" t="n"/>
      <c r="I1829" s="94" t="n"/>
      <c r="J1829" s="55" t="n"/>
      <c r="K1829" s="95" t="n"/>
      <c r="L1829" s="116">
        <f>IF($A1829="","",DATE(YEAR($A1829),MONTH($A1829)+IF(AND(IFERROR(N(INDEX(Übersicht!$M$15:$M$22,MATCH($B1829,Übersicht!$A$15:$A$22,0))),0)&gt;1,DAY($A1829)&gt;=IFERROR(N(INDEX(Übersicht!$M$15:$M$22,MATCH($B1829,Übersicht!$A$15:$A$22,0))),0)),1,0),1))</f>
        <v/>
      </c>
    </row>
    <row r="1830">
      <c r="A1830" s="92" t="n"/>
      <c r="B1830" s="55" t="n"/>
      <c r="C1830" s="55" t="n"/>
      <c r="D1830" s="55" t="n"/>
      <c r="E1830" s="93" t="n"/>
      <c r="F1830" s="94" t="n"/>
      <c r="G1830" s="94" t="n"/>
      <c r="H1830" s="94" t="n"/>
      <c r="I1830" s="94" t="n"/>
      <c r="J1830" s="55" t="n"/>
      <c r="K1830" s="95" t="n"/>
      <c r="L1830" s="116">
        <f>IF($A1830="","",DATE(YEAR($A1830),MONTH($A1830)+IF(AND(IFERROR(N(INDEX(Übersicht!$M$15:$M$22,MATCH($B1830,Übersicht!$A$15:$A$22,0))),0)&gt;1,DAY($A1830)&gt;=IFERROR(N(INDEX(Übersicht!$M$15:$M$22,MATCH($B1830,Übersicht!$A$15:$A$22,0))),0)),1,0),1))</f>
        <v/>
      </c>
    </row>
    <row r="1831">
      <c r="A1831" s="92" t="n"/>
      <c r="B1831" s="55" t="n"/>
      <c r="C1831" s="55" t="n"/>
      <c r="D1831" s="55" t="n"/>
      <c r="E1831" s="93" t="n"/>
      <c r="F1831" s="94" t="n"/>
      <c r="G1831" s="94" t="n"/>
      <c r="H1831" s="94" t="n"/>
      <c r="I1831" s="94" t="n"/>
      <c r="J1831" s="55" t="n"/>
      <c r="K1831" s="95" t="n"/>
      <c r="L1831" s="116">
        <f>IF($A1831="","",DATE(YEAR($A1831),MONTH($A1831)+IF(AND(IFERROR(N(INDEX(Übersicht!$M$15:$M$22,MATCH($B1831,Übersicht!$A$15:$A$22,0))),0)&gt;1,DAY($A1831)&gt;=IFERROR(N(INDEX(Übersicht!$M$15:$M$22,MATCH($B1831,Übersicht!$A$15:$A$22,0))),0)),1,0),1))</f>
        <v/>
      </c>
    </row>
    <row r="1832">
      <c r="A1832" s="92" t="n"/>
      <c r="B1832" s="55" t="n"/>
      <c r="C1832" s="55" t="n"/>
      <c r="D1832" s="55" t="n"/>
      <c r="E1832" s="93" t="n"/>
      <c r="F1832" s="94" t="n"/>
      <c r="G1832" s="94" t="n"/>
      <c r="H1832" s="94" t="n"/>
      <c r="I1832" s="94" t="n"/>
      <c r="J1832" s="55" t="n"/>
      <c r="K1832" s="95" t="n"/>
      <c r="L1832" s="116">
        <f>IF($A1832="","",DATE(YEAR($A1832),MONTH($A1832)+IF(AND(IFERROR(N(INDEX(Übersicht!$M$15:$M$22,MATCH($B1832,Übersicht!$A$15:$A$22,0))),0)&gt;1,DAY($A1832)&gt;=IFERROR(N(INDEX(Übersicht!$M$15:$M$22,MATCH($B1832,Übersicht!$A$15:$A$22,0))),0)),1,0),1))</f>
        <v/>
      </c>
    </row>
    <row r="1833">
      <c r="A1833" s="92" t="n"/>
      <c r="B1833" s="55" t="n"/>
      <c r="C1833" s="55" t="n"/>
      <c r="D1833" s="55" t="n"/>
      <c r="E1833" s="93" t="n"/>
      <c r="F1833" s="94" t="n"/>
      <c r="G1833" s="94" t="n"/>
      <c r="H1833" s="94" t="n"/>
      <c r="I1833" s="94" t="n"/>
      <c r="J1833" s="55" t="n"/>
      <c r="K1833" s="95" t="n"/>
      <c r="L1833" s="116">
        <f>IF($A1833="","",DATE(YEAR($A1833),MONTH($A1833)+IF(AND(IFERROR(N(INDEX(Übersicht!$M$15:$M$22,MATCH($B1833,Übersicht!$A$15:$A$22,0))),0)&gt;1,DAY($A1833)&gt;=IFERROR(N(INDEX(Übersicht!$M$15:$M$22,MATCH($B1833,Übersicht!$A$15:$A$22,0))),0)),1,0),1))</f>
        <v/>
      </c>
    </row>
    <row r="1834">
      <c r="A1834" s="92" t="n"/>
      <c r="B1834" s="55" t="n"/>
      <c r="C1834" s="55" t="n"/>
      <c r="D1834" s="55" t="n"/>
      <c r="E1834" s="93" t="n"/>
      <c r="F1834" s="94" t="n"/>
      <c r="G1834" s="94" t="n"/>
      <c r="H1834" s="94" t="n"/>
      <c r="I1834" s="94" t="n"/>
      <c r="J1834" s="55" t="n"/>
      <c r="K1834" s="95" t="n"/>
      <c r="L1834" s="116">
        <f>IF($A1834="","",DATE(YEAR($A1834),MONTH($A1834)+IF(AND(IFERROR(N(INDEX(Übersicht!$M$15:$M$22,MATCH($B1834,Übersicht!$A$15:$A$22,0))),0)&gt;1,DAY($A1834)&gt;=IFERROR(N(INDEX(Übersicht!$M$15:$M$22,MATCH($B1834,Übersicht!$A$15:$A$22,0))),0)),1,0),1))</f>
        <v/>
      </c>
    </row>
    <row r="1835">
      <c r="A1835" s="92" t="n"/>
      <c r="B1835" s="55" t="n"/>
      <c r="C1835" s="55" t="n"/>
      <c r="D1835" s="55" t="n"/>
      <c r="E1835" s="93" t="n"/>
      <c r="F1835" s="94" t="n"/>
      <c r="G1835" s="94" t="n"/>
      <c r="H1835" s="94" t="n"/>
      <c r="I1835" s="94" t="n"/>
      <c r="J1835" s="55" t="n"/>
      <c r="K1835" s="95" t="n"/>
      <c r="L1835" s="116">
        <f>IF($A1835="","",DATE(YEAR($A1835),MONTH($A1835)+IF(AND(IFERROR(N(INDEX(Übersicht!$M$15:$M$22,MATCH($B1835,Übersicht!$A$15:$A$22,0))),0)&gt;1,DAY($A1835)&gt;=IFERROR(N(INDEX(Übersicht!$M$15:$M$22,MATCH($B1835,Übersicht!$A$15:$A$22,0))),0)),1,0),1))</f>
        <v/>
      </c>
    </row>
    <row r="1836">
      <c r="A1836" s="92" t="n"/>
      <c r="B1836" s="55" t="n"/>
      <c r="C1836" s="55" t="n"/>
      <c r="D1836" s="55" t="n"/>
      <c r="E1836" s="93" t="n"/>
      <c r="F1836" s="94" t="n"/>
      <c r="G1836" s="94" t="n"/>
      <c r="H1836" s="94" t="n"/>
      <c r="I1836" s="94" t="n"/>
      <c r="J1836" s="55" t="n"/>
      <c r="K1836" s="95" t="n"/>
      <c r="L1836" s="116">
        <f>IF($A1836="","",DATE(YEAR($A1836),MONTH($A1836)+IF(AND(IFERROR(N(INDEX(Übersicht!$M$15:$M$22,MATCH($B1836,Übersicht!$A$15:$A$22,0))),0)&gt;1,DAY($A1836)&gt;=IFERROR(N(INDEX(Übersicht!$M$15:$M$22,MATCH($B1836,Übersicht!$A$15:$A$22,0))),0)),1,0),1))</f>
        <v/>
      </c>
    </row>
    <row r="1837">
      <c r="A1837" s="92" t="n"/>
      <c r="B1837" s="55" t="n"/>
      <c r="C1837" s="55" t="n"/>
      <c r="D1837" s="55" t="n"/>
      <c r="E1837" s="93" t="n"/>
      <c r="F1837" s="94" t="n"/>
      <c r="G1837" s="94" t="n"/>
      <c r="H1837" s="94" t="n"/>
      <c r="I1837" s="94" t="n"/>
      <c r="J1837" s="55" t="n"/>
      <c r="K1837" s="95" t="n"/>
      <c r="L1837" s="116">
        <f>IF($A1837="","",DATE(YEAR($A1837),MONTH($A1837)+IF(AND(IFERROR(N(INDEX(Übersicht!$M$15:$M$22,MATCH($B1837,Übersicht!$A$15:$A$22,0))),0)&gt;1,DAY($A1837)&gt;=IFERROR(N(INDEX(Übersicht!$M$15:$M$22,MATCH($B1837,Übersicht!$A$15:$A$22,0))),0)),1,0),1))</f>
        <v/>
      </c>
    </row>
    <row r="1838">
      <c r="A1838" s="92" t="n"/>
      <c r="B1838" s="55" t="n"/>
      <c r="C1838" s="55" t="n"/>
      <c r="D1838" s="55" t="n"/>
      <c r="E1838" s="93" t="n"/>
      <c r="F1838" s="94" t="n"/>
      <c r="G1838" s="94" t="n"/>
      <c r="H1838" s="94" t="n"/>
      <c r="I1838" s="94" t="n"/>
      <c r="J1838" s="55" t="n"/>
      <c r="K1838" s="95" t="n"/>
      <c r="L1838" s="116">
        <f>IF($A1838="","",DATE(YEAR($A1838),MONTH($A1838)+IF(AND(IFERROR(N(INDEX(Übersicht!$M$15:$M$22,MATCH($B1838,Übersicht!$A$15:$A$22,0))),0)&gt;1,DAY($A1838)&gt;=IFERROR(N(INDEX(Übersicht!$M$15:$M$22,MATCH($B1838,Übersicht!$A$15:$A$22,0))),0)),1,0),1))</f>
        <v/>
      </c>
    </row>
    <row r="1839">
      <c r="A1839" s="92" t="n"/>
      <c r="B1839" s="55" t="n"/>
      <c r="C1839" s="55" t="n"/>
      <c r="D1839" s="55" t="n"/>
      <c r="E1839" s="93" t="n"/>
      <c r="F1839" s="94" t="n"/>
      <c r="G1839" s="94" t="n"/>
      <c r="H1839" s="94" t="n"/>
      <c r="I1839" s="94" t="n"/>
      <c r="J1839" s="55" t="n"/>
      <c r="K1839" s="95" t="n"/>
      <c r="L1839" s="116">
        <f>IF($A1839="","",DATE(YEAR($A1839),MONTH($A1839)+IF(AND(IFERROR(N(INDEX(Übersicht!$M$15:$M$22,MATCH($B1839,Übersicht!$A$15:$A$22,0))),0)&gt;1,DAY($A1839)&gt;=IFERROR(N(INDEX(Übersicht!$M$15:$M$22,MATCH($B1839,Übersicht!$A$15:$A$22,0))),0)),1,0),1))</f>
        <v/>
      </c>
    </row>
    <row r="1840">
      <c r="A1840" s="92" t="n"/>
      <c r="B1840" s="55" t="n"/>
      <c r="C1840" s="55" t="n"/>
      <c r="D1840" s="55" t="n"/>
      <c r="E1840" s="93" t="n"/>
      <c r="F1840" s="94" t="n"/>
      <c r="G1840" s="94" t="n"/>
      <c r="H1840" s="94" t="n"/>
      <c r="I1840" s="94" t="n"/>
      <c r="J1840" s="55" t="n"/>
      <c r="K1840" s="95" t="n"/>
      <c r="L1840" s="116">
        <f>IF($A1840="","",DATE(YEAR($A1840),MONTH($A1840)+IF(AND(IFERROR(N(INDEX(Übersicht!$M$15:$M$22,MATCH($B1840,Übersicht!$A$15:$A$22,0))),0)&gt;1,DAY($A1840)&gt;=IFERROR(N(INDEX(Übersicht!$M$15:$M$22,MATCH($B1840,Übersicht!$A$15:$A$22,0))),0)),1,0),1))</f>
        <v/>
      </c>
    </row>
    <row r="1841">
      <c r="A1841" s="92" t="n"/>
      <c r="B1841" s="55" t="n"/>
      <c r="C1841" s="55" t="n"/>
      <c r="D1841" s="55" t="n"/>
      <c r="E1841" s="93" t="n"/>
      <c r="F1841" s="94" t="n"/>
      <c r="G1841" s="94" t="n"/>
      <c r="H1841" s="94" t="n"/>
      <c r="I1841" s="94" t="n"/>
      <c r="J1841" s="55" t="n"/>
      <c r="K1841" s="95" t="n"/>
      <c r="L1841" s="116">
        <f>IF($A1841="","",DATE(YEAR($A1841),MONTH($A1841)+IF(AND(IFERROR(N(INDEX(Übersicht!$M$15:$M$22,MATCH($B1841,Übersicht!$A$15:$A$22,0))),0)&gt;1,DAY($A1841)&gt;=IFERROR(N(INDEX(Übersicht!$M$15:$M$22,MATCH($B1841,Übersicht!$A$15:$A$22,0))),0)),1,0),1))</f>
        <v/>
      </c>
    </row>
    <row r="1842">
      <c r="A1842" s="92" t="n"/>
      <c r="B1842" s="55" t="n"/>
      <c r="C1842" s="55" t="n"/>
      <c r="D1842" s="55" t="n"/>
      <c r="E1842" s="93" t="n"/>
      <c r="F1842" s="94" t="n"/>
      <c r="G1842" s="94" t="n"/>
      <c r="H1842" s="94" t="n"/>
      <c r="I1842" s="94" t="n"/>
      <c r="J1842" s="55" t="n"/>
      <c r="K1842" s="95" t="n"/>
      <c r="L1842" s="116">
        <f>IF($A1842="","",DATE(YEAR($A1842),MONTH($A1842)+IF(AND(IFERROR(N(INDEX(Übersicht!$M$15:$M$22,MATCH($B1842,Übersicht!$A$15:$A$22,0))),0)&gt;1,DAY($A1842)&gt;=IFERROR(N(INDEX(Übersicht!$M$15:$M$22,MATCH($B1842,Übersicht!$A$15:$A$22,0))),0)),1,0),1))</f>
        <v/>
      </c>
    </row>
    <row r="1843">
      <c r="A1843" s="92" t="n"/>
      <c r="B1843" s="55" t="n"/>
      <c r="C1843" s="55" t="n"/>
      <c r="D1843" s="55" t="n"/>
      <c r="E1843" s="93" t="n"/>
      <c r="F1843" s="94" t="n"/>
      <c r="G1843" s="94" t="n"/>
      <c r="H1843" s="94" t="n"/>
      <c r="I1843" s="94" t="n"/>
      <c r="J1843" s="55" t="n"/>
      <c r="K1843" s="95" t="n"/>
      <c r="L1843" s="116">
        <f>IF($A1843="","",DATE(YEAR($A1843),MONTH($A1843)+IF(AND(IFERROR(N(INDEX(Übersicht!$M$15:$M$22,MATCH($B1843,Übersicht!$A$15:$A$22,0))),0)&gt;1,DAY($A1843)&gt;=IFERROR(N(INDEX(Übersicht!$M$15:$M$22,MATCH($B1843,Übersicht!$A$15:$A$22,0))),0)),1,0),1))</f>
        <v/>
      </c>
    </row>
    <row r="1844">
      <c r="A1844" s="92" t="n"/>
      <c r="B1844" s="55" t="n"/>
      <c r="C1844" s="55" t="n"/>
      <c r="D1844" s="55" t="n"/>
      <c r="E1844" s="93" t="n"/>
      <c r="F1844" s="94" t="n"/>
      <c r="G1844" s="94" t="n"/>
      <c r="H1844" s="94" t="n"/>
      <c r="I1844" s="94" t="n"/>
      <c r="J1844" s="55" t="n"/>
      <c r="K1844" s="95" t="n"/>
      <c r="L1844" s="116">
        <f>IF($A1844="","",DATE(YEAR($A1844),MONTH($A1844)+IF(AND(IFERROR(N(INDEX(Übersicht!$M$15:$M$22,MATCH($B1844,Übersicht!$A$15:$A$22,0))),0)&gt;1,DAY($A1844)&gt;=IFERROR(N(INDEX(Übersicht!$M$15:$M$22,MATCH($B1844,Übersicht!$A$15:$A$22,0))),0)),1,0),1))</f>
        <v/>
      </c>
    </row>
    <row r="1845">
      <c r="A1845" s="92" t="n"/>
      <c r="B1845" s="55" t="n"/>
      <c r="C1845" s="55" t="n"/>
      <c r="D1845" s="55" t="n"/>
      <c r="E1845" s="93" t="n"/>
      <c r="F1845" s="94" t="n"/>
      <c r="G1845" s="94" t="n"/>
      <c r="H1845" s="94" t="n"/>
      <c r="I1845" s="94" t="n"/>
      <c r="J1845" s="55" t="n"/>
      <c r="K1845" s="95" t="n"/>
      <c r="L1845" s="116">
        <f>IF($A1845="","",DATE(YEAR($A1845),MONTH($A1845)+IF(AND(IFERROR(N(INDEX(Übersicht!$M$15:$M$22,MATCH($B1845,Übersicht!$A$15:$A$22,0))),0)&gt;1,DAY($A1845)&gt;=IFERROR(N(INDEX(Übersicht!$M$15:$M$22,MATCH($B1845,Übersicht!$A$15:$A$22,0))),0)),1,0),1))</f>
        <v/>
      </c>
    </row>
    <row r="1846">
      <c r="A1846" s="92" t="n"/>
      <c r="B1846" s="55" t="n"/>
      <c r="C1846" s="55" t="n"/>
      <c r="D1846" s="55" t="n"/>
      <c r="E1846" s="93" t="n"/>
      <c r="F1846" s="94" t="n"/>
      <c r="G1846" s="94" t="n"/>
      <c r="H1846" s="94" t="n"/>
      <c r="I1846" s="94" t="n"/>
      <c r="J1846" s="55" t="n"/>
      <c r="K1846" s="95" t="n"/>
      <c r="L1846" s="116">
        <f>IF($A1846="","",DATE(YEAR($A1846),MONTH($A1846)+IF(AND(IFERROR(N(INDEX(Übersicht!$M$15:$M$22,MATCH($B1846,Übersicht!$A$15:$A$22,0))),0)&gt;1,DAY($A1846)&gt;=IFERROR(N(INDEX(Übersicht!$M$15:$M$22,MATCH($B1846,Übersicht!$A$15:$A$22,0))),0)),1,0),1))</f>
        <v/>
      </c>
    </row>
    <row r="1847">
      <c r="A1847" s="92" t="n"/>
      <c r="B1847" s="55" t="n"/>
      <c r="C1847" s="55" t="n"/>
      <c r="D1847" s="55" t="n"/>
      <c r="E1847" s="93" t="n"/>
      <c r="F1847" s="94" t="n"/>
      <c r="G1847" s="94" t="n"/>
      <c r="H1847" s="94" t="n"/>
      <c r="I1847" s="94" t="n"/>
      <c r="J1847" s="55" t="n"/>
      <c r="K1847" s="95" t="n"/>
      <c r="L1847" s="116">
        <f>IF($A1847="","",DATE(YEAR($A1847),MONTH($A1847)+IF(AND(IFERROR(N(INDEX(Übersicht!$M$15:$M$22,MATCH($B1847,Übersicht!$A$15:$A$22,0))),0)&gt;1,DAY($A1847)&gt;=IFERROR(N(INDEX(Übersicht!$M$15:$M$22,MATCH($B1847,Übersicht!$A$15:$A$22,0))),0)),1,0),1))</f>
        <v/>
      </c>
    </row>
    <row r="1848">
      <c r="A1848" s="92" t="n"/>
      <c r="B1848" s="55" t="n"/>
      <c r="C1848" s="55" t="n"/>
      <c r="D1848" s="55" t="n"/>
      <c r="E1848" s="93" t="n"/>
      <c r="F1848" s="94" t="n"/>
      <c r="G1848" s="94" t="n"/>
      <c r="H1848" s="94" t="n"/>
      <c r="I1848" s="94" t="n"/>
      <c r="J1848" s="55" t="n"/>
      <c r="K1848" s="95" t="n"/>
      <c r="L1848" s="116">
        <f>IF($A1848="","",DATE(YEAR($A1848),MONTH($A1848)+IF(AND(IFERROR(N(INDEX(Übersicht!$M$15:$M$22,MATCH($B1848,Übersicht!$A$15:$A$22,0))),0)&gt;1,DAY($A1848)&gt;=IFERROR(N(INDEX(Übersicht!$M$15:$M$22,MATCH($B1848,Übersicht!$A$15:$A$22,0))),0)),1,0),1))</f>
        <v/>
      </c>
    </row>
    <row r="1849">
      <c r="A1849" s="92" t="n"/>
      <c r="B1849" s="55" t="n"/>
      <c r="C1849" s="55" t="n"/>
      <c r="D1849" s="55" t="n"/>
      <c r="E1849" s="93" t="n"/>
      <c r="F1849" s="94" t="n"/>
      <c r="G1849" s="94" t="n"/>
      <c r="H1849" s="94" t="n"/>
      <c r="I1849" s="94" t="n"/>
      <c r="J1849" s="55" t="n"/>
      <c r="K1849" s="95" t="n"/>
      <c r="L1849" s="116">
        <f>IF($A1849="","",DATE(YEAR($A1849),MONTH($A1849)+IF(AND(IFERROR(N(INDEX(Übersicht!$M$15:$M$22,MATCH($B1849,Übersicht!$A$15:$A$22,0))),0)&gt;1,DAY($A1849)&gt;=IFERROR(N(INDEX(Übersicht!$M$15:$M$22,MATCH($B1849,Übersicht!$A$15:$A$22,0))),0)),1,0),1))</f>
        <v/>
      </c>
    </row>
    <row r="1850">
      <c r="A1850" s="92" t="n"/>
      <c r="B1850" s="55" t="n"/>
      <c r="C1850" s="55" t="n"/>
      <c r="D1850" s="55" t="n"/>
      <c r="E1850" s="93" t="n"/>
      <c r="F1850" s="94" t="n"/>
      <c r="G1850" s="94" t="n"/>
      <c r="H1850" s="94" t="n"/>
      <c r="I1850" s="94" t="n"/>
      <c r="J1850" s="55" t="n"/>
      <c r="K1850" s="95" t="n"/>
      <c r="L1850" s="116">
        <f>IF($A1850="","",DATE(YEAR($A1850),MONTH($A1850)+IF(AND(IFERROR(N(INDEX(Übersicht!$M$15:$M$22,MATCH($B1850,Übersicht!$A$15:$A$22,0))),0)&gt;1,DAY($A1850)&gt;=IFERROR(N(INDEX(Übersicht!$M$15:$M$22,MATCH($B1850,Übersicht!$A$15:$A$22,0))),0)),1,0),1))</f>
        <v/>
      </c>
    </row>
    <row r="1851">
      <c r="A1851" s="92" t="n"/>
      <c r="B1851" s="55" t="n"/>
      <c r="C1851" s="55" t="n"/>
      <c r="D1851" s="55" t="n"/>
      <c r="E1851" s="93" t="n"/>
      <c r="F1851" s="94" t="n"/>
      <c r="G1851" s="94" t="n"/>
      <c r="H1851" s="94" t="n"/>
      <c r="I1851" s="94" t="n"/>
      <c r="J1851" s="55" t="n"/>
      <c r="K1851" s="95" t="n"/>
      <c r="L1851" s="116">
        <f>IF($A1851="","",DATE(YEAR($A1851),MONTH($A1851)+IF(AND(IFERROR(N(INDEX(Übersicht!$M$15:$M$22,MATCH($B1851,Übersicht!$A$15:$A$22,0))),0)&gt;1,DAY($A1851)&gt;=IFERROR(N(INDEX(Übersicht!$M$15:$M$22,MATCH($B1851,Übersicht!$A$15:$A$22,0))),0)),1,0),1))</f>
        <v/>
      </c>
    </row>
    <row r="1852">
      <c r="A1852" s="92" t="n"/>
      <c r="B1852" s="55" t="n"/>
      <c r="C1852" s="55" t="n"/>
      <c r="D1852" s="55" t="n"/>
      <c r="E1852" s="93" t="n"/>
      <c r="F1852" s="94" t="n"/>
      <c r="G1852" s="94" t="n"/>
      <c r="H1852" s="94" t="n"/>
      <c r="I1852" s="94" t="n"/>
      <c r="J1852" s="55" t="n"/>
      <c r="K1852" s="95" t="n"/>
      <c r="L1852" s="116">
        <f>IF($A1852="","",DATE(YEAR($A1852),MONTH($A1852)+IF(AND(IFERROR(N(INDEX(Übersicht!$M$15:$M$22,MATCH($B1852,Übersicht!$A$15:$A$22,0))),0)&gt;1,DAY($A1852)&gt;=IFERROR(N(INDEX(Übersicht!$M$15:$M$22,MATCH($B1852,Übersicht!$A$15:$A$22,0))),0)),1,0),1))</f>
        <v/>
      </c>
    </row>
    <row r="1853">
      <c r="A1853" s="92" t="n"/>
      <c r="B1853" s="55" t="n"/>
      <c r="C1853" s="55" t="n"/>
      <c r="D1853" s="55" t="n"/>
      <c r="E1853" s="93" t="n"/>
      <c r="F1853" s="94" t="n"/>
      <c r="G1853" s="94" t="n"/>
      <c r="H1853" s="94" t="n"/>
      <c r="I1853" s="94" t="n"/>
      <c r="J1853" s="55" t="n"/>
      <c r="K1853" s="95" t="n"/>
      <c r="L1853" s="116">
        <f>IF($A1853="","",DATE(YEAR($A1853),MONTH($A1853)+IF(AND(IFERROR(N(INDEX(Übersicht!$M$15:$M$22,MATCH($B1853,Übersicht!$A$15:$A$22,0))),0)&gt;1,DAY($A1853)&gt;=IFERROR(N(INDEX(Übersicht!$M$15:$M$22,MATCH($B1853,Übersicht!$A$15:$A$22,0))),0)),1,0),1))</f>
        <v/>
      </c>
    </row>
    <row r="1854">
      <c r="A1854" s="92" t="n"/>
      <c r="B1854" s="55" t="n"/>
      <c r="C1854" s="55" t="n"/>
      <c r="D1854" s="55" t="n"/>
      <c r="E1854" s="93" t="n"/>
      <c r="F1854" s="94" t="n"/>
      <c r="G1854" s="94" t="n"/>
      <c r="H1854" s="94" t="n"/>
      <c r="I1854" s="94" t="n"/>
      <c r="J1854" s="55" t="n"/>
      <c r="K1854" s="95" t="n"/>
      <c r="L1854" s="116">
        <f>IF($A1854="","",DATE(YEAR($A1854),MONTH($A1854)+IF(AND(IFERROR(N(INDEX(Übersicht!$M$15:$M$22,MATCH($B1854,Übersicht!$A$15:$A$22,0))),0)&gt;1,DAY($A1854)&gt;=IFERROR(N(INDEX(Übersicht!$M$15:$M$22,MATCH($B1854,Übersicht!$A$15:$A$22,0))),0)),1,0),1))</f>
        <v/>
      </c>
    </row>
    <row r="1855">
      <c r="A1855" s="92" t="n"/>
      <c r="B1855" s="55" t="n"/>
      <c r="C1855" s="55" t="n"/>
      <c r="D1855" s="55" t="n"/>
      <c r="E1855" s="93" t="n"/>
      <c r="F1855" s="94" t="n"/>
      <c r="G1855" s="94" t="n"/>
      <c r="H1855" s="94" t="n"/>
      <c r="I1855" s="94" t="n"/>
      <c r="J1855" s="55" t="n"/>
      <c r="K1855" s="95" t="n"/>
      <c r="L1855" s="116">
        <f>IF($A1855="","",DATE(YEAR($A1855),MONTH($A1855)+IF(AND(IFERROR(N(INDEX(Übersicht!$M$15:$M$22,MATCH($B1855,Übersicht!$A$15:$A$22,0))),0)&gt;1,DAY($A1855)&gt;=IFERROR(N(INDEX(Übersicht!$M$15:$M$22,MATCH($B1855,Übersicht!$A$15:$A$22,0))),0)),1,0),1))</f>
        <v/>
      </c>
    </row>
    <row r="1856">
      <c r="A1856" s="92" t="n"/>
      <c r="B1856" s="55" t="n"/>
      <c r="C1856" s="55" t="n"/>
      <c r="D1856" s="55" t="n"/>
      <c r="E1856" s="93" t="n"/>
      <c r="F1856" s="94" t="n"/>
      <c r="G1856" s="94" t="n"/>
      <c r="H1856" s="94" t="n"/>
      <c r="I1856" s="94" t="n"/>
      <c r="J1856" s="55" t="n"/>
      <c r="K1856" s="95" t="n"/>
      <c r="L1856" s="116">
        <f>IF($A1856="","",DATE(YEAR($A1856),MONTH($A1856)+IF(AND(IFERROR(N(INDEX(Übersicht!$M$15:$M$22,MATCH($B1856,Übersicht!$A$15:$A$22,0))),0)&gt;1,DAY($A1856)&gt;=IFERROR(N(INDEX(Übersicht!$M$15:$M$22,MATCH($B1856,Übersicht!$A$15:$A$22,0))),0)),1,0),1))</f>
        <v/>
      </c>
    </row>
    <row r="1857">
      <c r="A1857" s="92" t="n"/>
      <c r="B1857" s="55" t="n"/>
      <c r="C1857" s="55" t="n"/>
      <c r="D1857" s="55" t="n"/>
      <c r="E1857" s="93" t="n"/>
      <c r="F1857" s="94" t="n"/>
      <c r="G1857" s="94" t="n"/>
      <c r="H1857" s="94" t="n"/>
      <c r="I1857" s="94" t="n"/>
      <c r="J1857" s="55" t="n"/>
      <c r="K1857" s="95" t="n"/>
      <c r="L1857" s="116">
        <f>IF($A1857="","",DATE(YEAR($A1857),MONTH($A1857)+IF(AND(IFERROR(N(INDEX(Übersicht!$M$15:$M$22,MATCH($B1857,Übersicht!$A$15:$A$22,0))),0)&gt;1,DAY($A1857)&gt;=IFERROR(N(INDEX(Übersicht!$M$15:$M$22,MATCH($B1857,Übersicht!$A$15:$A$22,0))),0)),1,0),1))</f>
        <v/>
      </c>
    </row>
    <row r="1858">
      <c r="A1858" s="92" t="n"/>
      <c r="B1858" s="55" t="n"/>
      <c r="C1858" s="55" t="n"/>
      <c r="D1858" s="55" t="n"/>
      <c r="E1858" s="93" t="n"/>
      <c r="F1858" s="94" t="n"/>
      <c r="G1858" s="94" t="n"/>
      <c r="H1858" s="94" t="n"/>
      <c r="I1858" s="94" t="n"/>
      <c r="J1858" s="55" t="n"/>
      <c r="K1858" s="95" t="n"/>
      <c r="L1858" s="116">
        <f>IF($A1858="","",DATE(YEAR($A1858),MONTH($A1858)+IF(AND(IFERROR(N(INDEX(Übersicht!$M$15:$M$22,MATCH($B1858,Übersicht!$A$15:$A$22,0))),0)&gt;1,DAY($A1858)&gt;=IFERROR(N(INDEX(Übersicht!$M$15:$M$22,MATCH($B1858,Übersicht!$A$15:$A$22,0))),0)),1,0),1))</f>
        <v/>
      </c>
    </row>
    <row r="1859">
      <c r="A1859" s="92" t="n"/>
      <c r="B1859" s="55" t="n"/>
      <c r="C1859" s="55" t="n"/>
      <c r="D1859" s="55" t="n"/>
      <c r="E1859" s="93" t="n"/>
      <c r="F1859" s="94" t="n"/>
      <c r="G1859" s="94" t="n"/>
      <c r="H1859" s="94" t="n"/>
      <c r="I1859" s="94" t="n"/>
      <c r="J1859" s="55" t="n"/>
      <c r="K1859" s="95" t="n"/>
      <c r="L1859" s="116">
        <f>IF($A1859="","",DATE(YEAR($A1859),MONTH($A1859)+IF(AND(IFERROR(N(INDEX(Übersicht!$M$15:$M$22,MATCH($B1859,Übersicht!$A$15:$A$22,0))),0)&gt;1,DAY($A1859)&gt;=IFERROR(N(INDEX(Übersicht!$M$15:$M$22,MATCH($B1859,Übersicht!$A$15:$A$22,0))),0)),1,0),1))</f>
        <v/>
      </c>
    </row>
    <row r="1860">
      <c r="A1860" s="92" t="n"/>
      <c r="B1860" s="55" t="n"/>
      <c r="C1860" s="55" t="n"/>
      <c r="D1860" s="55" t="n"/>
      <c r="E1860" s="93" t="n"/>
      <c r="F1860" s="94" t="n"/>
      <c r="G1860" s="94" t="n"/>
      <c r="H1860" s="94" t="n"/>
      <c r="I1860" s="94" t="n"/>
      <c r="J1860" s="55" t="n"/>
      <c r="K1860" s="95" t="n"/>
      <c r="L1860" s="116">
        <f>IF($A1860="","",DATE(YEAR($A1860),MONTH($A1860)+IF(AND(IFERROR(N(INDEX(Übersicht!$M$15:$M$22,MATCH($B1860,Übersicht!$A$15:$A$22,0))),0)&gt;1,DAY($A1860)&gt;=IFERROR(N(INDEX(Übersicht!$M$15:$M$22,MATCH($B1860,Übersicht!$A$15:$A$22,0))),0)),1,0),1))</f>
        <v/>
      </c>
    </row>
    <row r="1861">
      <c r="A1861" s="92" t="n"/>
      <c r="B1861" s="55" t="n"/>
      <c r="C1861" s="55" t="n"/>
      <c r="D1861" s="55" t="n"/>
      <c r="E1861" s="93" t="n"/>
      <c r="F1861" s="94" t="n"/>
      <c r="G1861" s="94" t="n"/>
      <c r="H1861" s="94" t="n"/>
      <c r="I1861" s="94" t="n"/>
      <c r="J1861" s="55" t="n"/>
      <c r="K1861" s="95" t="n"/>
      <c r="L1861" s="116">
        <f>IF($A1861="","",DATE(YEAR($A1861),MONTH($A1861)+IF(AND(IFERROR(N(INDEX(Übersicht!$M$15:$M$22,MATCH($B1861,Übersicht!$A$15:$A$22,0))),0)&gt;1,DAY($A1861)&gt;=IFERROR(N(INDEX(Übersicht!$M$15:$M$22,MATCH($B1861,Übersicht!$A$15:$A$22,0))),0)),1,0),1))</f>
        <v/>
      </c>
    </row>
    <row r="1862">
      <c r="A1862" s="92" t="n"/>
      <c r="B1862" s="55" t="n"/>
      <c r="C1862" s="55" t="n"/>
      <c r="D1862" s="55" t="n"/>
      <c r="E1862" s="93" t="n"/>
      <c r="F1862" s="94" t="n"/>
      <c r="G1862" s="94" t="n"/>
      <c r="H1862" s="94" t="n"/>
      <c r="I1862" s="94" t="n"/>
      <c r="J1862" s="55" t="n"/>
      <c r="K1862" s="95" t="n"/>
      <c r="L1862" s="116">
        <f>IF($A1862="","",DATE(YEAR($A1862),MONTH($A1862)+IF(AND(IFERROR(N(INDEX(Übersicht!$M$15:$M$22,MATCH($B1862,Übersicht!$A$15:$A$22,0))),0)&gt;1,DAY($A1862)&gt;=IFERROR(N(INDEX(Übersicht!$M$15:$M$22,MATCH($B1862,Übersicht!$A$15:$A$22,0))),0)),1,0),1))</f>
        <v/>
      </c>
    </row>
    <row r="1863">
      <c r="A1863" s="92" t="n"/>
      <c r="B1863" s="55" t="n"/>
      <c r="C1863" s="55" t="n"/>
      <c r="D1863" s="55" t="n"/>
      <c r="E1863" s="93" t="n"/>
      <c r="F1863" s="94" t="n"/>
      <c r="G1863" s="94" t="n"/>
      <c r="H1863" s="94" t="n"/>
      <c r="I1863" s="94" t="n"/>
      <c r="J1863" s="55" t="n"/>
      <c r="K1863" s="95" t="n"/>
      <c r="L1863" s="116">
        <f>IF($A1863="","",DATE(YEAR($A1863),MONTH($A1863)+IF(AND(IFERROR(N(INDEX(Übersicht!$M$15:$M$22,MATCH($B1863,Übersicht!$A$15:$A$22,0))),0)&gt;1,DAY($A1863)&gt;=IFERROR(N(INDEX(Übersicht!$M$15:$M$22,MATCH($B1863,Übersicht!$A$15:$A$22,0))),0)),1,0),1))</f>
        <v/>
      </c>
    </row>
    <row r="1864">
      <c r="A1864" s="92" t="n"/>
      <c r="B1864" s="55" t="n"/>
      <c r="C1864" s="55" t="n"/>
      <c r="D1864" s="55" t="n"/>
      <c r="E1864" s="93" t="n"/>
      <c r="F1864" s="94" t="n"/>
      <c r="G1864" s="94" t="n"/>
      <c r="H1864" s="94" t="n"/>
      <c r="I1864" s="94" t="n"/>
      <c r="J1864" s="55" t="n"/>
      <c r="K1864" s="95" t="n"/>
      <c r="L1864" s="116">
        <f>IF($A1864="","",DATE(YEAR($A1864),MONTH($A1864)+IF(AND(IFERROR(N(INDEX(Übersicht!$M$15:$M$22,MATCH($B1864,Übersicht!$A$15:$A$22,0))),0)&gt;1,DAY($A1864)&gt;=IFERROR(N(INDEX(Übersicht!$M$15:$M$22,MATCH($B1864,Übersicht!$A$15:$A$22,0))),0)),1,0),1))</f>
        <v/>
      </c>
    </row>
    <row r="1865">
      <c r="A1865" s="92" t="n"/>
      <c r="B1865" s="55" t="n"/>
      <c r="C1865" s="55" t="n"/>
      <c r="D1865" s="55" t="n"/>
      <c r="E1865" s="93" t="n"/>
      <c r="F1865" s="94" t="n"/>
      <c r="G1865" s="94" t="n"/>
      <c r="H1865" s="94" t="n"/>
      <c r="I1865" s="94" t="n"/>
      <c r="J1865" s="55" t="n"/>
      <c r="K1865" s="95" t="n"/>
      <c r="L1865" s="116">
        <f>IF($A1865="","",DATE(YEAR($A1865),MONTH($A1865)+IF(AND(IFERROR(N(INDEX(Übersicht!$M$15:$M$22,MATCH($B1865,Übersicht!$A$15:$A$22,0))),0)&gt;1,DAY($A1865)&gt;=IFERROR(N(INDEX(Übersicht!$M$15:$M$22,MATCH($B1865,Übersicht!$A$15:$A$22,0))),0)),1,0),1))</f>
        <v/>
      </c>
    </row>
    <row r="1866">
      <c r="A1866" s="92" t="n"/>
      <c r="B1866" s="55" t="n"/>
      <c r="C1866" s="55" t="n"/>
      <c r="D1866" s="55" t="n"/>
      <c r="E1866" s="93" t="n"/>
      <c r="F1866" s="94" t="n"/>
      <c r="G1866" s="94" t="n"/>
      <c r="H1866" s="94" t="n"/>
      <c r="I1866" s="94" t="n"/>
      <c r="J1866" s="55" t="n"/>
      <c r="K1866" s="95" t="n"/>
      <c r="L1866" s="116">
        <f>IF($A1866="","",DATE(YEAR($A1866),MONTH($A1866)+IF(AND(IFERROR(N(INDEX(Übersicht!$M$15:$M$22,MATCH($B1866,Übersicht!$A$15:$A$22,0))),0)&gt;1,DAY($A1866)&gt;=IFERROR(N(INDEX(Übersicht!$M$15:$M$22,MATCH($B1866,Übersicht!$A$15:$A$22,0))),0)),1,0),1))</f>
        <v/>
      </c>
    </row>
    <row r="1867">
      <c r="A1867" s="92" t="n"/>
      <c r="B1867" s="55" t="n"/>
      <c r="C1867" s="55" t="n"/>
      <c r="D1867" s="55" t="n"/>
      <c r="E1867" s="93" t="n"/>
      <c r="F1867" s="94" t="n"/>
      <c r="G1867" s="94" t="n"/>
      <c r="H1867" s="94" t="n"/>
      <c r="I1867" s="94" t="n"/>
      <c r="J1867" s="55" t="n"/>
      <c r="K1867" s="95" t="n"/>
      <c r="L1867" s="116">
        <f>IF($A1867="","",DATE(YEAR($A1867),MONTH($A1867)+IF(AND(IFERROR(N(INDEX(Übersicht!$M$15:$M$22,MATCH($B1867,Übersicht!$A$15:$A$22,0))),0)&gt;1,DAY($A1867)&gt;=IFERROR(N(INDEX(Übersicht!$M$15:$M$22,MATCH($B1867,Übersicht!$A$15:$A$22,0))),0)),1,0),1))</f>
        <v/>
      </c>
    </row>
    <row r="1868">
      <c r="A1868" s="92" t="n"/>
      <c r="B1868" s="55" t="n"/>
      <c r="C1868" s="55" t="n"/>
      <c r="D1868" s="55" t="n"/>
      <c r="E1868" s="93" t="n"/>
      <c r="F1868" s="94" t="n"/>
      <c r="G1868" s="94" t="n"/>
      <c r="H1868" s="94" t="n"/>
      <c r="I1868" s="94" t="n"/>
      <c r="J1868" s="55" t="n"/>
      <c r="K1868" s="95" t="n"/>
      <c r="L1868" s="116">
        <f>IF($A1868="","",DATE(YEAR($A1868),MONTH($A1868)+IF(AND(IFERROR(N(INDEX(Übersicht!$M$15:$M$22,MATCH($B1868,Übersicht!$A$15:$A$22,0))),0)&gt;1,DAY($A1868)&gt;=IFERROR(N(INDEX(Übersicht!$M$15:$M$22,MATCH($B1868,Übersicht!$A$15:$A$22,0))),0)),1,0),1))</f>
        <v/>
      </c>
    </row>
    <row r="1869">
      <c r="A1869" s="92" t="n"/>
      <c r="B1869" s="55" t="n"/>
      <c r="C1869" s="55" t="n"/>
      <c r="D1869" s="55" t="n"/>
      <c r="E1869" s="93" t="n"/>
      <c r="F1869" s="94" t="n"/>
      <c r="G1869" s="94" t="n"/>
      <c r="H1869" s="94" t="n"/>
      <c r="I1869" s="94" t="n"/>
      <c r="J1869" s="55" t="n"/>
      <c r="K1869" s="95" t="n"/>
      <c r="L1869" s="116">
        <f>IF($A1869="","",DATE(YEAR($A1869),MONTH($A1869)+IF(AND(IFERROR(N(INDEX(Übersicht!$M$15:$M$22,MATCH($B1869,Übersicht!$A$15:$A$22,0))),0)&gt;1,DAY($A1869)&gt;=IFERROR(N(INDEX(Übersicht!$M$15:$M$22,MATCH($B1869,Übersicht!$A$15:$A$22,0))),0)),1,0),1))</f>
        <v/>
      </c>
    </row>
    <row r="1870">
      <c r="A1870" s="92" t="n"/>
      <c r="B1870" s="55" t="n"/>
      <c r="C1870" s="55" t="n"/>
      <c r="D1870" s="55" t="n"/>
      <c r="E1870" s="93" t="n"/>
      <c r="F1870" s="94" t="n"/>
      <c r="G1870" s="94" t="n"/>
      <c r="H1870" s="94" t="n"/>
      <c r="I1870" s="94" t="n"/>
      <c r="J1870" s="55" t="n"/>
      <c r="K1870" s="95" t="n"/>
      <c r="L1870" s="116">
        <f>IF($A1870="","",DATE(YEAR($A1870),MONTH($A1870)+IF(AND(IFERROR(N(INDEX(Übersicht!$M$15:$M$22,MATCH($B1870,Übersicht!$A$15:$A$22,0))),0)&gt;1,DAY($A1870)&gt;=IFERROR(N(INDEX(Übersicht!$M$15:$M$22,MATCH($B1870,Übersicht!$A$15:$A$22,0))),0)),1,0),1))</f>
        <v/>
      </c>
    </row>
    <row r="1871">
      <c r="A1871" s="92" t="n"/>
      <c r="B1871" s="55" t="n"/>
      <c r="C1871" s="55" t="n"/>
      <c r="D1871" s="55" t="n"/>
      <c r="E1871" s="93" t="n"/>
      <c r="F1871" s="94" t="n"/>
      <c r="G1871" s="94" t="n"/>
      <c r="H1871" s="94" t="n"/>
      <c r="I1871" s="94" t="n"/>
      <c r="J1871" s="55" t="n"/>
      <c r="K1871" s="95" t="n"/>
      <c r="L1871" s="116">
        <f>IF($A1871="","",DATE(YEAR($A1871),MONTH($A1871)+IF(AND(IFERROR(N(INDEX(Übersicht!$M$15:$M$22,MATCH($B1871,Übersicht!$A$15:$A$22,0))),0)&gt;1,DAY($A1871)&gt;=IFERROR(N(INDEX(Übersicht!$M$15:$M$22,MATCH($B1871,Übersicht!$A$15:$A$22,0))),0)),1,0),1))</f>
        <v/>
      </c>
    </row>
    <row r="1872">
      <c r="A1872" s="92" t="n"/>
      <c r="B1872" s="55" t="n"/>
      <c r="C1872" s="55" t="n"/>
      <c r="D1872" s="55" t="n"/>
      <c r="E1872" s="93" t="n"/>
      <c r="F1872" s="94" t="n"/>
      <c r="G1872" s="94" t="n"/>
      <c r="H1872" s="94" t="n"/>
      <c r="I1872" s="94" t="n"/>
      <c r="J1872" s="55" t="n"/>
      <c r="K1872" s="95" t="n"/>
      <c r="L1872" s="116">
        <f>IF($A1872="","",DATE(YEAR($A1872),MONTH($A1872)+IF(AND(IFERROR(N(INDEX(Übersicht!$M$15:$M$22,MATCH($B1872,Übersicht!$A$15:$A$22,0))),0)&gt;1,DAY($A1872)&gt;=IFERROR(N(INDEX(Übersicht!$M$15:$M$22,MATCH($B1872,Übersicht!$A$15:$A$22,0))),0)),1,0),1))</f>
        <v/>
      </c>
    </row>
    <row r="1873">
      <c r="A1873" s="92" t="n"/>
      <c r="B1873" s="55" t="n"/>
      <c r="C1873" s="55" t="n"/>
      <c r="D1873" s="55" t="n"/>
      <c r="E1873" s="93" t="n"/>
      <c r="F1873" s="94" t="n"/>
      <c r="G1873" s="94" t="n"/>
      <c r="H1873" s="94" t="n"/>
      <c r="I1873" s="94" t="n"/>
      <c r="J1873" s="55" t="n"/>
      <c r="K1873" s="95" t="n"/>
      <c r="L1873" s="116">
        <f>IF($A1873="","",DATE(YEAR($A1873),MONTH($A1873)+IF(AND(IFERROR(N(INDEX(Übersicht!$M$15:$M$22,MATCH($B1873,Übersicht!$A$15:$A$22,0))),0)&gt;1,DAY($A1873)&gt;=IFERROR(N(INDEX(Übersicht!$M$15:$M$22,MATCH($B1873,Übersicht!$A$15:$A$22,0))),0)),1,0),1))</f>
        <v/>
      </c>
    </row>
    <row r="1874">
      <c r="A1874" s="92" t="n"/>
      <c r="B1874" s="55" t="n"/>
      <c r="C1874" s="55" t="n"/>
      <c r="D1874" s="55" t="n"/>
      <c r="E1874" s="93" t="n"/>
      <c r="F1874" s="94" t="n"/>
      <c r="G1874" s="94" t="n"/>
      <c r="H1874" s="94" t="n"/>
      <c r="I1874" s="94" t="n"/>
      <c r="J1874" s="55" t="n"/>
      <c r="K1874" s="95" t="n"/>
      <c r="L1874" s="116">
        <f>IF($A1874="","",DATE(YEAR($A1874),MONTH($A1874)+IF(AND(IFERROR(N(INDEX(Übersicht!$M$15:$M$22,MATCH($B1874,Übersicht!$A$15:$A$22,0))),0)&gt;1,DAY($A1874)&gt;=IFERROR(N(INDEX(Übersicht!$M$15:$M$22,MATCH($B1874,Übersicht!$A$15:$A$22,0))),0)),1,0),1))</f>
        <v/>
      </c>
    </row>
    <row r="1875">
      <c r="A1875" s="92" t="n"/>
      <c r="B1875" s="55" t="n"/>
      <c r="C1875" s="55" t="n"/>
      <c r="D1875" s="55" t="n"/>
      <c r="E1875" s="93" t="n"/>
      <c r="F1875" s="94" t="n"/>
      <c r="G1875" s="94" t="n"/>
      <c r="H1875" s="94" t="n"/>
      <c r="I1875" s="94" t="n"/>
      <c r="J1875" s="55" t="n"/>
      <c r="K1875" s="95" t="n"/>
      <c r="L1875" s="116">
        <f>IF($A1875="","",DATE(YEAR($A1875),MONTH($A1875)+IF(AND(IFERROR(N(INDEX(Übersicht!$M$15:$M$22,MATCH($B1875,Übersicht!$A$15:$A$22,0))),0)&gt;1,DAY($A1875)&gt;=IFERROR(N(INDEX(Übersicht!$M$15:$M$22,MATCH($B1875,Übersicht!$A$15:$A$22,0))),0)),1,0),1))</f>
        <v/>
      </c>
    </row>
    <row r="1876">
      <c r="A1876" s="92" t="n"/>
      <c r="B1876" s="55" t="n"/>
      <c r="C1876" s="55" t="n"/>
      <c r="D1876" s="55" t="n"/>
      <c r="E1876" s="93" t="n"/>
      <c r="F1876" s="94" t="n"/>
      <c r="G1876" s="94" t="n"/>
      <c r="H1876" s="94" t="n"/>
      <c r="I1876" s="94" t="n"/>
      <c r="J1876" s="55" t="n"/>
      <c r="K1876" s="95" t="n"/>
      <c r="L1876" s="116">
        <f>IF($A1876="","",DATE(YEAR($A1876),MONTH($A1876)+IF(AND(IFERROR(N(INDEX(Übersicht!$M$15:$M$22,MATCH($B1876,Übersicht!$A$15:$A$22,0))),0)&gt;1,DAY($A1876)&gt;=IFERROR(N(INDEX(Übersicht!$M$15:$M$22,MATCH($B1876,Übersicht!$A$15:$A$22,0))),0)),1,0),1))</f>
        <v/>
      </c>
    </row>
    <row r="1877">
      <c r="A1877" s="92" t="n"/>
      <c r="B1877" s="55" t="n"/>
      <c r="C1877" s="55" t="n"/>
      <c r="D1877" s="55" t="n"/>
      <c r="E1877" s="93" t="n"/>
      <c r="F1877" s="94" t="n"/>
      <c r="G1877" s="94" t="n"/>
      <c r="H1877" s="94" t="n"/>
      <c r="I1877" s="94" t="n"/>
      <c r="J1877" s="55" t="n"/>
      <c r="K1877" s="95" t="n"/>
      <c r="L1877" s="116">
        <f>IF($A1877="","",DATE(YEAR($A1877),MONTH($A1877)+IF(AND(IFERROR(N(INDEX(Übersicht!$M$15:$M$22,MATCH($B1877,Übersicht!$A$15:$A$22,0))),0)&gt;1,DAY($A1877)&gt;=IFERROR(N(INDEX(Übersicht!$M$15:$M$22,MATCH($B1877,Übersicht!$A$15:$A$22,0))),0)),1,0),1))</f>
        <v/>
      </c>
    </row>
    <row r="1878">
      <c r="A1878" s="92" t="n"/>
      <c r="B1878" s="55" t="n"/>
      <c r="C1878" s="55" t="n"/>
      <c r="D1878" s="55" t="n"/>
      <c r="E1878" s="93" t="n"/>
      <c r="F1878" s="94" t="n"/>
      <c r="G1878" s="94" t="n"/>
      <c r="H1878" s="94" t="n"/>
      <c r="I1878" s="94" t="n"/>
      <c r="J1878" s="55" t="n"/>
      <c r="K1878" s="95" t="n"/>
      <c r="L1878" s="116">
        <f>IF($A1878="","",DATE(YEAR($A1878),MONTH($A1878)+IF(AND(IFERROR(N(INDEX(Übersicht!$M$15:$M$22,MATCH($B1878,Übersicht!$A$15:$A$22,0))),0)&gt;1,DAY($A1878)&gt;=IFERROR(N(INDEX(Übersicht!$M$15:$M$22,MATCH($B1878,Übersicht!$A$15:$A$22,0))),0)),1,0),1))</f>
        <v/>
      </c>
    </row>
    <row r="1879">
      <c r="A1879" s="92" t="n"/>
      <c r="B1879" s="55" t="n"/>
      <c r="C1879" s="55" t="n"/>
      <c r="D1879" s="55" t="n"/>
      <c r="E1879" s="93" t="n"/>
      <c r="F1879" s="94" t="n"/>
      <c r="G1879" s="94" t="n"/>
      <c r="H1879" s="94" t="n"/>
      <c r="I1879" s="94" t="n"/>
      <c r="J1879" s="55" t="n"/>
      <c r="K1879" s="95" t="n"/>
      <c r="L1879" s="116">
        <f>IF($A1879="","",DATE(YEAR($A1879),MONTH($A1879)+IF(AND(IFERROR(N(INDEX(Übersicht!$M$15:$M$22,MATCH($B1879,Übersicht!$A$15:$A$22,0))),0)&gt;1,DAY($A1879)&gt;=IFERROR(N(INDEX(Übersicht!$M$15:$M$22,MATCH($B1879,Übersicht!$A$15:$A$22,0))),0)),1,0),1))</f>
        <v/>
      </c>
    </row>
    <row r="1880">
      <c r="A1880" s="92" t="n"/>
      <c r="B1880" s="55" t="n"/>
      <c r="C1880" s="55" t="n"/>
      <c r="D1880" s="55" t="n"/>
      <c r="E1880" s="93" t="n"/>
      <c r="F1880" s="94" t="n"/>
      <c r="G1880" s="94" t="n"/>
      <c r="H1880" s="94" t="n"/>
      <c r="I1880" s="94" t="n"/>
      <c r="J1880" s="55" t="n"/>
      <c r="K1880" s="95" t="n"/>
      <c r="L1880" s="116">
        <f>IF($A1880="","",DATE(YEAR($A1880),MONTH($A1880)+IF(AND(IFERROR(N(INDEX(Übersicht!$M$15:$M$22,MATCH($B1880,Übersicht!$A$15:$A$22,0))),0)&gt;1,DAY($A1880)&gt;=IFERROR(N(INDEX(Übersicht!$M$15:$M$22,MATCH($B1880,Übersicht!$A$15:$A$22,0))),0)),1,0),1))</f>
        <v/>
      </c>
    </row>
    <row r="1881">
      <c r="A1881" s="92" t="n"/>
      <c r="B1881" s="55" t="n"/>
      <c r="C1881" s="55" t="n"/>
      <c r="D1881" s="55" t="n"/>
      <c r="E1881" s="93" t="n"/>
      <c r="F1881" s="94" t="n"/>
      <c r="G1881" s="94" t="n"/>
      <c r="H1881" s="94" t="n"/>
      <c r="I1881" s="94" t="n"/>
      <c r="J1881" s="55" t="n"/>
      <c r="K1881" s="95" t="n"/>
      <c r="L1881" s="116">
        <f>IF($A1881="","",DATE(YEAR($A1881),MONTH($A1881)+IF(AND(IFERROR(N(INDEX(Übersicht!$M$15:$M$22,MATCH($B1881,Übersicht!$A$15:$A$22,0))),0)&gt;1,DAY($A1881)&gt;=IFERROR(N(INDEX(Übersicht!$M$15:$M$22,MATCH($B1881,Übersicht!$A$15:$A$22,0))),0)),1,0),1))</f>
        <v/>
      </c>
    </row>
    <row r="1882">
      <c r="A1882" s="92" t="n"/>
      <c r="B1882" s="55" t="n"/>
      <c r="C1882" s="55" t="n"/>
      <c r="D1882" s="55" t="n"/>
      <c r="E1882" s="93" t="n"/>
      <c r="F1882" s="94" t="n"/>
      <c r="G1882" s="94" t="n"/>
      <c r="H1882" s="94" t="n"/>
      <c r="I1882" s="94" t="n"/>
      <c r="J1882" s="55" t="n"/>
      <c r="K1882" s="95" t="n"/>
      <c r="L1882" s="116">
        <f>IF($A1882="","",DATE(YEAR($A1882),MONTH($A1882)+IF(AND(IFERROR(N(INDEX(Übersicht!$M$15:$M$22,MATCH($B1882,Übersicht!$A$15:$A$22,0))),0)&gt;1,DAY($A1882)&gt;=IFERROR(N(INDEX(Übersicht!$M$15:$M$22,MATCH($B1882,Übersicht!$A$15:$A$22,0))),0)),1,0),1))</f>
        <v/>
      </c>
    </row>
    <row r="1883">
      <c r="A1883" s="92" t="n"/>
      <c r="B1883" s="55" t="n"/>
      <c r="C1883" s="55" t="n"/>
      <c r="D1883" s="55" t="n"/>
      <c r="E1883" s="93" t="n"/>
      <c r="F1883" s="94" t="n"/>
      <c r="G1883" s="94" t="n"/>
      <c r="H1883" s="94" t="n"/>
      <c r="I1883" s="94" t="n"/>
      <c r="J1883" s="55" t="n"/>
      <c r="K1883" s="95" t="n"/>
      <c r="L1883" s="116">
        <f>IF($A1883="","",DATE(YEAR($A1883),MONTH($A1883)+IF(AND(IFERROR(N(INDEX(Übersicht!$M$15:$M$22,MATCH($B1883,Übersicht!$A$15:$A$22,0))),0)&gt;1,DAY($A1883)&gt;=IFERROR(N(INDEX(Übersicht!$M$15:$M$22,MATCH($B1883,Übersicht!$A$15:$A$22,0))),0)),1,0),1))</f>
        <v/>
      </c>
    </row>
    <row r="1884">
      <c r="A1884" s="92" t="n"/>
      <c r="B1884" s="55" t="n"/>
      <c r="C1884" s="55" t="n"/>
      <c r="D1884" s="55" t="n"/>
      <c r="E1884" s="93" t="n"/>
      <c r="F1884" s="94" t="n"/>
      <c r="G1884" s="94" t="n"/>
      <c r="H1884" s="94" t="n"/>
      <c r="I1884" s="94" t="n"/>
      <c r="J1884" s="55" t="n"/>
      <c r="K1884" s="95" t="n"/>
      <c r="L1884" s="116">
        <f>IF($A1884="","",DATE(YEAR($A1884),MONTH($A1884)+IF(AND(IFERROR(N(INDEX(Übersicht!$M$15:$M$22,MATCH($B1884,Übersicht!$A$15:$A$22,0))),0)&gt;1,DAY($A1884)&gt;=IFERROR(N(INDEX(Übersicht!$M$15:$M$22,MATCH($B1884,Übersicht!$A$15:$A$22,0))),0)),1,0),1))</f>
        <v/>
      </c>
    </row>
    <row r="1885">
      <c r="A1885" s="92" t="n"/>
      <c r="B1885" s="55" t="n"/>
      <c r="C1885" s="55" t="n"/>
      <c r="D1885" s="55" t="n"/>
      <c r="E1885" s="93" t="n"/>
      <c r="F1885" s="94" t="n"/>
      <c r="G1885" s="94" t="n"/>
      <c r="H1885" s="94" t="n"/>
      <c r="I1885" s="94" t="n"/>
      <c r="J1885" s="55" t="n"/>
      <c r="K1885" s="95" t="n"/>
      <c r="L1885" s="116">
        <f>IF($A1885="","",DATE(YEAR($A1885),MONTH($A1885)+IF(AND(IFERROR(N(INDEX(Übersicht!$M$15:$M$22,MATCH($B1885,Übersicht!$A$15:$A$22,0))),0)&gt;1,DAY($A1885)&gt;=IFERROR(N(INDEX(Übersicht!$M$15:$M$22,MATCH($B1885,Übersicht!$A$15:$A$22,0))),0)),1,0),1))</f>
        <v/>
      </c>
    </row>
    <row r="1886">
      <c r="A1886" s="92" t="n"/>
      <c r="B1886" s="55" t="n"/>
      <c r="C1886" s="55" t="n"/>
      <c r="D1886" s="55" t="n"/>
      <c r="E1886" s="93" t="n"/>
      <c r="F1886" s="94" t="n"/>
      <c r="G1886" s="94" t="n"/>
      <c r="H1886" s="94" t="n"/>
      <c r="I1886" s="94" t="n"/>
      <c r="J1886" s="55" t="n"/>
      <c r="K1886" s="95" t="n"/>
      <c r="L1886" s="116">
        <f>IF($A1886="","",DATE(YEAR($A1886),MONTH($A1886)+IF(AND(IFERROR(N(INDEX(Übersicht!$M$15:$M$22,MATCH($B1886,Übersicht!$A$15:$A$22,0))),0)&gt;1,DAY($A1886)&gt;=IFERROR(N(INDEX(Übersicht!$M$15:$M$22,MATCH($B1886,Übersicht!$A$15:$A$22,0))),0)),1,0),1))</f>
        <v/>
      </c>
    </row>
    <row r="1887">
      <c r="A1887" s="92" t="n"/>
      <c r="B1887" s="55" t="n"/>
      <c r="C1887" s="55" t="n"/>
      <c r="D1887" s="55" t="n"/>
      <c r="E1887" s="93" t="n"/>
      <c r="F1887" s="94" t="n"/>
      <c r="G1887" s="94" t="n"/>
      <c r="H1887" s="94" t="n"/>
      <c r="I1887" s="94" t="n"/>
      <c r="J1887" s="55" t="n"/>
      <c r="K1887" s="95" t="n"/>
      <c r="L1887" s="116">
        <f>IF($A1887="","",DATE(YEAR($A1887),MONTH($A1887)+IF(AND(IFERROR(N(INDEX(Übersicht!$M$15:$M$22,MATCH($B1887,Übersicht!$A$15:$A$22,0))),0)&gt;1,DAY($A1887)&gt;=IFERROR(N(INDEX(Übersicht!$M$15:$M$22,MATCH($B1887,Übersicht!$A$15:$A$22,0))),0)),1,0),1))</f>
        <v/>
      </c>
    </row>
    <row r="1888">
      <c r="A1888" s="92" t="n"/>
      <c r="B1888" s="55" t="n"/>
      <c r="C1888" s="55" t="n"/>
      <c r="D1888" s="55" t="n"/>
      <c r="E1888" s="93" t="n"/>
      <c r="F1888" s="94" t="n"/>
      <c r="G1888" s="94" t="n"/>
      <c r="H1888" s="94" t="n"/>
      <c r="I1888" s="94" t="n"/>
      <c r="J1888" s="55" t="n"/>
      <c r="K1888" s="95" t="n"/>
      <c r="L1888" s="116">
        <f>IF($A1888="","",DATE(YEAR($A1888),MONTH($A1888)+IF(AND(IFERROR(N(INDEX(Übersicht!$M$15:$M$22,MATCH($B1888,Übersicht!$A$15:$A$22,0))),0)&gt;1,DAY($A1888)&gt;=IFERROR(N(INDEX(Übersicht!$M$15:$M$22,MATCH($B1888,Übersicht!$A$15:$A$22,0))),0)),1,0),1))</f>
        <v/>
      </c>
    </row>
    <row r="1889">
      <c r="A1889" s="92" t="n"/>
      <c r="B1889" s="55" t="n"/>
      <c r="C1889" s="55" t="n"/>
      <c r="D1889" s="55" t="n"/>
      <c r="E1889" s="93" t="n"/>
      <c r="F1889" s="94" t="n"/>
      <c r="G1889" s="94" t="n"/>
      <c r="H1889" s="94" t="n"/>
      <c r="I1889" s="94" t="n"/>
      <c r="J1889" s="55" t="n"/>
      <c r="K1889" s="95" t="n"/>
      <c r="L1889" s="116">
        <f>IF($A1889="","",DATE(YEAR($A1889),MONTH($A1889)+IF(AND(IFERROR(N(INDEX(Übersicht!$M$15:$M$22,MATCH($B1889,Übersicht!$A$15:$A$22,0))),0)&gt;1,DAY($A1889)&gt;=IFERROR(N(INDEX(Übersicht!$M$15:$M$22,MATCH($B1889,Übersicht!$A$15:$A$22,0))),0)),1,0),1))</f>
        <v/>
      </c>
    </row>
    <row r="1890">
      <c r="A1890" s="92" t="n"/>
      <c r="B1890" s="55" t="n"/>
      <c r="C1890" s="55" t="n"/>
      <c r="D1890" s="55" t="n"/>
      <c r="E1890" s="93" t="n"/>
      <c r="F1890" s="94" t="n"/>
      <c r="G1890" s="94" t="n"/>
      <c r="H1890" s="94" t="n"/>
      <c r="I1890" s="94" t="n"/>
      <c r="J1890" s="55" t="n"/>
      <c r="K1890" s="95" t="n"/>
      <c r="L1890" s="116">
        <f>IF($A1890="","",DATE(YEAR($A1890),MONTH($A1890)+IF(AND(IFERROR(N(INDEX(Übersicht!$M$15:$M$22,MATCH($B1890,Übersicht!$A$15:$A$22,0))),0)&gt;1,DAY($A1890)&gt;=IFERROR(N(INDEX(Übersicht!$M$15:$M$22,MATCH($B1890,Übersicht!$A$15:$A$22,0))),0)),1,0),1))</f>
        <v/>
      </c>
    </row>
    <row r="1891">
      <c r="A1891" s="92" t="n"/>
      <c r="B1891" s="55" t="n"/>
      <c r="C1891" s="55" t="n"/>
      <c r="D1891" s="55" t="n"/>
      <c r="E1891" s="93" t="n"/>
      <c r="F1891" s="94" t="n"/>
      <c r="G1891" s="94" t="n"/>
      <c r="H1891" s="94" t="n"/>
      <c r="I1891" s="94" t="n"/>
      <c r="J1891" s="55" t="n"/>
      <c r="K1891" s="95" t="n"/>
      <c r="L1891" s="116">
        <f>IF($A1891="","",DATE(YEAR($A1891),MONTH($A1891)+IF(AND(IFERROR(N(INDEX(Übersicht!$M$15:$M$22,MATCH($B1891,Übersicht!$A$15:$A$22,0))),0)&gt;1,DAY($A1891)&gt;=IFERROR(N(INDEX(Übersicht!$M$15:$M$22,MATCH($B1891,Übersicht!$A$15:$A$22,0))),0)),1,0),1))</f>
        <v/>
      </c>
    </row>
    <row r="1892">
      <c r="A1892" s="92" t="n"/>
      <c r="B1892" s="55" t="n"/>
      <c r="C1892" s="55" t="n"/>
      <c r="D1892" s="55" t="n"/>
      <c r="E1892" s="93" t="n"/>
      <c r="F1892" s="94" t="n"/>
      <c r="G1892" s="94" t="n"/>
      <c r="H1892" s="94" t="n"/>
      <c r="I1892" s="94" t="n"/>
      <c r="J1892" s="55" t="n"/>
      <c r="K1892" s="95" t="n"/>
      <c r="L1892" s="116">
        <f>IF($A1892="","",DATE(YEAR($A1892),MONTH($A1892)+IF(AND(IFERROR(N(INDEX(Übersicht!$M$15:$M$22,MATCH($B1892,Übersicht!$A$15:$A$22,0))),0)&gt;1,DAY($A1892)&gt;=IFERROR(N(INDEX(Übersicht!$M$15:$M$22,MATCH($B1892,Übersicht!$A$15:$A$22,0))),0)),1,0),1))</f>
        <v/>
      </c>
    </row>
    <row r="1893">
      <c r="A1893" s="92" t="n"/>
      <c r="B1893" s="55" t="n"/>
      <c r="C1893" s="55" t="n"/>
      <c r="D1893" s="55" t="n"/>
      <c r="E1893" s="93" t="n"/>
      <c r="F1893" s="94" t="n"/>
      <c r="G1893" s="94" t="n"/>
      <c r="H1893" s="94" t="n"/>
      <c r="I1893" s="94" t="n"/>
      <c r="J1893" s="55" t="n"/>
      <c r="K1893" s="95" t="n"/>
      <c r="L1893" s="116">
        <f>IF($A1893="","",DATE(YEAR($A1893),MONTH($A1893)+IF(AND(IFERROR(N(INDEX(Übersicht!$M$15:$M$22,MATCH($B1893,Übersicht!$A$15:$A$22,0))),0)&gt;1,DAY($A1893)&gt;=IFERROR(N(INDEX(Übersicht!$M$15:$M$22,MATCH($B1893,Übersicht!$A$15:$A$22,0))),0)),1,0),1))</f>
        <v/>
      </c>
    </row>
    <row r="1894">
      <c r="A1894" s="92" t="n"/>
      <c r="B1894" s="55" t="n"/>
      <c r="C1894" s="55" t="n"/>
      <c r="D1894" s="55" t="n"/>
      <c r="E1894" s="93" t="n"/>
      <c r="F1894" s="94" t="n"/>
      <c r="G1894" s="94" t="n"/>
      <c r="H1894" s="94" t="n"/>
      <c r="I1894" s="94" t="n"/>
      <c r="J1894" s="55" t="n"/>
      <c r="K1894" s="95" t="n"/>
      <c r="L1894" s="116">
        <f>IF($A1894="","",DATE(YEAR($A1894),MONTH($A1894)+IF(AND(IFERROR(N(INDEX(Übersicht!$M$15:$M$22,MATCH($B1894,Übersicht!$A$15:$A$22,0))),0)&gt;1,DAY($A1894)&gt;=IFERROR(N(INDEX(Übersicht!$M$15:$M$22,MATCH($B1894,Übersicht!$A$15:$A$22,0))),0)),1,0),1))</f>
        <v/>
      </c>
    </row>
    <row r="1895">
      <c r="A1895" s="92" t="n"/>
      <c r="B1895" s="55" t="n"/>
      <c r="C1895" s="55" t="n"/>
      <c r="D1895" s="55" t="n"/>
      <c r="E1895" s="93" t="n"/>
      <c r="F1895" s="94" t="n"/>
      <c r="G1895" s="94" t="n"/>
      <c r="H1895" s="94" t="n"/>
      <c r="I1895" s="94" t="n"/>
      <c r="J1895" s="55" t="n"/>
      <c r="K1895" s="95" t="n"/>
      <c r="L1895" s="116">
        <f>IF($A1895="","",DATE(YEAR($A1895),MONTH($A1895)+IF(AND(IFERROR(N(INDEX(Übersicht!$M$15:$M$22,MATCH($B1895,Übersicht!$A$15:$A$22,0))),0)&gt;1,DAY($A1895)&gt;=IFERROR(N(INDEX(Übersicht!$M$15:$M$22,MATCH($B1895,Übersicht!$A$15:$A$22,0))),0)),1,0),1))</f>
        <v/>
      </c>
    </row>
    <row r="1896">
      <c r="A1896" s="92" t="n"/>
      <c r="B1896" s="55" t="n"/>
      <c r="C1896" s="55" t="n"/>
      <c r="D1896" s="55" t="n"/>
      <c r="E1896" s="93" t="n"/>
      <c r="F1896" s="94" t="n"/>
      <c r="G1896" s="94" t="n"/>
      <c r="H1896" s="94" t="n"/>
      <c r="I1896" s="94" t="n"/>
      <c r="J1896" s="55" t="n"/>
      <c r="K1896" s="95" t="n"/>
      <c r="L1896" s="116">
        <f>IF($A1896="","",DATE(YEAR($A1896),MONTH($A1896)+IF(AND(IFERROR(N(INDEX(Übersicht!$M$15:$M$22,MATCH($B1896,Übersicht!$A$15:$A$22,0))),0)&gt;1,DAY($A1896)&gt;=IFERROR(N(INDEX(Übersicht!$M$15:$M$22,MATCH($B1896,Übersicht!$A$15:$A$22,0))),0)),1,0),1))</f>
        <v/>
      </c>
    </row>
    <row r="1897">
      <c r="A1897" s="92" t="n"/>
      <c r="B1897" s="55" t="n"/>
      <c r="C1897" s="55" t="n"/>
      <c r="D1897" s="55" t="n"/>
      <c r="E1897" s="93" t="n"/>
      <c r="F1897" s="94" t="n"/>
      <c r="G1897" s="94" t="n"/>
      <c r="H1897" s="94" t="n"/>
      <c r="I1897" s="94" t="n"/>
      <c r="J1897" s="55" t="n"/>
      <c r="K1897" s="95" t="n"/>
      <c r="L1897" s="116">
        <f>IF($A1897="","",DATE(YEAR($A1897),MONTH($A1897)+IF(AND(IFERROR(N(INDEX(Übersicht!$M$15:$M$22,MATCH($B1897,Übersicht!$A$15:$A$22,0))),0)&gt;1,DAY($A1897)&gt;=IFERROR(N(INDEX(Übersicht!$M$15:$M$22,MATCH($B1897,Übersicht!$A$15:$A$22,0))),0)),1,0),1))</f>
        <v/>
      </c>
    </row>
    <row r="1898">
      <c r="A1898" s="92" t="n"/>
      <c r="B1898" s="55" t="n"/>
      <c r="C1898" s="55" t="n"/>
      <c r="D1898" s="55" t="n"/>
      <c r="E1898" s="93" t="n"/>
      <c r="F1898" s="94" t="n"/>
      <c r="G1898" s="94" t="n"/>
      <c r="H1898" s="94" t="n"/>
      <c r="I1898" s="94" t="n"/>
      <c r="J1898" s="55" t="n"/>
      <c r="K1898" s="95" t="n"/>
      <c r="L1898" s="116">
        <f>IF($A1898="","",DATE(YEAR($A1898),MONTH($A1898)+IF(AND(IFERROR(N(INDEX(Übersicht!$M$15:$M$22,MATCH($B1898,Übersicht!$A$15:$A$22,0))),0)&gt;1,DAY($A1898)&gt;=IFERROR(N(INDEX(Übersicht!$M$15:$M$22,MATCH($B1898,Übersicht!$A$15:$A$22,0))),0)),1,0),1))</f>
        <v/>
      </c>
    </row>
    <row r="1899">
      <c r="A1899" s="92" t="n"/>
      <c r="B1899" s="55" t="n"/>
      <c r="C1899" s="55" t="n"/>
      <c r="D1899" s="55" t="n"/>
      <c r="E1899" s="93" t="n"/>
      <c r="F1899" s="94" t="n"/>
      <c r="G1899" s="94" t="n"/>
      <c r="H1899" s="94" t="n"/>
      <c r="I1899" s="94" t="n"/>
      <c r="J1899" s="55" t="n"/>
      <c r="K1899" s="95" t="n"/>
      <c r="L1899" s="116">
        <f>IF($A1899="","",DATE(YEAR($A1899),MONTH($A1899)+IF(AND(IFERROR(N(INDEX(Übersicht!$M$15:$M$22,MATCH($B1899,Übersicht!$A$15:$A$22,0))),0)&gt;1,DAY($A1899)&gt;=IFERROR(N(INDEX(Übersicht!$M$15:$M$22,MATCH($B1899,Übersicht!$A$15:$A$22,0))),0)),1,0),1))</f>
        <v/>
      </c>
    </row>
    <row r="1900">
      <c r="A1900" s="92" t="n"/>
      <c r="B1900" s="55" t="n"/>
      <c r="C1900" s="55" t="n"/>
      <c r="D1900" s="55" t="n"/>
      <c r="E1900" s="93" t="n"/>
      <c r="F1900" s="94" t="n"/>
      <c r="G1900" s="94" t="n"/>
      <c r="H1900" s="94" t="n"/>
      <c r="I1900" s="94" t="n"/>
      <c r="J1900" s="55" t="n"/>
      <c r="K1900" s="95" t="n"/>
      <c r="L1900" s="116">
        <f>IF($A1900="","",DATE(YEAR($A1900),MONTH($A1900)+IF(AND(IFERROR(N(INDEX(Übersicht!$M$15:$M$22,MATCH($B1900,Übersicht!$A$15:$A$22,0))),0)&gt;1,DAY($A1900)&gt;=IFERROR(N(INDEX(Übersicht!$M$15:$M$22,MATCH($B1900,Übersicht!$A$15:$A$22,0))),0)),1,0),1))</f>
        <v/>
      </c>
    </row>
    <row r="1901">
      <c r="A1901" s="92" t="n"/>
      <c r="B1901" s="55" t="n"/>
      <c r="C1901" s="55" t="n"/>
      <c r="D1901" s="55" t="n"/>
      <c r="E1901" s="93" t="n"/>
      <c r="F1901" s="94" t="n"/>
      <c r="G1901" s="94" t="n"/>
      <c r="H1901" s="94" t="n"/>
      <c r="I1901" s="94" t="n"/>
      <c r="J1901" s="55" t="n"/>
      <c r="K1901" s="95" t="n"/>
      <c r="L1901" s="116">
        <f>IF($A1901="","",DATE(YEAR($A1901),MONTH($A1901)+IF(AND(IFERROR(N(INDEX(Übersicht!$M$15:$M$22,MATCH($B1901,Übersicht!$A$15:$A$22,0))),0)&gt;1,DAY($A1901)&gt;=IFERROR(N(INDEX(Übersicht!$M$15:$M$22,MATCH($B1901,Übersicht!$A$15:$A$22,0))),0)),1,0),1))</f>
        <v/>
      </c>
    </row>
    <row r="1902">
      <c r="A1902" s="92" t="n"/>
      <c r="B1902" s="55" t="n"/>
      <c r="C1902" s="55" t="n"/>
      <c r="D1902" s="55" t="n"/>
      <c r="E1902" s="93" t="n"/>
      <c r="F1902" s="94" t="n"/>
      <c r="G1902" s="94" t="n"/>
      <c r="H1902" s="94" t="n"/>
      <c r="I1902" s="94" t="n"/>
      <c r="J1902" s="55" t="n"/>
      <c r="K1902" s="95" t="n"/>
      <c r="L1902" s="116">
        <f>IF($A1902="","",DATE(YEAR($A1902),MONTH($A1902)+IF(AND(IFERROR(N(INDEX(Übersicht!$M$15:$M$22,MATCH($B1902,Übersicht!$A$15:$A$22,0))),0)&gt;1,DAY($A1902)&gt;=IFERROR(N(INDEX(Übersicht!$M$15:$M$22,MATCH($B1902,Übersicht!$A$15:$A$22,0))),0)),1,0),1))</f>
        <v/>
      </c>
    </row>
    <row r="1903">
      <c r="A1903" s="92" t="n"/>
      <c r="B1903" s="55" t="n"/>
      <c r="C1903" s="55" t="n"/>
      <c r="D1903" s="55" t="n"/>
      <c r="E1903" s="93" t="n"/>
      <c r="F1903" s="94" t="n"/>
      <c r="G1903" s="94" t="n"/>
      <c r="H1903" s="94" t="n"/>
      <c r="I1903" s="94" t="n"/>
      <c r="J1903" s="55" t="n"/>
      <c r="K1903" s="95" t="n"/>
      <c r="L1903" s="116">
        <f>IF($A1903="","",DATE(YEAR($A1903),MONTH($A1903)+IF(AND(IFERROR(N(INDEX(Übersicht!$M$15:$M$22,MATCH($B1903,Übersicht!$A$15:$A$22,0))),0)&gt;1,DAY($A1903)&gt;=IFERROR(N(INDEX(Übersicht!$M$15:$M$22,MATCH($B1903,Übersicht!$A$15:$A$22,0))),0)),1,0),1))</f>
        <v/>
      </c>
    </row>
    <row r="1904">
      <c r="A1904" s="92" t="n"/>
      <c r="B1904" s="55" t="n"/>
      <c r="C1904" s="55" t="n"/>
      <c r="D1904" s="55" t="n"/>
      <c r="E1904" s="93" t="n"/>
      <c r="F1904" s="94" t="n"/>
      <c r="G1904" s="94" t="n"/>
      <c r="H1904" s="94" t="n"/>
      <c r="I1904" s="94" t="n"/>
      <c r="J1904" s="55" t="n"/>
      <c r="K1904" s="95" t="n"/>
      <c r="L1904" s="116">
        <f>IF($A1904="","",DATE(YEAR($A1904),MONTH($A1904)+IF(AND(IFERROR(N(INDEX(Übersicht!$M$15:$M$22,MATCH($B1904,Übersicht!$A$15:$A$22,0))),0)&gt;1,DAY($A1904)&gt;=IFERROR(N(INDEX(Übersicht!$M$15:$M$22,MATCH($B1904,Übersicht!$A$15:$A$22,0))),0)),1,0),1))</f>
        <v/>
      </c>
    </row>
    <row r="1905">
      <c r="A1905" s="92" t="n"/>
      <c r="B1905" s="55" t="n"/>
      <c r="C1905" s="55" t="n"/>
      <c r="D1905" s="55" t="n"/>
      <c r="E1905" s="93" t="n"/>
      <c r="F1905" s="94" t="n"/>
      <c r="G1905" s="94" t="n"/>
      <c r="H1905" s="94" t="n"/>
      <c r="I1905" s="94" t="n"/>
      <c r="J1905" s="55" t="n"/>
      <c r="K1905" s="95" t="n"/>
      <c r="L1905" s="116">
        <f>IF($A1905="","",DATE(YEAR($A1905),MONTH($A1905)+IF(AND(IFERROR(N(INDEX(Übersicht!$M$15:$M$22,MATCH($B1905,Übersicht!$A$15:$A$22,0))),0)&gt;1,DAY($A1905)&gt;=IFERROR(N(INDEX(Übersicht!$M$15:$M$22,MATCH($B1905,Übersicht!$A$15:$A$22,0))),0)),1,0),1))</f>
        <v/>
      </c>
    </row>
    <row r="1906">
      <c r="A1906" s="92" t="n"/>
      <c r="B1906" s="55" t="n"/>
      <c r="C1906" s="55" t="n"/>
      <c r="D1906" s="55" t="n"/>
      <c r="E1906" s="93" t="n"/>
      <c r="F1906" s="94" t="n"/>
      <c r="G1906" s="94" t="n"/>
      <c r="H1906" s="94" t="n"/>
      <c r="I1906" s="94" t="n"/>
      <c r="J1906" s="55" t="n"/>
      <c r="K1906" s="95" t="n"/>
      <c r="L1906" s="116">
        <f>IF($A1906="","",DATE(YEAR($A1906),MONTH($A1906)+IF(AND(IFERROR(N(INDEX(Übersicht!$M$15:$M$22,MATCH($B1906,Übersicht!$A$15:$A$22,0))),0)&gt;1,DAY($A1906)&gt;=IFERROR(N(INDEX(Übersicht!$M$15:$M$22,MATCH($B1906,Übersicht!$A$15:$A$22,0))),0)),1,0),1))</f>
        <v/>
      </c>
    </row>
    <row r="1907">
      <c r="A1907" s="92" t="n"/>
      <c r="B1907" s="55" t="n"/>
      <c r="C1907" s="55" t="n"/>
      <c r="D1907" s="55" t="n"/>
      <c r="E1907" s="93" t="n"/>
      <c r="F1907" s="94" t="n"/>
      <c r="G1907" s="94" t="n"/>
      <c r="H1907" s="94" t="n"/>
      <c r="I1907" s="94" t="n"/>
      <c r="J1907" s="55" t="n"/>
      <c r="K1907" s="95" t="n"/>
      <c r="L1907" s="116">
        <f>IF($A1907="","",DATE(YEAR($A1907),MONTH($A1907)+IF(AND(IFERROR(N(INDEX(Übersicht!$M$15:$M$22,MATCH($B1907,Übersicht!$A$15:$A$22,0))),0)&gt;1,DAY($A1907)&gt;=IFERROR(N(INDEX(Übersicht!$M$15:$M$22,MATCH($B1907,Übersicht!$A$15:$A$22,0))),0)),1,0),1))</f>
        <v/>
      </c>
    </row>
    <row r="1908">
      <c r="A1908" s="92" t="n"/>
      <c r="B1908" s="55" t="n"/>
      <c r="C1908" s="55" t="n"/>
      <c r="D1908" s="55" t="n"/>
      <c r="E1908" s="93" t="n"/>
      <c r="F1908" s="94" t="n"/>
      <c r="G1908" s="94" t="n"/>
      <c r="H1908" s="94" t="n"/>
      <c r="I1908" s="94" t="n"/>
      <c r="J1908" s="55" t="n"/>
      <c r="K1908" s="95" t="n"/>
      <c r="L1908" s="116">
        <f>IF($A1908="","",DATE(YEAR($A1908),MONTH($A1908)+IF(AND(IFERROR(N(INDEX(Übersicht!$M$15:$M$22,MATCH($B1908,Übersicht!$A$15:$A$22,0))),0)&gt;1,DAY($A1908)&gt;=IFERROR(N(INDEX(Übersicht!$M$15:$M$22,MATCH($B1908,Übersicht!$A$15:$A$22,0))),0)),1,0),1))</f>
        <v/>
      </c>
    </row>
    <row r="1909">
      <c r="A1909" s="92" t="n"/>
      <c r="B1909" s="55" t="n"/>
      <c r="C1909" s="55" t="n"/>
      <c r="D1909" s="55" t="n"/>
      <c r="E1909" s="93" t="n"/>
      <c r="F1909" s="94" t="n"/>
      <c r="G1909" s="94" t="n"/>
      <c r="H1909" s="94" t="n"/>
      <c r="I1909" s="94" t="n"/>
      <c r="J1909" s="55" t="n"/>
      <c r="K1909" s="95" t="n"/>
      <c r="L1909" s="116">
        <f>IF($A1909="","",DATE(YEAR($A1909),MONTH($A1909)+IF(AND(IFERROR(N(INDEX(Übersicht!$M$15:$M$22,MATCH($B1909,Übersicht!$A$15:$A$22,0))),0)&gt;1,DAY($A1909)&gt;=IFERROR(N(INDEX(Übersicht!$M$15:$M$22,MATCH($B1909,Übersicht!$A$15:$A$22,0))),0)),1,0),1))</f>
        <v/>
      </c>
    </row>
    <row r="1910">
      <c r="A1910" s="92" t="n"/>
      <c r="B1910" s="55" t="n"/>
      <c r="C1910" s="55" t="n"/>
      <c r="D1910" s="55" t="n"/>
      <c r="E1910" s="93" t="n"/>
      <c r="F1910" s="94" t="n"/>
      <c r="G1910" s="94" t="n"/>
      <c r="H1910" s="94" t="n"/>
      <c r="I1910" s="94" t="n"/>
      <c r="J1910" s="55" t="n"/>
      <c r="K1910" s="95" t="n"/>
      <c r="L1910" s="116">
        <f>IF($A1910="","",DATE(YEAR($A1910),MONTH($A1910)+IF(AND(IFERROR(N(INDEX(Übersicht!$M$15:$M$22,MATCH($B1910,Übersicht!$A$15:$A$22,0))),0)&gt;1,DAY($A1910)&gt;=IFERROR(N(INDEX(Übersicht!$M$15:$M$22,MATCH($B1910,Übersicht!$A$15:$A$22,0))),0)),1,0),1))</f>
        <v/>
      </c>
    </row>
    <row r="1911">
      <c r="A1911" s="92" t="n"/>
      <c r="B1911" s="55" t="n"/>
      <c r="C1911" s="55" t="n"/>
      <c r="D1911" s="55" t="n"/>
      <c r="E1911" s="93" t="n"/>
      <c r="F1911" s="94" t="n"/>
      <c r="G1911" s="94" t="n"/>
      <c r="H1911" s="94" t="n"/>
      <c r="I1911" s="94" t="n"/>
      <c r="J1911" s="55" t="n"/>
      <c r="K1911" s="95" t="n"/>
      <c r="L1911" s="116">
        <f>IF($A1911="","",DATE(YEAR($A1911),MONTH($A1911)+IF(AND(IFERROR(N(INDEX(Übersicht!$M$15:$M$22,MATCH($B1911,Übersicht!$A$15:$A$22,0))),0)&gt;1,DAY($A1911)&gt;=IFERROR(N(INDEX(Übersicht!$M$15:$M$22,MATCH($B1911,Übersicht!$A$15:$A$22,0))),0)),1,0),1))</f>
        <v/>
      </c>
    </row>
    <row r="1912">
      <c r="A1912" s="92" t="n"/>
      <c r="B1912" s="55" t="n"/>
      <c r="C1912" s="55" t="n"/>
      <c r="D1912" s="55" t="n"/>
      <c r="E1912" s="93" t="n"/>
      <c r="F1912" s="94" t="n"/>
      <c r="G1912" s="94" t="n"/>
      <c r="H1912" s="94" t="n"/>
      <c r="I1912" s="94" t="n"/>
      <c r="J1912" s="55" t="n"/>
      <c r="K1912" s="95" t="n"/>
      <c r="L1912" s="116">
        <f>IF($A1912="","",DATE(YEAR($A1912),MONTH($A1912)+IF(AND(IFERROR(N(INDEX(Übersicht!$M$15:$M$22,MATCH($B1912,Übersicht!$A$15:$A$22,0))),0)&gt;1,DAY($A1912)&gt;=IFERROR(N(INDEX(Übersicht!$M$15:$M$22,MATCH($B1912,Übersicht!$A$15:$A$22,0))),0)),1,0),1))</f>
        <v/>
      </c>
    </row>
    <row r="1913">
      <c r="A1913" s="92" t="n"/>
      <c r="B1913" s="55" t="n"/>
      <c r="C1913" s="55" t="n"/>
      <c r="D1913" s="55" t="n"/>
      <c r="E1913" s="93" t="n"/>
      <c r="F1913" s="94" t="n"/>
      <c r="G1913" s="94" t="n"/>
      <c r="H1913" s="94" t="n"/>
      <c r="I1913" s="94" t="n"/>
      <c r="J1913" s="55" t="n"/>
      <c r="K1913" s="95" t="n"/>
      <c r="L1913" s="116">
        <f>IF($A1913="","",DATE(YEAR($A1913),MONTH($A1913)+IF(AND(IFERROR(N(INDEX(Übersicht!$M$15:$M$22,MATCH($B1913,Übersicht!$A$15:$A$22,0))),0)&gt;1,DAY($A1913)&gt;=IFERROR(N(INDEX(Übersicht!$M$15:$M$22,MATCH($B1913,Übersicht!$A$15:$A$22,0))),0)),1,0),1))</f>
        <v/>
      </c>
    </row>
    <row r="1914">
      <c r="A1914" s="92" t="n"/>
      <c r="B1914" s="55" t="n"/>
      <c r="C1914" s="55" t="n"/>
      <c r="D1914" s="55" t="n"/>
      <c r="E1914" s="93" t="n"/>
      <c r="F1914" s="94" t="n"/>
      <c r="G1914" s="94" t="n"/>
      <c r="H1914" s="94" t="n"/>
      <c r="I1914" s="94" t="n"/>
      <c r="J1914" s="55" t="n"/>
      <c r="K1914" s="95" t="n"/>
      <c r="L1914" s="116">
        <f>IF($A1914="","",DATE(YEAR($A1914),MONTH($A1914)+IF(AND(IFERROR(N(INDEX(Übersicht!$M$15:$M$22,MATCH($B1914,Übersicht!$A$15:$A$22,0))),0)&gt;1,DAY($A1914)&gt;=IFERROR(N(INDEX(Übersicht!$M$15:$M$22,MATCH($B1914,Übersicht!$A$15:$A$22,0))),0)),1,0),1))</f>
        <v/>
      </c>
    </row>
    <row r="1915">
      <c r="A1915" s="92" t="n"/>
      <c r="B1915" s="55" t="n"/>
      <c r="C1915" s="55" t="n"/>
      <c r="D1915" s="55" t="n"/>
      <c r="E1915" s="93" t="n"/>
      <c r="F1915" s="94" t="n"/>
      <c r="G1915" s="94" t="n"/>
      <c r="H1915" s="94" t="n"/>
      <c r="I1915" s="94" t="n"/>
      <c r="J1915" s="55" t="n"/>
      <c r="K1915" s="95" t="n"/>
      <c r="L1915" s="116">
        <f>IF($A1915="","",DATE(YEAR($A1915),MONTH($A1915)+IF(AND(IFERROR(N(INDEX(Übersicht!$M$15:$M$22,MATCH($B1915,Übersicht!$A$15:$A$22,0))),0)&gt;1,DAY($A1915)&gt;=IFERROR(N(INDEX(Übersicht!$M$15:$M$22,MATCH($B1915,Übersicht!$A$15:$A$22,0))),0)),1,0),1))</f>
        <v/>
      </c>
    </row>
    <row r="1916">
      <c r="A1916" s="92" t="n"/>
      <c r="B1916" s="55" t="n"/>
      <c r="C1916" s="55" t="n"/>
      <c r="D1916" s="55" t="n"/>
      <c r="E1916" s="93" t="n"/>
      <c r="F1916" s="94" t="n"/>
      <c r="G1916" s="94" t="n"/>
      <c r="H1916" s="94" t="n"/>
      <c r="I1916" s="94" t="n"/>
      <c r="J1916" s="55" t="n"/>
      <c r="K1916" s="95" t="n"/>
      <c r="L1916" s="116">
        <f>IF($A1916="","",DATE(YEAR($A1916),MONTH($A1916)+IF(AND(IFERROR(N(INDEX(Übersicht!$M$15:$M$22,MATCH($B1916,Übersicht!$A$15:$A$22,0))),0)&gt;1,DAY($A1916)&gt;=IFERROR(N(INDEX(Übersicht!$M$15:$M$22,MATCH($B1916,Übersicht!$A$15:$A$22,0))),0)),1,0),1))</f>
        <v/>
      </c>
    </row>
    <row r="1917">
      <c r="A1917" s="92" t="n"/>
      <c r="B1917" s="55" t="n"/>
      <c r="C1917" s="55" t="n"/>
      <c r="D1917" s="55" t="n"/>
      <c r="E1917" s="93" t="n"/>
      <c r="F1917" s="94" t="n"/>
      <c r="G1917" s="94" t="n"/>
      <c r="H1917" s="94" t="n"/>
      <c r="I1917" s="94" t="n"/>
      <c r="J1917" s="55" t="n"/>
      <c r="K1917" s="95" t="n"/>
      <c r="L1917" s="116">
        <f>IF($A1917="","",DATE(YEAR($A1917),MONTH($A1917)+IF(AND(IFERROR(N(INDEX(Übersicht!$M$15:$M$22,MATCH($B1917,Übersicht!$A$15:$A$22,0))),0)&gt;1,DAY($A1917)&gt;=IFERROR(N(INDEX(Übersicht!$M$15:$M$22,MATCH($B1917,Übersicht!$A$15:$A$22,0))),0)),1,0),1))</f>
        <v/>
      </c>
    </row>
    <row r="1918">
      <c r="A1918" s="92" t="n"/>
      <c r="B1918" s="55" t="n"/>
      <c r="C1918" s="55" t="n"/>
      <c r="D1918" s="55" t="n"/>
      <c r="E1918" s="93" t="n"/>
      <c r="F1918" s="94" t="n"/>
      <c r="G1918" s="94" t="n"/>
      <c r="H1918" s="94" t="n"/>
      <c r="I1918" s="94" t="n"/>
      <c r="J1918" s="55" t="n"/>
      <c r="K1918" s="95" t="n"/>
      <c r="L1918" s="116">
        <f>IF($A1918="","",DATE(YEAR($A1918),MONTH($A1918)+IF(AND(IFERROR(N(INDEX(Übersicht!$M$15:$M$22,MATCH($B1918,Übersicht!$A$15:$A$22,0))),0)&gt;1,DAY($A1918)&gt;=IFERROR(N(INDEX(Übersicht!$M$15:$M$22,MATCH($B1918,Übersicht!$A$15:$A$22,0))),0)),1,0),1))</f>
        <v/>
      </c>
    </row>
    <row r="1919">
      <c r="A1919" s="92" t="n"/>
      <c r="B1919" s="55" t="n"/>
      <c r="C1919" s="55" t="n"/>
      <c r="D1919" s="55" t="n"/>
      <c r="E1919" s="93" t="n"/>
      <c r="F1919" s="94" t="n"/>
      <c r="G1919" s="94" t="n"/>
      <c r="H1919" s="94" t="n"/>
      <c r="I1919" s="94" t="n"/>
      <c r="J1919" s="55" t="n"/>
      <c r="K1919" s="95" t="n"/>
      <c r="L1919" s="116">
        <f>IF($A1919="","",DATE(YEAR($A1919),MONTH($A1919)+IF(AND(IFERROR(N(INDEX(Übersicht!$M$15:$M$22,MATCH($B1919,Übersicht!$A$15:$A$22,0))),0)&gt;1,DAY($A1919)&gt;=IFERROR(N(INDEX(Übersicht!$M$15:$M$22,MATCH($B1919,Übersicht!$A$15:$A$22,0))),0)),1,0),1))</f>
        <v/>
      </c>
    </row>
    <row r="1920">
      <c r="A1920" s="92" t="n"/>
      <c r="B1920" s="55" t="n"/>
      <c r="C1920" s="55" t="n"/>
      <c r="D1920" s="55" t="n"/>
      <c r="E1920" s="93" t="n"/>
      <c r="F1920" s="94" t="n"/>
      <c r="G1920" s="94" t="n"/>
      <c r="H1920" s="94" t="n"/>
      <c r="I1920" s="94" t="n"/>
      <c r="J1920" s="55" t="n"/>
      <c r="K1920" s="95" t="n"/>
      <c r="L1920" s="116">
        <f>IF($A1920="","",DATE(YEAR($A1920),MONTH($A1920)+IF(AND(IFERROR(N(INDEX(Übersicht!$M$15:$M$22,MATCH($B1920,Übersicht!$A$15:$A$22,0))),0)&gt;1,DAY($A1920)&gt;=IFERROR(N(INDEX(Übersicht!$M$15:$M$22,MATCH($B1920,Übersicht!$A$15:$A$22,0))),0)),1,0),1))</f>
        <v/>
      </c>
    </row>
    <row r="1921">
      <c r="A1921" s="92" t="n"/>
      <c r="B1921" s="55" t="n"/>
      <c r="C1921" s="55" t="n"/>
      <c r="D1921" s="55" t="n"/>
      <c r="E1921" s="93" t="n"/>
      <c r="F1921" s="94" t="n"/>
      <c r="G1921" s="94" t="n"/>
      <c r="H1921" s="94" t="n"/>
      <c r="I1921" s="94" t="n"/>
      <c r="J1921" s="55" t="n"/>
      <c r="K1921" s="95" t="n"/>
      <c r="L1921" s="116">
        <f>IF($A1921="","",DATE(YEAR($A1921),MONTH($A1921)+IF(AND(IFERROR(N(INDEX(Übersicht!$M$15:$M$22,MATCH($B1921,Übersicht!$A$15:$A$22,0))),0)&gt;1,DAY($A1921)&gt;=IFERROR(N(INDEX(Übersicht!$M$15:$M$22,MATCH($B1921,Übersicht!$A$15:$A$22,0))),0)),1,0),1))</f>
        <v/>
      </c>
    </row>
    <row r="1922">
      <c r="A1922" s="92" t="n"/>
      <c r="B1922" s="55" t="n"/>
      <c r="C1922" s="55" t="n"/>
      <c r="D1922" s="55" t="n"/>
      <c r="E1922" s="93" t="n"/>
      <c r="F1922" s="94" t="n"/>
      <c r="G1922" s="94" t="n"/>
      <c r="H1922" s="94" t="n"/>
      <c r="I1922" s="94" t="n"/>
      <c r="J1922" s="55" t="n"/>
      <c r="K1922" s="95" t="n"/>
      <c r="L1922" s="116">
        <f>IF($A1922="","",DATE(YEAR($A1922),MONTH($A1922)+IF(AND(IFERROR(N(INDEX(Übersicht!$M$15:$M$22,MATCH($B1922,Übersicht!$A$15:$A$22,0))),0)&gt;1,DAY($A1922)&gt;=IFERROR(N(INDEX(Übersicht!$M$15:$M$22,MATCH($B1922,Übersicht!$A$15:$A$22,0))),0)),1,0),1))</f>
        <v/>
      </c>
    </row>
    <row r="1923">
      <c r="A1923" s="92" t="n"/>
      <c r="B1923" s="55" t="n"/>
      <c r="C1923" s="55" t="n"/>
      <c r="D1923" s="55" t="n"/>
      <c r="E1923" s="93" t="n"/>
      <c r="F1923" s="94" t="n"/>
      <c r="G1923" s="94" t="n"/>
      <c r="H1923" s="94" t="n"/>
      <c r="I1923" s="94" t="n"/>
      <c r="J1923" s="55" t="n"/>
      <c r="K1923" s="95" t="n"/>
      <c r="L1923" s="116">
        <f>IF($A1923="","",DATE(YEAR($A1923),MONTH($A1923)+IF(AND(IFERROR(N(INDEX(Übersicht!$M$15:$M$22,MATCH($B1923,Übersicht!$A$15:$A$22,0))),0)&gt;1,DAY($A1923)&gt;=IFERROR(N(INDEX(Übersicht!$M$15:$M$22,MATCH($B1923,Übersicht!$A$15:$A$22,0))),0)),1,0),1))</f>
        <v/>
      </c>
    </row>
    <row r="1924">
      <c r="A1924" s="92" t="n"/>
      <c r="B1924" s="55" t="n"/>
      <c r="C1924" s="55" t="n"/>
      <c r="D1924" s="55" t="n"/>
      <c r="E1924" s="93" t="n"/>
      <c r="F1924" s="94" t="n"/>
      <c r="G1924" s="94" t="n"/>
      <c r="H1924" s="94" t="n"/>
      <c r="I1924" s="94" t="n"/>
      <c r="J1924" s="55" t="n"/>
      <c r="K1924" s="95" t="n"/>
      <c r="L1924" s="116">
        <f>IF($A1924="","",DATE(YEAR($A1924),MONTH($A1924)+IF(AND(IFERROR(N(INDEX(Übersicht!$M$15:$M$22,MATCH($B1924,Übersicht!$A$15:$A$22,0))),0)&gt;1,DAY($A1924)&gt;=IFERROR(N(INDEX(Übersicht!$M$15:$M$22,MATCH($B1924,Übersicht!$A$15:$A$22,0))),0)),1,0),1))</f>
        <v/>
      </c>
    </row>
    <row r="1925">
      <c r="A1925" s="92" t="n"/>
      <c r="B1925" s="55" t="n"/>
      <c r="C1925" s="55" t="n"/>
      <c r="D1925" s="55" t="n"/>
      <c r="E1925" s="93" t="n"/>
      <c r="F1925" s="94" t="n"/>
      <c r="G1925" s="94" t="n"/>
      <c r="H1925" s="94" t="n"/>
      <c r="I1925" s="94" t="n"/>
      <c r="J1925" s="55" t="n"/>
      <c r="K1925" s="95" t="n"/>
      <c r="L1925" s="116">
        <f>IF($A1925="","",DATE(YEAR($A1925),MONTH($A1925)+IF(AND(IFERROR(N(INDEX(Übersicht!$M$15:$M$22,MATCH($B1925,Übersicht!$A$15:$A$22,0))),0)&gt;1,DAY($A1925)&gt;=IFERROR(N(INDEX(Übersicht!$M$15:$M$22,MATCH($B1925,Übersicht!$A$15:$A$22,0))),0)),1,0),1))</f>
        <v/>
      </c>
    </row>
    <row r="1926">
      <c r="A1926" s="92" t="n"/>
      <c r="B1926" s="55" t="n"/>
      <c r="C1926" s="55" t="n"/>
      <c r="D1926" s="55" t="n"/>
      <c r="E1926" s="93" t="n"/>
      <c r="F1926" s="94" t="n"/>
      <c r="G1926" s="94" t="n"/>
      <c r="H1926" s="94" t="n"/>
      <c r="I1926" s="94" t="n"/>
      <c r="J1926" s="55" t="n"/>
      <c r="K1926" s="95" t="n"/>
      <c r="L1926" s="116">
        <f>IF($A1926="","",DATE(YEAR($A1926),MONTH($A1926)+IF(AND(IFERROR(N(INDEX(Übersicht!$M$15:$M$22,MATCH($B1926,Übersicht!$A$15:$A$22,0))),0)&gt;1,DAY($A1926)&gt;=IFERROR(N(INDEX(Übersicht!$M$15:$M$22,MATCH($B1926,Übersicht!$A$15:$A$22,0))),0)),1,0),1))</f>
        <v/>
      </c>
    </row>
    <row r="1927">
      <c r="A1927" s="92" t="n"/>
      <c r="B1927" s="55" t="n"/>
      <c r="C1927" s="55" t="n"/>
      <c r="D1927" s="55" t="n"/>
      <c r="E1927" s="93" t="n"/>
      <c r="F1927" s="94" t="n"/>
      <c r="G1927" s="94" t="n"/>
      <c r="H1927" s="94" t="n"/>
      <c r="I1927" s="94" t="n"/>
      <c r="J1927" s="55" t="n"/>
      <c r="K1927" s="95" t="n"/>
      <c r="L1927" s="116">
        <f>IF($A1927="","",DATE(YEAR($A1927),MONTH($A1927)+IF(AND(IFERROR(N(INDEX(Übersicht!$M$15:$M$22,MATCH($B1927,Übersicht!$A$15:$A$22,0))),0)&gt;1,DAY($A1927)&gt;=IFERROR(N(INDEX(Übersicht!$M$15:$M$22,MATCH($B1927,Übersicht!$A$15:$A$22,0))),0)),1,0),1))</f>
        <v/>
      </c>
    </row>
    <row r="1928">
      <c r="A1928" s="92" t="n"/>
      <c r="B1928" s="55" t="n"/>
      <c r="C1928" s="55" t="n"/>
      <c r="D1928" s="55" t="n"/>
      <c r="E1928" s="93" t="n"/>
      <c r="F1928" s="94" t="n"/>
      <c r="G1928" s="94" t="n"/>
      <c r="H1928" s="94" t="n"/>
      <c r="I1928" s="94" t="n"/>
      <c r="J1928" s="55" t="n"/>
      <c r="K1928" s="95" t="n"/>
      <c r="L1928" s="116">
        <f>IF($A1928="","",DATE(YEAR($A1928),MONTH($A1928)+IF(AND(IFERROR(N(INDEX(Übersicht!$M$15:$M$22,MATCH($B1928,Übersicht!$A$15:$A$22,0))),0)&gt;1,DAY($A1928)&gt;=IFERROR(N(INDEX(Übersicht!$M$15:$M$22,MATCH($B1928,Übersicht!$A$15:$A$22,0))),0)),1,0),1))</f>
        <v/>
      </c>
    </row>
    <row r="1929">
      <c r="A1929" s="92" t="n"/>
      <c r="B1929" s="55" t="n"/>
      <c r="C1929" s="55" t="n"/>
      <c r="D1929" s="55" t="n"/>
      <c r="E1929" s="93" t="n"/>
      <c r="F1929" s="94" t="n"/>
      <c r="G1929" s="94" t="n"/>
      <c r="H1929" s="94" t="n"/>
      <c r="I1929" s="94" t="n"/>
      <c r="J1929" s="55" t="n"/>
      <c r="K1929" s="95" t="n"/>
      <c r="L1929" s="116">
        <f>IF($A1929="","",DATE(YEAR($A1929),MONTH($A1929)+IF(AND(IFERROR(N(INDEX(Übersicht!$M$15:$M$22,MATCH($B1929,Übersicht!$A$15:$A$22,0))),0)&gt;1,DAY($A1929)&gt;=IFERROR(N(INDEX(Übersicht!$M$15:$M$22,MATCH($B1929,Übersicht!$A$15:$A$22,0))),0)),1,0),1))</f>
        <v/>
      </c>
    </row>
    <row r="1930">
      <c r="A1930" s="92" t="n"/>
      <c r="B1930" s="55" t="n"/>
      <c r="C1930" s="55" t="n"/>
      <c r="D1930" s="55" t="n"/>
      <c r="E1930" s="93" t="n"/>
      <c r="F1930" s="94" t="n"/>
      <c r="G1930" s="94" t="n"/>
      <c r="H1930" s="94" t="n"/>
      <c r="I1930" s="94" t="n"/>
      <c r="J1930" s="55" t="n"/>
      <c r="K1930" s="95" t="n"/>
      <c r="L1930" s="116">
        <f>IF($A1930="","",DATE(YEAR($A1930),MONTH($A1930)+IF(AND(IFERROR(N(INDEX(Übersicht!$M$15:$M$22,MATCH($B1930,Übersicht!$A$15:$A$22,0))),0)&gt;1,DAY($A1930)&gt;=IFERROR(N(INDEX(Übersicht!$M$15:$M$22,MATCH($B1930,Übersicht!$A$15:$A$22,0))),0)),1,0),1))</f>
        <v/>
      </c>
    </row>
    <row r="1931">
      <c r="A1931" s="92" t="n"/>
      <c r="B1931" s="55" t="n"/>
      <c r="C1931" s="55" t="n"/>
      <c r="D1931" s="55" t="n"/>
      <c r="E1931" s="93" t="n"/>
      <c r="F1931" s="94" t="n"/>
      <c r="G1931" s="94" t="n"/>
      <c r="H1931" s="94" t="n"/>
      <c r="I1931" s="94" t="n"/>
      <c r="J1931" s="55" t="n"/>
      <c r="K1931" s="95" t="n"/>
      <c r="L1931" s="116">
        <f>IF($A1931="","",DATE(YEAR($A1931),MONTH($A1931)+IF(AND(IFERROR(N(INDEX(Übersicht!$M$15:$M$22,MATCH($B1931,Übersicht!$A$15:$A$22,0))),0)&gt;1,DAY($A1931)&gt;=IFERROR(N(INDEX(Übersicht!$M$15:$M$22,MATCH($B1931,Übersicht!$A$15:$A$22,0))),0)),1,0),1))</f>
        <v/>
      </c>
    </row>
    <row r="1932">
      <c r="A1932" s="92" t="n"/>
      <c r="B1932" s="55" t="n"/>
      <c r="C1932" s="55" t="n"/>
      <c r="D1932" s="55" t="n"/>
      <c r="E1932" s="93" t="n"/>
      <c r="F1932" s="94" t="n"/>
      <c r="G1932" s="94" t="n"/>
      <c r="H1932" s="94" t="n"/>
      <c r="I1932" s="94" t="n"/>
      <c r="J1932" s="55" t="n"/>
      <c r="K1932" s="95" t="n"/>
      <c r="L1932" s="116">
        <f>IF($A1932="","",DATE(YEAR($A1932),MONTH($A1932)+IF(AND(IFERROR(N(INDEX(Übersicht!$M$15:$M$22,MATCH($B1932,Übersicht!$A$15:$A$22,0))),0)&gt;1,DAY($A1932)&gt;=IFERROR(N(INDEX(Übersicht!$M$15:$M$22,MATCH($B1932,Übersicht!$A$15:$A$22,0))),0)),1,0),1))</f>
        <v/>
      </c>
    </row>
    <row r="1933">
      <c r="A1933" s="92" t="n"/>
      <c r="B1933" s="55" t="n"/>
      <c r="C1933" s="55" t="n"/>
      <c r="D1933" s="55" t="n"/>
      <c r="E1933" s="93" t="n"/>
      <c r="F1933" s="94" t="n"/>
      <c r="G1933" s="94" t="n"/>
      <c r="H1933" s="94" t="n"/>
      <c r="I1933" s="94" t="n"/>
      <c r="J1933" s="55" t="n"/>
      <c r="K1933" s="95" t="n"/>
      <c r="L1933" s="116">
        <f>IF($A1933="","",DATE(YEAR($A1933),MONTH($A1933)+IF(AND(IFERROR(N(INDEX(Übersicht!$M$15:$M$22,MATCH($B1933,Übersicht!$A$15:$A$22,0))),0)&gt;1,DAY($A1933)&gt;=IFERROR(N(INDEX(Übersicht!$M$15:$M$22,MATCH($B1933,Übersicht!$A$15:$A$22,0))),0)),1,0),1))</f>
        <v/>
      </c>
    </row>
    <row r="1934">
      <c r="A1934" s="92" t="n"/>
      <c r="B1934" s="55" t="n"/>
      <c r="C1934" s="55" t="n"/>
      <c r="D1934" s="55" t="n"/>
      <c r="E1934" s="93" t="n"/>
      <c r="F1934" s="94" t="n"/>
      <c r="G1934" s="94" t="n"/>
      <c r="H1934" s="94" t="n"/>
      <c r="I1934" s="94" t="n"/>
      <c r="J1934" s="55" t="n"/>
      <c r="K1934" s="95" t="n"/>
      <c r="L1934" s="116">
        <f>IF($A1934="","",DATE(YEAR($A1934),MONTH($A1934)+IF(AND(IFERROR(N(INDEX(Übersicht!$M$15:$M$22,MATCH($B1934,Übersicht!$A$15:$A$22,0))),0)&gt;1,DAY($A1934)&gt;=IFERROR(N(INDEX(Übersicht!$M$15:$M$22,MATCH($B1934,Übersicht!$A$15:$A$22,0))),0)),1,0),1))</f>
        <v/>
      </c>
    </row>
    <row r="1935">
      <c r="A1935" s="92" t="n"/>
      <c r="B1935" s="55" t="n"/>
      <c r="C1935" s="55" t="n"/>
      <c r="D1935" s="55" t="n"/>
      <c r="E1935" s="93" t="n"/>
      <c r="F1935" s="94" t="n"/>
      <c r="G1935" s="94" t="n"/>
      <c r="H1935" s="94" t="n"/>
      <c r="I1935" s="94" t="n"/>
      <c r="J1935" s="55" t="n"/>
      <c r="K1935" s="95" t="n"/>
      <c r="L1935" s="116">
        <f>IF($A1935="","",DATE(YEAR($A1935),MONTH($A1935)+IF(AND(IFERROR(N(INDEX(Übersicht!$M$15:$M$22,MATCH($B1935,Übersicht!$A$15:$A$22,0))),0)&gt;1,DAY($A1935)&gt;=IFERROR(N(INDEX(Übersicht!$M$15:$M$22,MATCH($B1935,Übersicht!$A$15:$A$22,0))),0)),1,0),1))</f>
        <v/>
      </c>
    </row>
    <row r="1936">
      <c r="A1936" s="92" t="n"/>
      <c r="B1936" s="55" t="n"/>
      <c r="C1936" s="55" t="n"/>
      <c r="D1936" s="55" t="n"/>
      <c r="E1936" s="93" t="n"/>
      <c r="F1936" s="94" t="n"/>
      <c r="G1936" s="94" t="n"/>
      <c r="H1936" s="94" t="n"/>
      <c r="I1936" s="94" t="n"/>
      <c r="J1936" s="55" t="n"/>
      <c r="K1936" s="95" t="n"/>
      <c r="L1936" s="116">
        <f>IF($A1936="","",DATE(YEAR($A1936),MONTH($A1936)+IF(AND(IFERROR(N(INDEX(Übersicht!$M$15:$M$22,MATCH($B1936,Übersicht!$A$15:$A$22,0))),0)&gt;1,DAY($A1936)&gt;=IFERROR(N(INDEX(Übersicht!$M$15:$M$22,MATCH($B1936,Übersicht!$A$15:$A$22,0))),0)),1,0),1))</f>
        <v/>
      </c>
    </row>
    <row r="1937">
      <c r="A1937" s="92" t="n"/>
      <c r="B1937" s="55" t="n"/>
      <c r="C1937" s="55" t="n"/>
      <c r="D1937" s="55" t="n"/>
      <c r="E1937" s="93" t="n"/>
      <c r="F1937" s="94" t="n"/>
      <c r="G1937" s="94" t="n"/>
      <c r="H1937" s="94" t="n"/>
      <c r="I1937" s="94" t="n"/>
      <c r="J1937" s="55" t="n"/>
      <c r="K1937" s="95" t="n"/>
      <c r="L1937" s="116">
        <f>IF($A1937="","",DATE(YEAR($A1937),MONTH($A1937)+IF(AND(IFERROR(N(INDEX(Übersicht!$M$15:$M$22,MATCH($B1937,Übersicht!$A$15:$A$22,0))),0)&gt;1,DAY($A1937)&gt;=IFERROR(N(INDEX(Übersicht!$M$15:$M$22,MATCH($B1937,Übersicht!$A$15:$A$22,0))),0)),1,0),1))</f>
        <v/>
      </c>
    </row>
    <row r="1938">
      <c r="A1938" s="92" t="n"/>
      <c r="B1938" s="55" t="n"/>
      <c r="C1938" s="55" t="n"/>
      <c r="D1938" s="55" t="n"/>
      <c r="E1938" s="93" t="n"/>
      <c r="F1938" s="94" t="n"/>
      <c r="G1938" s="94" t="n"/>
      <c r="H1938" s="94" t="n"/>
      <c r="I1938" s="94" t="n"/>
      <c r="J1938" s="55" t="n"/>
      <c r="K1938" s="95" t="n"/>
      <c r="L1938" s="116">
        <f>IF($A1938="","",DATE(YEAR($A1938),MONTH($A1938)+IF(AND(IFERROR(N(INDEX(Übersicht!$M$15:$M$22,MATCH($B1938,Übersicht!$A$15:$A$22,0))),0)&gt;1,DAY($A1938)&gt;=IFERROR(N(INDEX(Übersicht!$M$15:$M$22,MATCH($B1938,Übersicht!$A$15:$A$22,0))),0)),1,0),1))</f>
        <v/>
      </c>
    </row>
    <row r="1939">
      <c r="A1939" s="92" t="n"/>
      <c r="B1939" s="55" t="n"/>
      <c r="C1939" s="55" t="n"/>
      <c r="D1939" s="55" t="n"/>
      <c r="E1939" s="93" t="n"/>
      <c r="F1939" s="94" t="n"/>
      <c r="G1939" s="94" t="n"/>
      <c r="H1939" s="94" t="n"/>
      <c r="I1939" s="94" t="n"/>
      <c r="J1939" s="55" t="n"/>
      <c r="K1939" s="95" t="n"/>
      <c r="L1939" s="116">
        <f>IF($A1939="","",DATE(YEAR($A1939),MONTH($A1939)+IF(AND(IFERROR(N(INDEX(Übersicht!$M$15:$M$22,MATCH($B1939,Übersicht!$A$15:$A$22,0))),0)&gt;1,DAY($A1939)&gt;=IFERROR(N(INDEX(Übersicht!$M$15:$M$22,MATCH($B1939,Übersicht!$A$15:$A$22,0))),0)),1,0),1))</f>
        <v/>
      </c>
    </row>
    <row r="1940">
      <c r="A1940" s="92" t="n"/>
      <c r="B1940" s="55" t="n"/>
      <c r="C1940" s="55" t="n"/>
      <c r="D1940" s="55" t="n"/>
      <c r="E1940" s="93" t="n"/>
      <c r="F1940" s="94" t="n"/>
      <c r="G1940" s="94" t="n"/>
      <c r="H1940" s="94" t="n"/>
      <c r="I1940" s="94" t="n"/>
      <c r="J1940" s="55" t="n"/>
      <c r="K1940" s="95" t="n"/>
      <c r="L1940" s="116">
        <f>IF($A1940="","",DATE(YEAR($A1940),MONTH($A1940)+IF(AND(IFERROR(N(INDEX(Übersicht!$M$15:$M$22,MATCH($B1940,Übersicht!$A$15:$A$22,0))),0)&gt;1,DAY($A1940)&gt;=IFERROR(N(INDEX(Übersicht!$M$15:$M$22,MATCH($B1940,Übersicht!$A$15:$A$22,0))),0)),1,0),1))</f>
        <v/>
      </c>
    </row>
    <row r="1941">
      <c r="A1941" s="92" t="n"/>
      <c r="B1941" s="55" t="n"/>
      <c r="C1941" s="55" t="n"/>
      <c r="D1941" s="55" t="n"/>
      <c r="E1941" s="93" t="n"/>
      <c r="F1941" s="94" t="n"/>
      <c r="G1941" s="94" t="n"/>
      <c r="H1941" s="94" t="n"/>
      <c r="I1941" s="94" t="n"/>
      <c r="J1941" s="55" t="n"/>
      <c r="K1941" s="95" t="n"/>
      <c r="L1941" s="116">
        <f>IF($A1941="","",DATE(YEAR($A1941),MONTH($A1941)+IF(AND(IFERROR(N(INDEX(Übersicht!$M$15:$M$22,MATCH($B1941,Übersicht!$A$15:$A$22,0))),0)&gt;1,DAY($A1941)&gt;=IFERROR(N(INDEX(Übersicht!$M$15:$M$22,MATCH($B1941,Übersicht!$A$15:$A$22,0))),0)),1,0),1))</f>
        <v/>
      </c>
    </row>
    <row r="1942">
      <c r="A1942" s="92" t="n"/>
      <c r="B1942" s="55" t="n"/>
      <c r="C1942" s="55" t="n"/>
      <c r="D1942" s="55" t="n"/>
      <c r="E1942" s="93" t="n"/>
      <c r="F1942" s="94" t="n"/>
      <c r="G1942" s="94" t="n"/>
      <c r="H1942" s="94" t="n"/>
      <c r="I1942" s="94" t="n"/>
      <c r="J1942" s="55" t="n"/>
      <c r="K1942" s="95" t="n"/>
      <c r="L1942" s="116">
        <f>IF($A1942="","",DATE(YEAR($A1942),MONTH($A1942)+IF(AND(IFERROR(N(INDEX(Übersicht!$M$15:$M$22,MATCH($B1942,Übersicht!$A$15:$A$22,0))),0)&gt;1,DAY($A1942)&gt;=IFERROR(N(INDEX(Übersicht!$M$15:$M$22,MATCH($B1942,Übersicht!$A$15:$A$22,0))),0)),1,0),1))</f>
        <v/>
      </c>
    </row>
    <row r="1943">
      <c r="A1943" s="92" t="n"/>
      <c r="B1943" s="55" t="n"/>
      <c r="C1943" s="55" t="n"/>
      <c r="D1943" s="55" t="n"/>
      <c r="E1943" s="93" t="n"/>
      <c r="F1943" s="94" t="n"/>
      <c r="G1943" s="94" t="n"/>
      <c r="H1943" s="94" t="n"/>
      <c r="I1943" s="94" t="n"/>
      <c r="J1943" s="55" t="n"/>
      <c r="K1943" s="95" t="n"/>
      <c r="L1943" s="116">
        <f>IF($A1943="","",DATE(YEAR($A1943),MONTH($A1943)+IF(AND(IFERROR(N(INDEX(Übersicht!$M$15:$M$22,MATCH($B1943,Übersicht!$A$15:$A$22,0))),0)&gt;1,DAY($A1943)&gt;=IFERROR(N(INDEX(Übersicht!$M$15:$M$22,MATCH($B1943,Übersicht!$A$15:$A$22,0))),0)),1,0),1))</f>
        <v/>
      </c>
    </row>
    <row r="1944">
      <c r="A1944" s="92" t="n"/>
      <c r="B1944" s="55" t="n"/>
      <c r="C1944" s="55" t="n"/>
      <c r="D1944" s="55" t="n"/>
      <c r="E1944" s="93" t="n"/>
      <c r="F1944" s="94" t="n"/>
      <c r="G1944" s="94" t="n"/>
      <c r="H1944" s="94" t="n"/>
      <c r="I1944" s="94" t="n"/>
      <c r="J1944" s="55" t="n"/>
      <c r="K1944" s="95" t="n"/>
      <c r="L1944" s="116">
        <f>IF($A1944="","",DATE(YEAR($A1944),MONTH($A1944)+IF(AND(IFERROR(N(INDEX(Übersicht!$M$15:$M$22,MATCH($B1944,Übersicht!$A$15:$A$22,0))),0)&gt;1,DAY($A1944)&gt;=IFERROR(N(INDEX(Übersicht!$M$15:$M$22,MATCH($B1944,Übersicht!$A$15:$A$22,0))),0)),1,0),1))</f>
        <v/>
      </c>
    </row>
    <row r="1945">
      <c r="A1945" s="92" t="n"/>
      <c r="B1945" s="55" t="n"/>
      <c r="C1945" s="55" t="n"/>
      <c r="D1945" s="55" t="n"/>
      <c r="E1945" s="93" t="n"/>
      <c r="F1945" s="94" t="n"/>
      <c r="G1945" s="94" t="n"/>
      <c r="H1945" s="94" t="n"/>
      <c r="I1945" s="94" t="n"/>
      <c r="J1945" s="55" t="n"/>
      <c r="K1945" s="95" t="n"/>
      <c r="L1945" s="116">
        <f>IF($A1945="","",DATE(YEAR($A1945),MONTH($A1945)+IF(AND(IFERROR(N(INDEX(Übersicht!$M$15:$M$22,MATCH($B1945,Übersicht!$A$15:$A$22,0))),0)&gt;1,DAY($A1945)&gt;=IFERROR(N(INDEX(Übersicht!$M$15:$M$22,MATCH($B1945,Übersicht!$A$15:$A$22,0))),0)),1,0),1))</f>
        <v/>
      </c>
    </row>
    <row r="1946">
      <c r="A1946" s="92" t="n"/>
      <c r="B1946" s="55" t="n"/>
      <c r="C1946" s="55" t="n"/>
      <c r="D1946" s="55" t="n"/>
      <c r="E1946" s="93" t="n"/>
      <c r="F1946" s="94" t="n"/>
      <c r="G1946" s="94" t="n"/>
      <c r="H1946" s="94" t="n"/>
      <c r="I1946" s="94" t="n"/>
      <c r="J1946" s="55" t="n"/>
      <c r="K1946" s="95" t="n"/>
      <c r="L1946" s="116">
        <f>IF($A1946="","",DATE(YEAR($A1946),MONTH($A1946)+IF(AND(IFERROR(N(INDEX(Übersicht!$M$15:$M$22,MATCH($B1946,Übersicht!$A$15:$A$22,0))),0)&gt;1,DAY($A1946)&gt;=IFERROR(N(INDEX(Übersicht!$M$15:$M$22,MATCH($B1946,Übersicht!$A$15:$A$22,0))),0)),1,0),1))</f>
        <v/>
      </c>
    </row>
    <row r="1947">
      <c r="A1947" s="92" t="n"/>
      <c r="B1947" s="55" t="n"/>
      <c r="C1947" s="55" t="n"/>
      <c r="D1947" s="55" t="n"/>
      <c r="E1947" s="93" t="n"/>
      <c r="F1947" s="94" t="n"/>
      <c r="G1947" s="94" t="n"/>
      <c r="H1947" s="94" t="n"/>
      <c r="I1947" s="94" t="n"/>
      <c r="J1947" s="55" t="n"/>
      <c r="K1947" s="95" t="n"/>
      <c r="L1947" s="116">
        <f>IF($A1947="","",DATE(YEAR($A1947),MONTH($A1947)+IF(AND(IFERROR(N(INDEX(Übersicht!$M$15:$M$22,MATCH($B1947,Übersicht!$A$15:$A$22,0))),0)&gt;1,DAY($A1947)&gt;=IFERROR(N(INDEX(Übersicht!$M$15:$M$22,MATCH($B1947,Übersicht!$A$15:$A$22,0))),0)),1,0),1))</f>
        <v/>
      </c>
    </row>
    <row r="1948">
      <c r="A1948" s="92" t="n"/>
      <c r="B1948" s="55" t="n"/>
      <c r="C1948" s="55" t="n"/>
      <c r="D1948" s="55" t="n"/>
      <c r="E1948" s="93" t="n"/>
      <c r="F1948" s="94" t="n"/>
      <c r="G1948" s="94" t="n"/>
      <c r="H1948" s="94" t="n"/>
      <c r="I1948" s="94" t="n"/>
      <c r="J1948" s="55" t="n"/>
      <c r="K1948" s="95" t="n"/>
      <c r="L1948" s="116">
        <f>IF($A1948="","",DATE(YEAR($A1948),MONTH($A1948)+IF(AND(IFERROR(N(INDEX(Übersicht!$M$15:$M$22,MATCH($B1948,Übersicht!$A$15:$A$22,0))),0)&gt;1,DAY($A1948)&gt;=IFERROR(N(INDEX(Übersicht!$M$15:$M$22,MATCH($B1948,Übersicht!$A$15:$A$22,0))),0)),1,0),1))</f>
        <v/>
      </c>
    </row>
    <row r="1949">
      <c r="A1949" s="92" t="n"/>
      <c r="B1949" s="55" t="n"/>
      <c r="C1949" s="55" t="n"/>
      <c r="D1949" s="55" t="n"/>
      <c r="E1949" s="93" t="n"/>
      <c r="F1949" s="94" t="n"/>
      <c r="G1949" s="94" t="n"/>
      <c r="H1949" s="94" t="n"/>
      <c r="I1949" s="94" t="n"/>
      <c r="J1949" s="55" t="n"/>
      <c r="K1949" s="95" t="n"/>
      <c r="L1949" s="116">
        <f>IF($A1949="","",DATE(YEAR($A1949),MONTH($A1949)+IF(AND(IFERROR(N(INDEX(Übersicht!$M$15:$M$22,MATCH($B1949,Übersicht!$A$15:$A$22,0))),0)&gt;1,DAY($A1949)&gt;=IFERROR(N(INDEX(Übersicht!$M$15:$M$22,MATCH($B1949,Übersicht!$A$15:$A$22,0))),0)),1,0),1))</f>
        <v/>
      </c>
    </row>
    <row r="1950">
      <c r="A1950" s="92" t="n"/>
      <c r="B1950" s="55" t="n"/>
      <c r="C1950" s="55" t="n"/>
      <c r="D1950" s="55" t="n"/>
      <c r="E1950" s="93" t="n"/>
      <c r="F1950" s="94" t="n"/>
      <c r="G1950" s="94" t="n"/>
      <c r="H1950" s="94" t="n"/>
      <c r="I1950" s="94" t="n"/>
      <c r="J1950" s="55" t="n"/>
      <c r="K1950" s="95" t="n"/>
      <c r="L1950" s="116">
        <f>IF($A1950="","",DATE(YEAR($A1950),MONTH($A1950)+IF(AND(IFERROR(N(INDEX(Übersicht!$M$15:$M$22,MATCH($B1950,Übersicht!$A$15:$A$22,0))),0)&gt;1,DAY($A1950)&gt;=IFERROR(N(INDEX(Übersicht!$M$15:$M$22,MATCH($B1950,Übersicht!$A$15:$A$22,0))),0)),1,0),1))</f>
        <v/>
      </c>
    </row>
    <row r="1951">
      <c r="A1951" s="92" t="n"/>
      <c r="B1951" s="55" t="n"/>
      <c r="C1951" s="55" t="n"/>
      <c r="D1951" s="55" t="n"/>
      <c r="E1951" s="93" t="n"/>
      <c r="F1951" s="94" t="n"/>
      <c r="G1951" s="94" t="n"/>
      <c r="H1951" s="94" t="n"/>
      <c r="I1951" s="94" t="n"/>
      <c r="J1951" s="55" t="n"/>
      <c r="K1951" s="95" t="n"/>
      <c r="L1951" s="116">
        <f>IF($A1951="","",DATE(YEAR($A1951),MONTH($A1951)+IF(AND(IFERROR(N(INDEX(Übersicht!$M$15:$M$22,MATCH($B1951,Übersicht!$A$15:$A$22,0))),0)&gt;1,DAY($A1951)&gt;=IFERROR(N(INDEX(Übersicht!$M$15:$M$22,MATCH($B1951,Übersicht!$A$15:$A$22,0))),0)),1,0),1))</f>
        <v/>
      </c>
    </row>
    <row r="1952">
      <c r="A1952" s="92" t="n"/>
      <c r="B1952" s="55" t="n"/>
      <c r="C1952" s="55" t="n"/>
      <c r="D1952" s="55" t="n"/>
      <c r="E1952" s="93" t="n"/>
      <c r="F1952" s="94" t="n"/>
      <c r="G1952" s="94" t="n"/>
      <c r="H1952" s="94" t="n"/>
      <c r="I1952" s="94" t="n"/>
      <c r="J1952" s="55" t="n"/>
      <c r="K1952" s="95" t="n"/>
      <c r="L1952" s="116">
        <f>IF($A1952="","",DATE(YEAR($A1952),MONTH($A1952)+IF(AND(IFERROR(N(INDEX(Übersicht!$M$15:$M$22,MATCH($B1952,Übersicht!$A$15:$A$22,0))),0)&gt;1,DAY($A1952)&gt;=IFERROR(N(INDEX(Übersicht!$M$15:$M$22,MATCH($B1952,Übersicht!$A$15:$A$22,0))),0)),1,0),1))</f>
        <v/>
      </c>
    </row>
    <row r="1953">
      <c r="A1953" s="92" t="n"/>
      <c r="B1953" s="55" t="n"/>
      <c r="C1953" s="55" t="n"/>
      <c r="D1953" s="55" t="n"/>
      <c r="E1953" s="93" t="n"/>
      <c r="F1953" s="94" t="n"/>
      <c r="G1953" s="94" t="n"/>
      <c r="H1953" s="94" t="n"/>
      <c r="I1953" s="94" t="n"/>
      <c r="J1953" s="55" t="n"/>
      <c r="K1953" s="95" t="n"/>
      <c r="L1953" s="116">
        <f>IF($A1953="","",DATE(YEAR($A1953),MONTH($A1953)+IF(AND(IFERROR(N(INDEX(Übersicht!$M$15:$M$22,MATCH($B1953,Übersicht!$A$15:$A$22,0))),0)&gt;1,DAY($A1953)&gt;=IFERROR(N(INDEX(Übersicht!$M$15:$M$22,MATCH($B1953,Übersicht!$A$15:$A$22,0))),0)),1,0),1))</f>
        <v/>
      </c>
    </row>
    <row r="1954">
      <c r="A1954" s="92" t="n"/>
      <c r="B1954" s="55" t="n"/>
      <c r="C1954" s="55" t="n"/>
      <c r="D1954" s="55" t="n"/>
      <c r="E1954" s="93" t="n"/>
      <c r="F1954" s="94" t="n"/>
      <c r="G1954" s="94" t="n"/>
      <c r="H1954" s="94" t="n"/>
      <c r="I1954" s="94" t="n"/>
      <c r="J1954" s="55" t="n"/>
      <c r="K1954" s="95" t="n"/>
      <c r="L1954" s="116">
        <f>IF($A1954="","",DATE(YEAR($A1954),MONTH($A1954)+IF(AND(IFERROR(N(INDEX(Übersicht!$M$15:$M$22,MATCH($B1954,Übersicht!$A$15:$A$22,0))),0)&gt;1,DAY($A1954)&gt;=IFERROR(N(INDEX(Übersicht!$M$15:$M$22,MATCH($B1954,Übersicht!$A$15:$A$22,0))),0)),1,0),1))</f>
        <v/>
      </c>
    </row>
    <row r="1955">
      <c r="A1955" s="92" t="n"/>
      <c r="B1955" s="55" t="n"/>
      <c r="C1955" s="55" t="n"/>
      <c r="D1955" s="55" t="n"/>
      <c r="E1955" s="93" t="n"/>
      <c r="F1955" s="94" t="n"/>
      <c r="G1955" s="94" t="n"/>
      <c r="H1955" s="94" t="n"/>
      <c r="I1955" s="94" t="n"/>
      <c r="J1955" s="55" t="n"/>
      <c r="K1955" s="95" t="n"/>
      <c r="L1955" s="116">
        <f>IF($A1955="","",DATE(YEAR($A1955),MONTH($A1955)+IF(AND(IFERROR(N(INDEX(Übersicht!$M$15:$M$22,MATCH($B1955,Übersicht!$A$15:$A$22,0))),0)&gt;1,DAY($A1955)&gt;=IFERROR(N(INDEX(Übersicht!$M$15:$M$22,MATCH($B1955,Übersicht!$A$15:$A$22,0))),0)),1,0),1))</f>
        <v/>
      </c>
    </row>
    <row r="1956">
      <c r="A1956" s="92" t="n"/>
      <c r="B1956" s="55" t="n"/>
      <c r="C1956" s="55" t="n"/>
      <c r="D1956" s="55" t="n"/>
      <c r="E1956" s="93" t="n"/>
      <c r="F1956" s="94" t="n"/>
      <c r="G1956" s="94" t="n"/>
      <c r="H1956" s="94" t="n"/>
      <c r="I1956" s="94" t="n"/>
      <c r="J1956" s="55" t="n"/>
      <c r="K1956" s="95" t="n"/>
      <c r="L1956" s="116">
        <f>IF($A1956="","",DATE(YEAR($A1956),MONTH($A1956)+IF(AND(IFERROR(N(INDEX(Übersicht!$M$15:$M$22,MATCH($B1956,Übersicht!$A$15:$A$22,0))),0)&gt;1,DAY($A1956)&gt;=IFERROR(N(INDEX(Übersicht!$M$15:$M$22,MATCH($B1956,Übersicht!$A$15:$A$22,0))),0)),1,0),1))</f>
        <v/>
      </c>
    </row>
    <row r="1957">
      <c r="A1957" s="92" t="n"/>
      <c r="B1957" s="55" t="n"/>
      <c r="C1957" s="55" t="n"/>
      <c r="D1957" s="55" t="n"/>
      <c r="E1957" s="93" t="n"/>
      <c r="F1957" s="94" t="n"/>
      <c r="G1957" s="94" t="n"/>
      <c r="H1957" s="94" t="n"/>
      <c r="I1957" s="94" t="n"/>
      <c r="J1957" s="55" t="n"/>
      <c r="K1957" s="95" t="n"/>
      <c r="L1957" s="116">
        <f>IF($A1957="","",DATE(YEAR($A1957),MONTH($A1957)+IF(AND(IFERROR(N(INDEX(Übersicht!$M$15:$M$22,MATCH($B1957,Übersicht!$A$15:$A$22,0))),0)&gt;1,DAY($A1957)&gt;=IFERROR(N(INDEX(Übersicht!$M$15:$M$22,MATCH($B1957,Übersicht!$A$15:$A$22,0))),0)),1,0),1))</f>
        <v/>
      </c>
    </row>
    <row r="1958">
      <c r="A1958" s="92" t="n"/>
      <c r="B1958" s="55" t="n"/>
      <c r="C1958" s="55" t="n"/>
      <c r="D1958" s="55" t="n"/>
      <c r="E1958" s="93" t="n"/>
      <c r="F1958" s="94" t="n"/>
      <c r="G1958" s="94" t="n"/>
      <c r="H1958" s="94" t="n"/>
      <c r="I1958" s="94" t="n"/>
      <c r="J1958" s="55" t="n"/>
      <c r="K1958" s="95" t="n"/>
      <c r="L1958" s="116">
        <f>IF($A1958="","",DATE(YEAR($A1958),MONTH($A1958)+IF(AND(IFERROR(N(INDEX(Übersicht!$M$15:$M$22,MATCH($B1958,Übersicht!$A$15:$A$22,0))),0)&gt;1,DAY($A1958)&gt;=IFERROR(N(INDEX(Übersicht!$M$15:$M$22,MATCH($B1958,Übersicht!$A$15:$A$22,0))),0)),1,0),1))</f>
        <v/>
      </c>
    </row>
    <row r="1959">
      <c r="A1959" s="92" t="n"/>
      <c r="B1959" s="55" t="n"/>
      <c r="C1959" s="55" t="n"/>
      <c r="D1959" s="55" t="n"/>
      <c r="E1959" s="93" t="n"/>
      <c r="F1959" s="94" t="n"/>
      <c r="G1959" s="94" t="n"/>
      <c r="H1959" s="94" t="n"/>
      <c r="I1959" s="94" t="n"/>
      <c r="J1959" s="55" t="n"/>
      <c r="K1959" s="95" t="n"/>
      <c r="L1959" s="116">
        <f>IF($A1959="","",DATE(YEAR($A1959),MONTH($A1959)+IF(AND(IFERROR(N(INDEX(Übersicht!$M$15:$M$22,MATCH($B1959,Übersicht!$A$15:$A$22,0))),0)&gt;1,DAY($A1959)&gt;=IFERROR(N(INDEX(Übersicht!$M$15:$M$22,MATCH($B1959,Übersicht!$A$15:$A$22,0))),0)),1,0),1))</f>
        <v/>
      </c>
    </row>
    <row r="1960">
      <c r="A1960" s="92" t="n"/>
      <c r="B1960" s="55" t="n"/>
      <c r="C1960" s="55" t="n"/>
      <c r="D1960" s="55" t="n"/>
      <c r="E1960" s="93" t="n"/>
      <c r="F1960" s="94" t="n"/>
      <c r="G1960" s="94" t="n"/>
      <c r="H1960" s="94" t="n"/>
      <c r="I1960" s="94" t="n"/>
      <c r="J1960" s="55" t="n"/>
      <c r="K1960" s="95" t="n"/>
      <c r="L1960" s="116">
        <f>IF($A1960="","",DATE(YEAR($A1960),MONTH($A1960)+IF(AND(IFERROR(N(INDEX(Übersicht!$M$15:$M$22,MATCH($B1960,Übersicht!$A$15:$A$22,0))),0)&gt;1,DAY($A1960)&gt;=IFERROR(N(INDEX(Übersicht!$M$15:$M$22,MATCH($B1960,Übersicht!$A$15:$A$22,0))),0)),1,0),1))</f>
        <v/>
      </c>
    </row>
    <row r="1961">
      <c r="A1961" s="92" t="n"/>
      <c r="B1961" s="55" t="n"/>
      <c r="C1961" s="55" t="n"/>
      <c r="D1961" s="55" t="n"/>
      <c r="E1961" s="93" t="n"/>
      <c r="F1961" s="94" t="n"/>
      <c r="G1961" s="94" t="n"/>
      <c r="H1961" s="94" t="n"/>
      <c r="I1961" s="94" t="n"/>
      <c r="J1961" s="55" t="n"/>
      <c r="K1961" s="95" t="n"/>
      <c r="L1961" s="116">
        <f>IF($A1961="","",DATE(YEAR($A1961),MONTH($A1961)+IF(AND(IFERROR(N(INDEX(Übersicht!$M$15:$M$22,MATCH($B1961,Übersicht!$A$15:$A$22,0))),0)&gt;1,DAY($A1961)&gt;=IFERROR(N(INDEX(Übersicht!$M$15:$M$22,MATCH($B1961,Übersicht!$A$15:$A$22,0))),0)),1,0),1))</f>
        <v/>
      </c>
    </row>
    <row r="1962">
      <c r="A1962" s="92" t="n"/>
      <c r="B1962" s="55" t="n"/>
      <c r="C1962" s="55" t="n"/>
      <c r="D1962" s="55" t="n"/>
      <c r="E1962" s="93" t="n"/>
      <c r="F1962" s="94" t="n"/>
      <c r="G1962" s="94" t="n"/>
      <c r="H1962" s="94" t="n"/>
      <c r="I1962" s="94" t="n"/>
      <c r="J1962" s="55" t="n"/>
      <c r="K1962" s="95" t="n"/>
      <c r="L1962" s="116">
        <f>IF($A1962="","",DATE(YEAR($A1962),MONTH($A1962)+IF(AND(IFERROR(N(INDEX(Übersicht!$M$15:$M$22,MATCH($B1962,Übersicht!$A$15:$A$22,0))),0)&gt;1,DAY($A1962)&gt;=IFERROR(N(INDEX(Übersicht!$M$15:$M$22,MATCH($B1962,Übersicht!$A$15:$A$22,0))),0)),1,0),1))</f>
        <v/>
      </c>
    </row>
    <row r="1963">
      <c r="A1963" s="92" t="n"/>
      <c r="B1963" s="55" t="n"/>
      <c r="C1963" s="55" t="n"/>
      <c r="D1963" s="55" t="n"/>
      <c r="E1963" s="93" t="n"/>
      <c r="F1963" s="94" t="n"/>
      <c r="G1963" s="94" t="n"/>
      <c r="H1963" s="94" t="n"/>
      <c r="I1963" s="94" t="n"/>
      <c r="J1963" s="55" t="n"/>
      <c r="K1963" s="95" t="n"/>
      <c r="L1963" s="116">
        <f>IF($A1963="","",DATE(YEAR($A1963),MONTH($A1963)+IF(AND(IFERROR(N(INDEX(Übersicht!$M$15:$M$22,MATCH($B1963,Übersicht!$A$15:$A$22,0))),0)&gt;1,DAY($A1963)&gt;=IFERROR(N(INDEX(Übersicht!$M$15:$M$22,MATCH($B1963,Übersicht!$A$15:$A$22,0))),0)),1,0),1))</f>
        <v/>
      </c>
    </row>
    <row r="1964">
      <c r="A1964" s="92" t="n"/>
      <c r="B1964" s="55" t="n"/>
      <c r="C1964" s="55" t="n"/>
      <c r="D1964" s="55" t="n"/>
      <c r="E1964" s="93" t="n"/>
      <c r="F1964" s="94" t="n"/>
      <c r="G1964" s="94" t="n"/>
      <c r="H1964" s="94" t="n"/>
      <c r="I1964" s="94" t="n"/>
      <c r="J1964" s="55" t="n"/>
      <c r="K1964" s="95" t="n"/>
      <c r="L1964" s="116">
        <f>IF($A1964="","",DATE(YEAR($A1964),MONTH($A1964)+IF(AND(IFERROR(N(INDEX(Übersicht!$M$15:$M$22,MATCH($B1964,Übersicht!$A$15:$A$22,0))),0)&gt;1,DAY($A1964)&gt;=IFERROR(N(INDEX(Übersicht!$M$15:$M$22,MATCH($B1964,Übersicht!$A$15:$A$22,0))),0)),1,0),1))</f>
        <v/>
      </c>
    </row>
    <row r="1965">
      <c r="A1965" s="92" t="n"/>
      <c r="B1965" s="55" t="n"/>
      <c r="C1965" s="55" t="n"/>
      <c r="D1965" s="55" t="n"/>
      <c r="E1965" s="93" t="n"/>
      <c r="F1965" s="94" t="n"/>
      <c r="G1965" s="94" t="n"/>
      <c r="H1965" s="94" t="n"/>
      <c r="I1965" s="94" t="n"/>
      <c r="J1965" s="55" t="n"/>
      <c r="K1965" s="95" t="n"/>
      <c r="L1965" s="116">
        <f>IF($A1965="","",DATE(YEAR($A1965),MONTH($A1965)+IF(AND(IFERROR(N(INDEX(Übersicht!$M$15:$M$22,MATCH($B1965,Übersicht!$A$15:$A$22,0))),0)&gt;1,DAY($A1965)&gt;=IFERROR(N(INDEX(Übersicht!$M$15:$M$22,MATCH($B1965,Übersicht!$A$15:$A$22,0))),0)),1,0),1))</f>
        <v/>
      </c>
    </row>
    <row r="1966">
      <c r="A1966" s="92" t="n"/>
      <c r="B1966" s="55" t="n"/>
      <c r="C1966" s="55" t="n"/>
      <c r="D1966" s="55" t="n"/>
      <c r="E1966" s="93" t="n"/>
      <c r="F1966" s="94" t="n"/>
      <c r="G1966" s="94" t="n"/>
      <c r="H1966" s="94" t="n"/>
      <c r="I1966" s="94" t="n"/>
      <c r="J1966" s="55" t="n"/>
      <c r="K1966" s="95" t="n"/>
      <c r="L1966" s="116">
        <f>IF($A1966="","",DATE(YEAR($A1966),MONTH($A1966)+IF(AND(IFERROR(N(INDEX(Übersicht!$M$15:$M$22,MATCH($B1966,Übersicht!$A$15:$A$22,0))),0)&gt;1,DAY($A1966)&gt;=IFERROR(N(INDEX(Übersicht!$M$15:$M$22,MATCH($B1966,Übersicht!$A$15:$A$22,0))),0)),1,0),1))</f>
        <v/>
      </c>
    </row>
    <row r="1967">
      <c r="A1967" s="92" t="n"/>
      <c r="B1967" s="55" t="n"/>
      <c r="C1967" s="55" t="n"/>
      <c r="D1967" s="55" t="n"/>
      <c r="E1967" s="93" t="n"/>
      <c r="F1967" s="94" t="n"/>
      <c r="G1967" s="94" t="n"/>
      <c r="H1967" s="94" t="n"/>
      <c r="I1967" s="94" t="n"/>
      <c r="J1967" s="55" t="n"/>
      <c r="K1967" s="95" t="n"/>
      <c r="L1967" s="116">
        <f>IF($A1967="","",DATE(YEAR($A1967),MONTH($A1967)+IF(AND(IFERROR(N(INDEX(Übersicht!$M$15:$M$22,MATCH($B1967,Übersicht!$A$15:$A$22,0))),0)&gt;1,DAY($A1967)&gt;=IFERROR(N(INDEX(Übersicht!$M$15:$M$22,MATCH($B1967,Übersicht!$A$15:$A$22,0))),0)),1,0),1))</f>
        <v/>
      </c>
    </row>
    <row r="1968">
      <c r="A1968" s="92" t="n"/>
      <c r="B1968" s="55" t="n"/>
      <c r="C1968" s="55" t="n"/>
      <c r="D1968" s="55" t="n"/>
      <c r="E1968" s="93" t="n"/>
      <c r="F1968" s="94" t="n"/>
      <c r="G1968" s="94" t="n"/>
      <c r="H1968" s="94" t="n"/>
      <c r="I1968" s="94" t="n"/>
      <c r="J1968" s="55" t="n"/>
      <c r="K1968" s="95" t="n"/>
      <c r="L1968" s="116">
        <f>IF($A1968="","",DATE(YEAR($A1968),MONTH($A1968)+IF(AND(IFERROR(N(INDEX(Übersicht!$M$15:$M$22,MATCH($B1968,Übersicht!$A$15:$A$22,0))),0)&gt;1,DAY($A1968)&gt;=IFERROR(N(INDEX(Übersicht!$M$15:$M$22,MATCH($B1968,Übersicht!$A$15:$A$22,0))),0)),1,0),1))</f>
        <v/>
      </c>
    </row>
    <row r="1969">
      <c r="A1969" s="92" t="n"/>
      <c r="B1969" s="55" t="n"/>
      <c r="C1969" s="55" t="n"/>
      <c r="D1969" s="55" t="n"/>
      <c r="E1969" s="93" t="n"/>
      <c r="F1969" s="94" t="n"/>
      <c r="G1969" s="94" t="n"/>
      <c r="H1969" s="94" t="n"/>
      <c r="I1969" s="94" t="n"/>
      <c r="J1969" s="55" t="n"/>
      <c r="K1969" s="95" t="n"/>
      <c r="L1969" s="116">
        <f>IF($A1969="","",DATE(YEAR($A1969),MONTH($A1969)+IF(AND(IFERROR(N(INDEX(Übersicht!$M$15:$M$22,MATCH($B1969,Übersicht!$A$15:$A$22,0))),0)&gt;1,DAY($A1969)&gt;=IFERROR(N(INDEX(Übersicht!$M$15:$M$22,MATCH($B1969,Übersicht!$A$15:$A$22,0))),0)),1,0),1))</f>
        <v/>
      </c>
    </row>
    <row r="1970">
      <c r="A1970" s="92" t="n"/>
      <c r="B1970" s="55" t="n"/>
      <c r="C1970" s="55" t="n"/>
      <c r="D1970" s="55" t="n"/>
      <c r="E1970" s="93" t="n"/>
      <c r="F1970" s="94" t="n"/>
      <c r="G1970" s="94" t="n"/>
      <c r="H1970" s="94" t="n"/>
      <c r="I1970" s="94" t="n"/>
      <c r="J1970" s="55" t="n"/>
      <c r="K1970" s="95" t="n"/>
      <c r="L1970" s="116">
        <f>IF($A1970="","",DATE(YEAR($A1970),MONTH($A1970)+IF(AND(IFERROR(N(INDEX(Übersicht!$M$15:$M$22,MATCH($B1970,Übersicht!$A$15:$A$22,0))),0)&gt;1,DAY($A1970)&gt;=IFERROR(N(INDEX(Übersicht!$M$15:$M$22,MATCH($B1970,Übersicht!$A$15:$A$22,0))),0)),1,0),1))</f>
        <v/>
      </c>
    </row>
    <row r="1971">
      <c r="A1971" s="92" t="n"/>
      <c r="B1971" s="55" t="n"/>
      <c r="C1971" s="55" t="n"/>
      <c r="D1971" s="55" t="n"/>
      <c r="E1971" s="93" t="n"/>
      <c r="F1971" s="94" t="n"/>
      <c r="G1971" s="94" t="n"/>
      <c r="H1971" s="94" t="n"/>
      <c r="I1971" s="94" t="n"/>
      <c r="J1971" s="55" t="n"/>
      <c r="K1971" s="95" t="n"/>
      <c r="L1971" s="116">
        <f>IF($A1971="","",DATE(YEAR($A1971),MONTH($A1971)+IF(AND(IFERROR(N(INDEX(Übersicht!$M$15:$M$22,MATCH($B1971,Übersicht!$A$15:$A$22,0))),0)&gt;1,DAY($A1971)&gt;=IFERROR(N(INDEX(Übersicht!$M$15:$M$22,MATCH($B1971,Übersicht!$A$15:$A$22,0))),0)),1,0),1))</f>
        <v/>
      </c>
    </row>
    <row r="1972">
      <c r="A1972" s="92" t="n"/>
      <c r="B1972" s="55" t="n"/>
      <c r="C1972" s="55" t="n"/>
      <c r="D1972" s="55" t="n"/>
      <c r="E1972" s="93" t="n"/>
      <c r="F1972" s="94" t="n"/>
      <c r="G1972" s="94" t="n"/>
      <c r="H1972" s="94" t="n"/>
      <c r="I1972" s="94" t="n"/>
      <c r="J1972" s="55" t="n"/>
      <c r="K1972" s="95" t="n"/>
      <c r="L1972" s="116">
        <f>IF($A1972="","",DATE(YEAR($A1972),MONTH($A1972)+IF(AND(IFERROR(N(INDEX(Übersicht!$M$15:$M$22,MATCH($B1972,Übersicht!$A$15:$A$22,0))),0)&gt;1,DAY($A1972)&gt;=IFERROR(N(INDEX(Übersicht!$M$15:$M$22,MATCH($B1972,Übersicht!$A$15:$A$22,0))),0)),1,0),1))</f>
        <v/>
      </c>
    </row>
    <row r="1973">
      <c r="A1973" s="92" t="n"/>
      <c r="B1973" s="55" t="n"/>
      <c r="C1973" s="55" t="n"/>
      <c r="D1973" s="55" t="n"/>
      <c r="E1973" s="93" t="n"/>
      <c r="F1973" s="94" t="n"/>
      <c r="G1973" s="94" t="n"/>
      <c r="H1973" s="94" t="n"/>
      <c r="I1973" s="94" t="n"/>
      <c r="J1973" s="55" t="n"/>
      <c r="K1973" s="95" t="n"/>
      <c r="L1973" s="116">
        <f>IF($A1973="","",DATE(YEAR($A1973),MONTH($A1973)+IF(AND(IFERROR(N(INDEX(Übersicht!$M$15:$M$22,MATCH($B1973,Übersicht!$A$15:$A$22,0))),0)&gt;1,DAY($A1973)&gt;=IFERROR(N(INDEX(Übersicht!$M$15:$M$22,MATCH($B1973,Übersicht!$A$15:$A$22,0))),0)),1,0),1))</f>
        <v/>
      </c>
    </row>
    <row r="1974">
      <c r="A1974" s="92" t="n"/>
      <c r="B1974" s="55" t="n"/>
      <c r="C1974" s="55" t="n"/>
      <c r="D1974" s="55" t="n"/>
      <c r="E1974" s="93" t="n"/>
      <c r="F1974" s="94" t="n"/>
      <c r="G1974" s="94" t="n"/>
      <c r="H1974" s="94" t="n"/>
      <c r="I1974" s="94" t="n"/>
      <c r="J1974" s="55" t="n"/>
      <c r="K1974" s="95" t="n"/>
      <c r="L1974" s="116">
        <f>IF($A1974="","",DATE(YEAR($A1974),MONTH($A1974)+IF(AND(IFERROR(N(INDEX(Übersicht!$M$15:$M$22,MATCH($B1974,Übersicht!$A$15:$A$22,0))),0)&gt;1,DAY($A1974)&gt;=IFERROR(N(INDEX(Übersicht!$M$15:$M$22,MATCH($B1974,Übersicht!$A$15:$A$22,0))),0)),1,0),1))</f>
        <v/>
      </c>
    </row>
    <row r="1975">
      <c r="A1975" s="92" t="n"/>
      <c r="B1975" s="55" t="n"/>
      <c r="C1975" s="55" t="n"/>
      <c r="D1975" s="55" t="n"/>
      <c r="E1975" s="93" t="n"/>
      <c r="F1975" s="94" t="n"/>
      <c r="G1975" s="94" t="n"/>
      <c r="H1975" s="94" t="n"/>
      <c r="I1975" s="94" t="n"/>
      <c r="J1975" s="55" t="n"/>
      <c r="K1975" s="95" t="n"/>
      <c r="L1975" s="116">
        <f>IF($A1975="","",DATE(YEAR($A1975),MONTH($A1975)+IF(AND(IFERROR(N(INDEX(Übersicht!$M$15:$M$22,MATCH($B1975,Übersicht!$A$15:$A$22,0))),0)&gt;1,DAY($A1975)&gt;=IFERROR(N(INDEX(Übersicht!$M$15:$M$22,MATCH($B1975,Übersicht!$A$15:$A$22,0))),0)),1,0),1))</f>
        <v/>
      </c>
    </row>
    <row r="1976">
      <c r="A1976" s="92" t="n"/>
      <c r="B1976" s="55" t="n"/>
      <c r="C1976" s="55" t="n"/>
      <c r="D1976" s="55" t="n"/>
      <c r="E1976" s="93" t="n"/>
      <c r="F1976" s="94" t="n"/>
      <c r="G1976" s="94" t="n"/>
      <c r="H1976" s="94" t="n"/>
      <c r="I1976" s="94" t="n"/>
      <c r="J1976" s="55" t="n"/>
      <c r="K1976" s="95" t="n"/>
      <c r="L1976" s="116">
        <f>IF($A1976="","",DATE(YEAR($A1976),MONTH($A1976)+IF(AND(IFERROR(N(INDEX(Übersicht!$M$15:$M$22,MATCH($B1976,Übersicht!$A$15:$A$22,0))),0)&gt;1,DAY($A1976)&gt;=IFERROR(N(INDEX(Übersicht!$M$15:$M$22,MATCH($B1976,Übersicht!$A$15:$A$22,0))),0)),1,0),1))</f>
        <v/>
      </c>
    </row>
    <row r="1977">
      <c r="A1977" s="92" t="n"/>
      <c r="B1977" s="55" t="n"/>
      <c r="C1977" s="55" t="n"/>
      <c r="D1977" s="55" t="n"/>
      <c r="E1977" s="93" t="n"/>
      <c r="F1977" s="94" t="n"/>
      <c r="G1977" s="94" t="n"/>
      <c r="H1977" s="94" t="n"/>
      <c r="I1977" s="94" t="n"/>
      <c r="J1977" s="55" t="n"/>
      <c r="K1977" s="95" t="n"/>
      <c r="L1977" s="116">
        <f>IF($A1977="","",DATE(YEAR($A1977),MONTH($A1977)+IF(AND(IFERROR(N(INDEX(Übersicht!$M$15:$M$22,MATCH($B1977,Übersicht!$A$15:$A$22,0))),0)&gt;1,DAY($A1977)&gt;=IFERROR(N(INDEX(Übersicht!$M$15:$M$22,MATCH($B1977,Übersicht!$A$15:$A$22,0))),0)),1,0),1))</f>
        <v/>
      </c>
    </row>
    <row r="1978">
      <c r="A1978" s="92" t="n"/>
      <c r="B1978" s="55" t="n"/>
      <c r="C1978" s="55" t="n"/>
      <c r="D1978" s="55" t="n"/>
      <c r="E1978" s="93" t="n"/>
      <c r="F1978" s="94" t="n"/>
      <c r="G1978" s="94" t="n"/>
      <c r="H1978" s="94" t="n"/>
      <c r="I1978" s="94" t="n"/>
      <c r="J1978" s="55" t="n"/>
      <c r="K1978" s="95" t="n"/>
      <c r="L1978" s="116">
        <f>IF($A1978="","",DATE(YEAR($A1978),MONTH($A1978)+IF(AND(IFERROR(N(INDEX(Übersicht!$M$15:$M$22,MATCH($B1978,Übersicht!$A$15:$A$22,0))),0)&gt;1,DAY($A1978)&gt;=IFERROR(N(INDEX(Übersicht!$M$15:$M$22,MATCH($B1978,Übersicht!$A$15:$A$22,0))),0)),1,0),1))</f>
        <v/>
      </c>
    </row>
    <row r="1979">
      <c r="A1979" s="92" t="n"/>
      <c r="B1979" s="55" t="n"/>
      <c r="C1979" s="55" t="n"/>
      <c r="D1979" s="55" t="n"/>
      <c r="E1979" s="93" t="n"/>
      <c r="F1979" s="94" t="n"/>
      <c r="G1979" s="94" t="n"/>
      <c r="H1979" s="94" t="n"/>
      <c r="I1979" s="94" t="n"/>
      <c r="J1979" s="55" t="n"/>
      <c r="K1979" s="95" t="n"/>
      <c r="L1979" s="116">
        <f>IF($A1979="","",DATE(YEAR($A1979),MONTH($A1979)+IF(AND(IFERROR(N(INDEX(Übersicht!$M$15:$M$22,MATCH($B1979,Übersicht!$A$15:$A$22,0))),0)&gt;1,DAY($A1979)&gt;=IFERROR(N(INDEX(Übersicht!$M$15:$M$22,MATCH($B1979,Übersicht!$A$15:$A$22,0))),0)),1,0),1))</f>
        <v/>
      </c>
    </row>
    <row r="1980">
      <c r="A1980" s="92" t="n"/>
      <c r="B1980" s="55" t="n"/>
      <c r="C1980" s="55" t="n"/>
      <c r="D1980" s="55" t="n"/>
      <c r="E1980" s="93" t="n"/>
      <c r="F1980" s="94" t="n"/>
      <c r="G1980" s="94" t="n"/>
      <c r="H1980" s="94" t="n"/>
      <c r="I1980" s="94" t="n"/>
      <c r="J1980" s="55" t="n"/>
      <c r="K1980" s="95" t="n"/>
      <c r="L1980" s="116">
        <f>IF($A1980="","",DATE(YEAR($A1980),MONTH($A1980)+IF(AND(IFERROR(N(INDEX(Übersicht!$M$15:$M$22,MATCH($B1980,Übersicht!$A$15:$A$22,0))),0)&gt;1,DAY($A1980)&gt;=IFERROR(N(INDEX(Übersicht!$M$15:$M$22,MATCH($B1980,Übersicht!$A$15:$A$22,0))),0)),1,0),1))</f>
        <v/>
      </c>
    </row>
    <row r="1981">
      <c r="A1981" s="92" t="n"/>
      <c r="B1981" s="55" t="n"/>
      <c r="C1981" s="55" t="n"/>
      <c r="D1981" s="55" t="n"/>
      <c r="E1981" s="93" t="n"/>
      <c r="F1981" s="94" t="n"/>
      <c r="G1981" s="94" t="n"/>
      <c r="H1981" s="94" t="n"/>
      <c r="I1981" s="94" t="n"/>
      <c r="J1981" s="55" t="n"/>
      <c r="K1981" s="95" t="n"/>
      <c r="L1981" s="116">
        <f>IF($A1981="","",DATE(YEAR($A1981),MONTH($A1981)+IF(AND(IFERROR(N(INDEX(Übersicht!$M$15:$M$22,MATCH($B1981,Übersicht!$A$15:$A$22,0))),0)&gt;1,DAY($A1981)&gt;=IFERROR(N(INDEX(Übersicht!$M$15:$M$22,MATCH($B1981,Übersicht!$A$15:$A$22,0))),0)),1,0),1))</f>
        <v/>
      </c>
    </row>
    <row r="1982">
      <c r="A1982" s="92" t="n"/>
      <c r="B1982" s="55" t="n"/>
      <c r="C1982" s="55" t="n"/>
      <c r="D1982" s="55" t="n"/>
      <c r="E1982" s="93" t="n"/>
      <c r="F1982" s="94" t="n"/>
      <c r="G1982" s="94" t="n"/>
      <c r="H1982" s="94" t="n"/>
      <c r="I1982" s="94" t="n"/>
      <c r="J1982" s="55" t="n"/>
      <c r="K1982" s="95" t="n"/>
      <c r="L1982" s="116">
        <f>IF($A1982="","",DATE(YEAR($A1982),MONTH($A1982)+IF(AND(IFERROR(N(INDEX(Übersicht!$M$15:$M$22,MATCH($B1982,Übersicht!$A$15:$A$22,0))),0)&gt;1,DAY($A1982)&gt;=IFERROR(N(INDEX(Übersicht!$M$15:$M$22,MATCH($B1982,Übersicht!$A$15:$A$22,0))),0)),1,0),1))</f>
        <v/>
      </c>
    </row>
    <row r="1983">
      <c r="A1983" s="92" t="n"/>
      <c r="B1983" s="55" t="n"/>
      <c r="C1983" s="55" t="n"/>
      <c r="D1983" s="55" t="n"/>
      <c r="E1983" s="93" t="n"/>
      <c r="F1983" s="94" t="n"/>
      <c r="G1983" s="94" t="n"/>
      <c r="H1983" s="94" t="n"/>
      <c r="I1983" s="94" t="n"/>
      <c r="J1983" s="55" t="n"/>
      <c r="K1983" s="95" t="n"/>
      <c r="L1983" s="116">
        <f>IF($A1983="","",DATE(YEAR($A1983),MONTH($A1983)+IF(AND(IFERROR(N(INDEX(Übersicht!$M$15:$M$22,MATCH($B1983,Übersicht!$A$15:$A$22,0))),0)&gt;1,DAY($A1983)&gt;=IFERROR(N(INDEX(Übersicht!$M$15:$M$22,MATCH($B1983,Übersicht!$A$15:$A$22,0))),0)),1,0),1))</f>
        <v/>
      </c>
    </row>
    <row r="1984">
      <c r="A1984" s="92" t="n"/>
      <c r="B1984" s="55" t="n"/>
      <c r="C1984" s="55" t="n"/>
      <c r="D1984" s="55" t="n"/>
      <c r="E1984" s="93" t="n"/>
      <c r="F1984" s="94" t="n"/>
      <c r="G1984" s="94" t="n"/>
      <c r="H1984" s="94" t="n"/>
      <c r="I1984" s="94" t="n"/>
      <c r="J1984" s="55" t="n"/>
      <c r="K1984" s="95" t="n"/>
      <c r="L1984" s="116">
        <f>IF($A1984="","",DATE(YEAR($A1984),MONTH($A1984)+IF(AND(IFERROR(N(INDEX(Übersicht!$M$15:$M$22,MATCH($B1984,Übersicht!$A$15:$A$22,0))),0)&gt;1,DAY($A1984)&gt;=IFERROR(N(INDEX(Übersicht!$M$15:$M$22,MATCH($B1984,Übersicht!$A$15:$A$22,0))),0)),1,0),1))</f>
        <v/>
      </c>
    </row>
    <row r="1985">
      <c r="A1985" s="92" t="n"/>
      <c r="B1985" s="55" t="n"/>
      <c r="C1985" s="55" t="n"/>
      <c r="D1985" s="55" t="n"/>
      <c r="E1985" s="93" t="n"/>
      <c r="F1985" s="94" t="n"/>
      <c r="G1985" s="94" t="n"/>
      <c r="H1985" s="94" t="n"/>
      <c r="I1985" s="94" t="n"/>
      <c r="J1985" s="55" t="n"/>
      <c r="K1985" s="95" t="n"/>
      <c r="L1985" s="116">
        <f>IF($A1985="","",DATE(YEAR($A1985),MONTH($A1985)+IF(AND(IFERROR(N(INDEX(Übersicht!$M$15:$M$22,MATCH($B1985,Übersicht!$A$15:$A$22,0))),0)&gt;1,DAY($A1985)&gt;=IFERROR(N(INDEX(Übersicht!$M$15:$M$22,MATCH($B1985,Übersicht!$A$15:$A$22,0))),0)),1,0),1))</f>
        <v/>
      </c>
    </row>
    <row r="1986">
      <c r="A1986" s="92" t="n"/>
      <c r="B1986" s="55" t="n"/>
      <c r="C1986" s="55" t="n"/>
      <c r="D1986" s="55" t="n"/>
      <c r="E1986" s="93" t="n"/>
      <c r="F1986" s="94" t="n"/>
      <c r="G1986" s="94" t="n"/>
      <c r="H1986" s="94" t="n"/>
      <c r="I1986" s="94" t="n"/>
      <c r="J1986" s="55" t="n"/>
      <c r="K1986" s="95" t="n"/>
      <c r="L1986" s="116">
        <f>IF($A1986="","",DATE(YEAR($A1986),MONTH($A1986)+IF(AND(IFERROR(N(INDEX(Übersicht!$M$15:$M$22,MATCH($B1986,Übersicht!$A$15:$A$22,0))),0)&gt;1,DAY($A1986)&gt;=IFERROR(N(INDEX(Übersicht!$M$15:$M$22,MATCH($B1986,Übersicht!$A$15:$A$22,0))),0)),1,0),1))</f>
        <v/>
      </c>
    </row>
    <row r="1987">
      <c r="A1987" s="92" t="n"/>
      <c r="B1987" s="55" t="n"/>
      <c r="C1987" s="55" t="n"/>
      <c r="D1987" s="55" t="n"/>
      <c r="E1987" s="93" t="n"/>
      <c r="F1987" s="94" t="n"/>
      <c r="G1987" s="94" t="n"/>
      <c r="H1987" s="94" t="n"/>
      <c r="I1987" s="94" t="n"/>
      <c r="J1987" s="55" t="n"/>
      <c r="K1987" s="95" t="n"/>
      <c r="L1987" s="116">
        <f>IF($A1987="","",DATE(YEAR($A1987),MONTH($A1987)+IF(AND(IFERROR(N(INDEX(Übersicht!$M$15:$M$22,MATCH($B1987,Übersicht!$A$15:$A$22,0))),0)&gt;1,DAY($A1987)&gt;=IFERROR(N(INDEX(Übersicht!$M$15:$M$22,MATCH($B1987,Übersicht!$A$15:$A$22,0))),0)),1,0),1))</f>
        <v/>
      </c>
    </row>
    <row r="1988">
      <c r="A1988" s="92" t="n"/>
      <c r="B1988" s="55" t="n"/>
      <c r="C1988" s="55" t="n"/>
      <c r="D1988" s="55" t="n"/>
      <c r="E1988" s="93" t="n"/>
      <c r="F1988" s="94" t="n"/>
      <c r="G1988" s="94" t="n"/>
      <c r="H1988" s="94" t="n"/>
      <c r="I1988" s="94" t="n"/>
      <c r="J1988" s="55" t="n"/>
      <c r="K1988" s="95" t="n"/>
      <c r="L1988" s="116">
        <f>IF($A1988="","",DATE(YEAR($A1988),MONTH($A1988)+IF(AND(IFERROR(N(INDEX(Übersicht!$M$15:$M$22,MATCH($B1988,Übersicht!$A$15:$A$22,0))),0)&gt;1,DAY($A1988)&gt;=IFERROR(N(INDEX(Übersicht!$M$15:$M$22,MATCH($B1988,Übersicht!$A$15:$A$22,0))),0)),1,0),1))</f>
        <v/>
      </c>
    </row>
    <row r="1989">
      <c r="A1989" s="92" t="n"/>
      <c r="B1989" s="55" t="n"/>
      <c r="C1989" s="55" t="n"/>
      <c r="D1989" s="55" t="n"/>
      <c r="E1989" s="93" t="n"/>
      <c r="F1989" s="94" t="n"/>
      <c r="G1989" s="94" t="n"/>
      <c r="H1989" s="94" t="n"/>
      <c r="I1989" s="94" t="n"/>
      <c r="J1989" s="55" t="n"/>
      <c r="K1989" s="95" t="n"/>
      <c r="L1989" s="116">
        <f>IF($A1989="","",DATE(YEAR($A1989),MONTH($A1989)+IF(AND(IFERROR(N(INDEX(Übersicht!$M$15:$M$22,MATCH($B1989,Übersicht!$A$15:$A$22,0))),0)&gt;1,DAY($A1989)&gt;=IFERROR(N(INDEX(Übersicht!$M$15:$M$22,MATCH($B1989,Übersicht!$A$15:$A$22,0))),0)),1,0),1))</f>
        <v/>
      </c>
    </row>
    <row r="1990">
      <c r="A1990" s="92" t="n"/>
      <c r="B1990" s="55" t="n"/>
      <c r="C1990" s="55" t="n"/>
      <c r="D1990" s="55" t="n"/>
      <c r="E1990" s="93" t="n"/>
      <c r="F1990" s="94" t="n"/>
      <c r="G1990" s="94" t="n"/>
      <c r="H1990" s="94" t="n"/>
      <c r="I1990" s="94" t="n"/>
      <c r="J1990" s="55" t="n"/>
      <c r="K1990" s="95" t="n"/>
      <c r="L1990" s="116">
        <f>IF($A1990="","",DATE(YEAR($A1990),MONTH($A1990)+IF(AND(IFERROR(N(INDEX(Übersicht!$M$15:$M$22,MATCH($B1990,Übersicht!$A$15:$A$22,0))),0)&gt;1,DAY($A1990)&gt;=IFERROR(N(INDEX(Übersicht!$M$15:$M$22,MATCH($B1990,Übersicht!$A$15:$A$22,0))),0)),1,0),1))</f>
        <v/>
      </c>
    </row>
    <row r="1991">
      <c r="A1991" s="92" t="n"/>
      <c r="B1991" s="55" t="n"/>
      <c r="C1991" s="55" t="n"/>
      <c r="D1991" s="55" t="n"/>
      <c r="E1991" s="93" t="n"/>
      <c r="F1991" s="94" t="n"/>
      <c r="G1991" s="94" t="n"/>
      <c r="H1991" s="94" t="n"/>
      <c r="I1991" s="94" t="n"/>
      <c r="J1991" s="55" t="n"/>
      <c r="K1991" s="95" t="n"/>
      <c r="L1991" s="116">
        <f>IF($A1991="","",DATE(YEAR($A1991),MONTH($A1991)+IF(AND(IFERROR(N(INDEX(Übersicht!$M$15:$M$22,MATCH($B1991,Übersicht!$A$15:$A$22,0))),0)&gt;1,DAY($A1991)&gt;=IFERROR(N(INDEX(Übersicht!$M$15:$M$22,MATCH($B1991,Übersicht!$A$15:$A$22,0))),0)),1,0),1))</f>
        <v/>
      </c>
    </row>
    <row r="1992">
      <c r="A1992" s="92" t="n"/>
      <c r="B1992" s="55" t="n"/>
      <c r="C1992" s="55" t="n"/>
      <c r="D1992" s="55" t="n"/>
      <c r="E1992" s="93" t="n"/>
      <c r="F1992" s="94" t="n"/>
      <c r="G1992" s="94" t="n"/>
      <c r="H1992" s="94" t="n"/>
      <c r="I1992" s="94" t="n"/>
      <c r="J1992" s="55" t="n"/>
      <c r="K1992" s="95" t="n"/>
      <c r="L1992" s="116">
        <f>IF($A1992="","",DATE(YEAR($A1992),MONTH($A1992)+IF(AND(IFERROR(N(INDEX(Übersicht!$M$15:$M$22,MATCH($B1992,Übersicht!$A$15:$A$22,0))),0)&gt;1,DAY($A1992)&gt;=IFERROR(N(INDEX(Übersicht!$M$15:$M$22,MATCH($B1992,Übersicht!$A$15:$A$22,0))),0)),1,0),1))</f>
        <v/>
      </c>
    </row>
    <row r="1993">
      <c r="A1993" s="92" t="n"/>
      <c r="B1993" s="55" t="n"/>
      <c r="C1993" s="55" t="n"/>
      <c r="D1993" s="55" t="n"/>
      <c r="E1993" s="93" t="n"/>
      <c r="F1993" s="94" t="n"/>
      <c r="G1993" s="94" t="n"/>
      <c r="H1993" s="94" t="n"/>
      <c r="I1993" s="94" t="n"/>
      <c r="J1993" s="55" t="n"/>
      <c r="K1993" s="95" t="n"/>
      <c r="L1993" s="116">
        <f>IF($A1993="","",DATE(YEAR($A1993),MONTH($A1993)+IF(AND(IFERROR(N(INDEX(Übersicht!$M$15:$M$22,MATCH($B1993,Übersicht!$A$15:$A$22,0))),0)&gt;1,DAY($A1993)&gt;=IFERROR(N(INDEX(Übersicht!$M$15:$M$22,MATCH($B1993,Übersicht!$A$15:$A$22,0))),0)),1,0),1))</f>
        <v/>
      </c>
    </row>
    <row r="1994">
      <c r="A1994" s="92" t="n"/>
      <c r="B1994" s="55" t="n"/>
      <c r="C1994" s="55" t="n"/>
      <c r="D1994" s="55" t="n"/>
      <c r="E1994" s="93" t="n"/>
      <c r="F1994" s="94" t="n"/>
      <c r="G1994" s="94" t="n"/>
      <c r="H1994" s="94" t="n"/>
      <c r="I1994" s="94" t="n"/>
      <c r="J1994" s="55" t="n"/>
      <c r="K1994" s="95" t="n"/>
      <c r="L1994" s="116">
        <f>IF($A1994="","",DATE(YEAR($A1994),MONTH($A1994)+IF(AND(IFERROR(N(INDEX(Übersicht!$M$15:$M$22,MATCH($B1994,Übersicht!$A$15:$A$22,0))),0)&gt;1,DAY($A1994)&gt;=IFERROR(N(INDEX(Übersicht!$M$15:$M$22,MATCH($B1994,Übersicht!$A$15:$A$22,0))),0)),1,0),1))</f>
        <v/>
      </c>
    </row>
    <row r="1995">
      <c r="A1995" s="92" t="n"/>
      <c r="B1995" s="55" t="n"/>
      <c r="C1995" s="55" t="n"/>
      <c r="D1995" s="55" t="n"/>
      <c r="E1995" s="93" t="n"/>
      <c r="F1995" s="94" t="n"/>
      <c r="G1995" s="94" t="n"/>
      <c r="H1995" s="94" t="n"/>
      <c r="I1995" s="94" t="n"/>
      <c r="J1995" s="55" t="n"/>
      <c r="K1995" s="95" t="n"/>
      <c r="L1995" s="116">
        <f>IF($A1995="","",DATE(YEAR($A1995),MONTH($A1995)+IF(AND(IFERROR(N(INDEX(Übersicht!$M$15:$M$22,MATCH($B1995,Übersicht!$A$15:$A$22,0))),0)&gt;1,DAY($A1995)&gt;=IFERROR(N(INDEX(Übersicht!$M$15:$M$22,MATCH($B1995,Übersicht!$A$15:$A$22,0))),0)),1,0),1))</f>
        <v/>
      </c>
    </row>
    <row r="1996">
      <c r="A1996" s="92" t="n"/>
      <c r="B1996" s="55" t="n"/>
      <c r="C1996" s="55" t="n"/>
      <c r="D1996" s="55" t="n"/>
      <c r="E1996" s="93" t="n"/>
      <c r="F1996" s="94" t="n"/>
      <c r="G1996" s="94" t="n"/>
      <c r="H1996" s="94" t="n"/>
      <c r="I1996" s="94" t="n"/>
      <c r="J1996" s="55" t="n"/>
      <c r="K1996" s="95" t="n"/>
      <c r="L1996" s="116">
        <f>IF($A1996="","",DATE(YEAR($A1996),MONTH($A1996)+IF(AND(IFERROR(N(INDEX(Übersicht!$M$15:$M$22,MATCH($B1996,Übersicht!$A$15:$A$22,0))),0)&gt;1,DAY($A1996)&gt;=IFERROR(N(INDEX(Übersicht!$M$15:$M$22,MATCH($B1996,Übersicht!$A$15:$A$22,0))),0)),1,0),1))</f>
        <v/>
      </c>
    </row>
    <row r="1997">
      <c r="A1997" s="92" t="n"/>
      <c r="B1997" s="55" t="n"/>
      <c r="C1997" s="55" t="n"/>
      <c r="D1997" s="55" t="n"/>
      <c r="E1997" s="93" t="n"/>
      <c r="F1997" s="94" t="n"/>
      <c r="G1997" s="94" t="n"/>
      <c r="H1997" s="94" t="n"/>
      <c r="I1997" s="94" t="n"/>
      <c r="J1997" s="55" t="n"/>
      <c r="K1997" s="95" t="n"/>
      <c r="L1997" s="116">
        <f>IF($A1997="","",DATE(YEAR($A1997),MONTH($A1997)+IF(AND(IFERROR(N(INDEX(Übersicht!$M$15:$M$22,MATCH($B1997,Übersicht!$A$15:$A$22,0))),0)&gt;1,DAY($A1997)&gt;=IFERROR(N(INDEX(Übersicht!$M$15:$M$22,MATCH($B1997,Übersicht!$A$15:$A$22,0))),0)),1,0),1))</f>
        <v/>
      </c>
    </row>
    <row r="1998">
      <c r="A1998" s="92" t="n"/>
      <c r="B1998" s="55" t="n"/>
      <c r="C1998" s="55" t="n"/>
      <c r="D1998" s="55" t="n"/>
      <c r="E1998" s="93" t="n"/>
      <c r="F1998" s="94" t="n"/>
      <c r="G1998" s="94" t="n"/>
      <c r="H1998" s="94" t="n"/>
      <c r="I1998" s="94" t="n"/>
      <c r="J1998" s="55" t="n"/>
      <c r="K1998" s="95" t="n"/>
      <c r="L1998" s="116">
        <f>IF($A1998="","",DATE(YEAR($A1998),MONTH($A1998)+IF(AND(IFERROR(N(INDEX(Übersicht!$M$15:$M$22,MATCH($B1998,Übersicht!$A$15:$A$22,0))),0)&gt;1,DAY($A1998)&gt;=IFERROR(N(INDEX(Übersicht!$M$15:$M$22,MATCH($B1998,Übersicht!$A$15:$A$22,0))),0)),1,0),1))</f>
        <v/>
      </c>
    </row>
    <row r="1999">
      <c r="A1999" s="92" t="n"/>
      <c r="B1999" s="55" t="n"/>
      <c r="C1999" s="55" t="n"/>
      <c r="D1999" s="55" t="n"/>
      <c r="E1999" s="93" t="n"/>
      <c r="F1999" s="94" t="n"/>
      <c r="G1999" s="94" t="n"/>
      <c r="H1999" s="94" t="n"/>
      <c r="I1999" s="94" t="n"/>
      <c r="J1999" s="55" t="n"/>
      <c r="K1999" s="95" t="n"/>
      <c r="L1999" s="116">
        <f>IF($A1999="","",DATE(YEAR($A1999),MONTH($A1999)+IF(AND(IFERROR(N(INDEX(Übersicht!$M$15:$M$22,MATCH($B1999,Übersicht!$A$15:$A$22,0))),0)&gt;1,DAY($A1999)&gt;=IFERROR(N(INDEX(Übersicht!$M$15:$M$22,MATCH($B1999,Übersicht!$A$15:$A$22,0))),0)),1,0),1))</f>
        <v/>
      </c>
    </row>
    <row r="2000">
      <c r="A2000" s="92" t="n"/>
      <c r="B2000" s="55" t="n"/>
      <c r="C2000" s="55" t="n"/>
      <c r="D2000" s="55" t="n"/>
      <c r="E2000" s="93" t="n"/>
      <c r="F2000" s="94" t="n"/>
      <c r="G2000" s="94" t="n"/>
      <c r="H2000" s="94" t="n"/>
      <c r="I2000" s="94" t="n"/>
      <c r="J2000" s="55" t="n"/>
      <c r="K2000" s="95" t="n"/>
      <c r="L2000" s="116">
        <f>IF($A2000="","",DATE(YEAR($A2000),MONTH($A2000)+IF(AND(IFERROR(N(INDEX(Übersicht!$M$15:$M$22,MATCH($B2000,Übersicht!$A$15:$A$22,0))),0)&gt;1,DAY($A2000)&gt;=IFERROR(N(INDEX(Übersicht!$M$15:$M$22,MATCH($B2000,Übersicht!$A$15:$A$22,0))),0)),1,0),1))</f>
        <v/>
      </c>
    </row>
    <row r="2001">
      <c r="A2001" s="92" t="n"/>
      <c r="B2001" s="55" t="n"/>
      <c r="C2001" s="55" t="n"/>
      <c r="D2001" s="55" t="n"/>
      <c r="E2001" s="93" t="n"/>
      <c r="F2001" s="94" t="n"/>
      <c r="G2001" s="94" t="n"/>
      <c r="H2001" s="94" t="n"/>
      <c r="I2001" s="94" t="n"/>
      <c r="J2001" s="55" t="n"/>
      <c r="K2001" s="95" t="n"/>
      <c r="L2001" s="116">
        <f>IF($A2001="","",DATE(YEAR($A2001),MONTH($A2001)+IF(AND(IFERROR(N(INDEX(Übersicht!$M$15:$M$22,MATCH($B2001,Übersicht!$A$15:$A$22,0))),0)&gt;1,DAY($A2001)&gt;=IFERROR(N(INDEX(Übersicht!$M$15:$M$22,MATCH($B2001,Übersicht!$A$15:$A$22,0))),0)),1,0),1))</f>
        <v/>
      </c>
    </row>
    <row r="2002">
      <c r="A2002" s="92" t="n"/>
      <c r="B2002" s="55" t="n"/>
      <c r="C2002" s="55" t="n"/>
      <c r="D2002" s="55" t="n"/>
      <c r="E2002" s="93" t="n"/>
      <c r="F2002" s="94" t="n"/>
      <c r="G2002" s="94" t="n"/>
      <c r="H2002" s="94" t="n"/>
      <c r="I2002" s="94" t="n"/>
      <c r="J2002" s="55" t="n"/>
      <c r="K2002" s="95" t="n"/>
      <c r="L2002" s="116">
        <f>IF($A2002="","",DATE(YEAR($A2002),MONTH($A2002)+IF(AND(IFERROR(N(INDEX(Übersicht!$M$15:$M$22,MATCH($B2002,Übersicht!$A$15:$A$22,0))),0)&gt;1,DAY($A2002)&gt;=IFERROR(N(INDEX(Übersicht!$M$15:$M$22,MATCH($B2002,Übersicht!$A$15:$A$22,0))),0)),1,0),1))</f>
        <v/>
      </c>
    </row>
    <row r="2003">
      <c r="A2003" s="92" t="n"/>
      <c r="B2003" s="55" t="n"/>
      <c r="C2003" s="55" t="n"/>
      <c r="D2003" s="55" t="n"/>
      <c r="E2003" s="93" t="n"/>
      <c r="F2003" s="94" t="n"/>
      <c r="G2003" s="94" t="n"/>
      <c r="H2003" s="94" t="n"/>
      <c r="I2003" s="94" t="n"/>
      <c r="J2003" s="55" t="n"/>
      <c r="K2003" s="95" t="n"/>
      <c r="L2003" s="116">
        <f>IF($A2003="","",DATE(YEAR($A2003),MONTH($A2003)+IF(AND(IFERROR(N(INDEX(Übersicht!$M$15:$M$22,MATCH($B2003,Übersicht!$A$15:$A$22,0))),0)&gt;1,DAY($A2003)&gt;=IFERROR(N(INDEX(Übersicht!$M$15:$M$22,MATCH($B2003,Übersicht!$A$15:$A$22,0))),0)),1,0),1))</f>
        <v/>
      </c>
    </row>
    <row r="2004">
      <c r="A2004" s="92" t="n"/>
      <c r="B2004" s="55" t="n"/>
      <c r="C2004" s="55" t="n"/>
      <c r="D2004" s="55" t="n"/>
      <c r="E2004" s="93" t="n"/>
      <c r="F2004" s="94" t="n"/>
      <c r="G2004" s="94" t="n"/>
      <c r="H2004" s="94" t="n"/>
      <c r="I2004" s="94" t="n"/>
      <c r="J2004" s="55" t="n"/>
      <c r="K2004" s="95" t="n"/>
      <c r="L2004" s="116">
        <f>IF($A2004="","",DATE(YEAR($A2004),MONTH($A2004)+IF(AND(IFERROR(N(INDEX(Übersicht!$M$15:$M$22,MATCH($B2004,Übersicht!$A$15:$A$22,0))),0)&gt;1,DAY($A2004)&gt;=IFERROR(N(INDEX(Übersicht!$M$15:$M$22,MATCH($B2004,Übersicht!$A$15:$A$22,0))),0)),1,0),1))</f>
        <v/>
      </c>
    </row>
    <row r="2005">
      <c r="A2005" s="92" t="n"/>
      <c r="B2005" s="55" t="n"/>
      <c r="C2005" s="55" t="n"/>
      <c r="D2005" s="55" t="n"/>
      <c r="E2005" s="93" t="n"/>
      <c r="F2005" s="94" t="n"/>
      <c r="G2005" s="94" t="n"/>
      <c r="H2005" s="94" t="n"/>
      <c r="I2005" s="94" t="n"/>
      <c r="J2005" s="55" t="n"/>
      <c r="K2005" s="95" t="n"/>
      <c r="L2005" s="116">
        <f>IF($A2005="","",DATE(YEAR($A2005),MONTH($A2005)+IF(AND(IFERROR(N(INDEX(Übersicht!$M$15:$M$22,MATCH($B2005,Übersicht!$A$15:$A$22,0))),0)&gt;1,DAY($A2005)&gt;=IFERROR(N(INDEX(Übersicht!$M$15:$M$22,MATCH($B2005,Übersicht!$A$15:$A$22,0))),0)),1,0),1))</f>
        <v/>
      </c>
    </row>
    <row r="2006">
      <c r="A2006" s="92" t="n"/>
      <c r="B2006" s="55" t="n"/>
      <c r="C2006" s="55" t="n"/>
      <c r="D2006" s="55" t="n"/>
      <c r="E2006" s="93" t="n"/>
      <c r="F2006" s="94" t="n"/>
      <c r="G2006" s="94" t="n"/>
      <c r="H2006" s="94" t="n"/>
      <c r="I2006" s="94" t="n"/>
      <c r="J2006" s="55" t="n"/>
      <c r="K2006" s="95" t="n"/>
      <c r="L2006" s="116">
        <f>IF($A2006="","",DATE(YEAR($A2006),MONTH($A2006)+IF(AND(IFERROR(N(INDEX(Übersicht!$M$15:$M$22,MATCH($B2006,Übersicht!$A$15:$A$22,0))),0)&gt;1,DAY($A2006)&gt;=IFERROR(N(INDEX(Übersicht!$M$15:$M$22,MATCH($B2006,Übersicht!$A$15:$A$22,0))),0)),1,0),1))</f>
        <v/>
      </c>
    </row>
    <row r="2007">
      <c r="A2007" s="92" t="n"/>
      <c r="B2007" s="55" t="n"/>
      <c r="C2007" s="55" t="n"/>
      <c r="D2007" s="55" t="n"/>
      <c r="E2007" s="93" t="n"/>
      <c r="F2007" s="94" t="n"/>
      <c r="G2007" s="94" t="n"/>
      <c r="H2007" s="94" t="n"/>
      <c r="I2007" s="94" t="n"/>
      <c r="J2007" s="55" t="n"/>
      <c r="K2007" s="95" t="n"/>
      <c r="L2007" s="116">
        <f>IF($A2007="","",DATE(YEAR($A2007),MONTH($A2007)+IF(AND(IFERROR(N(INDEX(Übersicht!$M$15:$M$22,MATCH($B2007,Übersicht!$A$15:$A$22,0))),0)&gt;1,DAY($A2007)&gt;=IFERROR(N(INDEX(Übersicht!$M$15:$M$22,MATCH($B2007,Übersicht!$A$15:$A$22,0))),0)),1,0),1))</f>
        <v/>
      </c>
    </row>
    <row r="2008">
      <c r="A2008" s="92" t="n"/>
      <c r="B2008" s="55" t="n"/>
      <c r="C2008" s="55" t="n"/>
      <c r="D2008" s="55" t="n"/>
      <c r="E2008" s="93" t="n"/>
      <c r="F2008" s="94" t="n"/>
      <c r="G2008" s="94" t="n"/>
      <c r="H2008" s="94" t="n"/>
      <c r="I2008" s="94" t="n"/>
      <c r="J2008" s="55" t="n"/>
      <c r="K2008" s="95" t="n"/>
      <c r="L2008" s="116">
        <f>IF($A2008="","",DATE(YEAR($A2008),MONTH($A2008)+IF(AND(IFERROR(N(INDEX(Übersicht!$M$15:$M$22,MATCH($B2008,Übersicht!$A$15:$A$22,0))),0)&gt;1,DAY($A2008)&gt;=IFERROR(N(INDEX(Übersicht!$M$15:$M$22,MATCH($B2008,Übersicht!$A$15:$A$22,0))),0)),1,0),1))</f>
        <v/>
      </c>
    </row>
    <row r="2009">
      <c r="A2009" s="92" t="n"/>
      <c r="B2009" s="55" t="n"/>
      <c r="C2009" s="55" t="n"/>
      <c r="D2009" s="55" t="n"/>
      <c r="E2009" s="93" t="n"/>
      <c r="F2009" s="94" t="n"/>
      <c r="G2009" s="94" t="n"/>
      <c r="H2009" s="94" t="n"/>
      <c r="I2009" s="94" t="n"/>
      <c r="J2009" s="55" t="n"/>
      <c r="K2009" s="95" t="n"/>
      <c r="L2009" s="116">
        <f>IF($A2009="","",DATE(YEAR($A2009),MONTH($A2009)+IF(AND(IFERROR(N(INDEX(Übersicht!$M$15:$M$22,MATCH($B2009,Übersicht!$A$15:$A$22,0))),0)&gt;1,DAY($A2009)&gt;=IFERROR(N(INDEX(Übersicht!$M$15:$M$22,MATCH($B2009,Übersicht!$A$15:$A$22,0))),0)),1,0),1))</f>
        <v/>
      </c>
    </row>
    <row r="2010">
      <c r="A2010" s="92" t="n"/>
      <c r="B2010" s="55" t="n"/>
      <c r="C2010" s="55" t="n"/>
      <c r="D2010" s="55" t="n"/>
      <c r="E2010" s="93" t="n"/>
      <c r="F2010" s="94" t="n"/>
      <c r="G2010" s="94" t="n"/>
      <c r="H2010" s="94" t="n"/>
      <c r="I2010" s="94" t="n"/>
      <c r="J2010" s="55" t="n"/>
      <c r="K2010" s="95" t="n"/>
      <c r="L2010" s="116">
        <f>IF($A2010="","",DATE(YEAR($A2010),MONTH($A2010)+IF(AND(IFERROR(N(INDEX(Übersicht!$M$15:$M$22,MATCH($B2010,Übersicht!$A$15:$A$22,0))),0)&gt;1,DAY($A2010)&gt;=IFERROR(N(INDEX(Übersicht!$M$15:$M$22,MATCH($B2010,Übersicht!$A$15:$A$22,0))),0)),1,0),1))</f>
        <v/>
      </c>
    </row>
    <row r="2011">
      <c r="A2011" s="92" t="n"/>
      <c r="B2011" s="55" t="n"/>
      <c r="C2011" s="55" t="n"/>
      <c r="D2011" s="55" t="n"/>
      <c r="E2011" s="93" t="n"/>
      <c r="F2011" s="94" t="n"/>
      <c r="G2011" s="94" t="n"/>
      <c r="H2011" s="94" t="n"/>
      <c r="I2011" s="94" t="n"/>
      <c r="J2011" s="55" t="n"/>
      <c r="K2011" s="95" t="n"/>
      <c r="L2011" s="116">
        <f>IF($A2011="","",DATE(YEAR($A2011),MONTH($A2011)+IF(AND(IFERROR(N(INDEX(Übersicht!$M$15:$M$22,MATCH($B2011,Übersicht!$A$15:$A$22,0))),0)&gt;1,DAY($A2011)&gt;=IFERROR(N(INDEX(Übersicht!$M$15:$M$22,MATCH($B2011,Übersicht!$A$15:$A$22,0))),0)),1,0),1))</f>
        <v/>
      </c>
    </row>
    <row r="2012">
      <c r="A2012" s="92" t="n"/>
      <c r="B2012" s="55" t="n"/>
      <c r="C2012" s="55" t="n"/>
      <c r="D2012" s="55" t="n"/>
      <c r="E2012" s="93" t="n"/>
      <c r="F2012" s="94" t="n"/>
      <c r="G2012" s="94" t="n"/>
      <c r="H2012" s="94" t="n"/>
      <c r="I2012" s="94" t="n"/>
      <c r="J2012" s="55" t="n"/>
      <c r="K2012" s="95" t="n"/>
      <c r="L2012" s="116">
        <f>IF($A2012="","",DATE(YEAR($A2012),MONTH($A2012)+IF(AND(IFERROR(N(INDEX(Übersicht!$M$15:$M$22,MATCH($B2012,Übersicht!$A$15:$A$22,0))),0)&gt;1,DAY($A2012)&gt;=IFERROR(N(INDEX(Übersicht!$M$15:$M$22,MATCH($B2012,Übersicht!$A$15:$A$22,0))),0)),1,0),1))</f>
        <v/>
      </c>
    </row>
    <row r="2013">
      <c r="A2013" s="92" t="n"/>
      <c r="B2013" s="55" t="n"/>
      <c r="C2013" s="55" t="n"/>
      <c r="D2013" s="55" t="n"/>
      <c r="E2013" s="93" t="n"/>
      <c r="F2013" s="94" t="n"/>
      <c r="G2013" s="94" t="n"/>
      <c r="H2013" s="94" t="n"/>
      <c r="I2013" s="94" t="n"/>
      <c r="J2013" s="55" t="n"/>
      <c r="K2013" s="95" t="n"/>
      <c r="L2013" s="116">
        <f>IF($A2013="","",DATE(YEAR($A2013),MONTH($A2013)+IF(AND(IFERROR(N(INDEX(Übersicht!$M$15:$M$22,MATCH($B2013,Übersicht!$A$15:$A$22,0))),0)&gt;1,DAY($A2013)&gt;=IFERROR(N(INDEX(Übersicht!$M$15:$M$22,MATCH($B2013,Übersicht!$A$15:$A$22,0))),0)),1,0),1))</f>
        <v/>
      </c>
    </row>
    <row r="2014">
      <c r="A2014" s="92" t="n"/>
      <c r="B2014" s="55" t="n"/>
      <c r="C2014" s="55" t="n"/>
      <c r="D2014" s="55" t="n"/>
      <c r="E2014" s="93" t="n"/>
      <c r="F2014" s="94" t="n"/>
      <c r="G2014" s="94" t="n"/>
      <c r="H2014" s="94" t="n"/>
      <c r="I2014" s="94" t="n"/>
      <c r="J2014" s="55" t="n"/>
      <c r="K2014" s="95" t="n"/>
      <c r="L2014" s="116">
        <f>IF($A2014="","",DATE(YEAR($A2014),MONTH($A2014)+IF(AND(IFERROR(N(INDEX(Übersicht!$M$15:$M$22,MATCH($B2014,Übersicht!$A$15:$A$22,0))),0)&gt;1,DAY($A2014)&gt;=IFERROR(N(INDEX(Übersicht!$M$15:$M$22,MATCH($B2014,Übersicht!$A$15:$A$22,0))),0)),1,0),1))</f>
        <v/>
      </c>
    </row>
    <row r="2015">
      <c r="A2015" s="92" t="n"/>
      <c r="B2015" s="55" t="n"/>
      <c r="C2015" s="55" t="n"/>
      <c r="D2015" s="55" t="n"/>
      <c r="E2015" s="93" t="n"/>
      <c r="F2015" s="94" t="n"/>
      <c r="G2015" s="94" t="n"/>
      <c r="H2015" s="94" t="n"/>
      <c r="I2015" s="94" t="n"/>
      <c r="J2015" s="55" t="n"/>
      <c r="K2015" s="95" t="n"/>
      <c r="L2015" s="116">
        <f>IF($A2015="","",DATE(YEAR($A2015),MONTH($A2015)+IF(AND(IFERROR(N(INDEX(Übersicht!$M$15:$M$22,MATCH($B2015,Übersicht!$A$15:$A$22,0))),0)&gt;1,DAY($A2015)&gt;=IFERROR(N(INDEX(Übersicht!$M$15:$M$22,MATCH($B2015,Übersicht!$A$15:$A$22,0))),0)),1,0),1))</f>
        <v/>
      </c>
    </row>
    <row r="2016">
      <c r="A2016" s="92" t="n"/>
      <c r="B2016" s="55" t="n"/>
      <c r="C2016" s="55" t="n"/>
      <c r="D2016" s="55" t="n"/>
      <c r="E2016" s="93" t="n"/>
      <c r="F2016" s="94" t="n"/>
      <c r="G2016" s="94" t="n"/>
      <c r="H2016" s="94" t="n"/>
      <c r="I2016" s="94" t="n"/>
      <c r="J2016" s="55" t="n"/>
      <c r="K2016" s="95" t="n"/>
      <c r="L2016" s="116">
        <f>IF($A2016="","",DATE(YEAR($A2016),MONTH($A2016)+IF(AND(IFERROR(N(INDEX(Übersicht!$M$15:$M$22,MATCH($B2016,Übersicht!$A$15:$A$22,0))),0)&gt;1,DAY($A2016)&gt;=IFERROR(N(INDEX(Übersicht!$M$15:$M$22,MATCH($B2016,Übersicht!$A$15:$A$22,0))),0)),1,0),1))</f>
        <v/>
      </c>
    </row>
    <row r="2017">
      <c r="A2017" s="92" t="n"/>
      <c r="B2017" s="55" t="n"/>
      <c r="C2017" s="55" t="n"/>
      <c r="D2017" s="55" t="n"/>
      <c r="E2017" s="93" t="n"/>
      <c r="F2017" s="94" t="n"/>
      <c r="G2017" s="94" t="n"/>
      <c r="H2017" s="94" t="n"/>
      <c r="I2017" s="94" t="n"/>
      <c r="J2017" s="55" t="n"/>
      <c r="K2017" s="95" t="n"/>
      <c r="L2017" s="116">
        <f>IF($A2017="","",DATE(YEAR($A2017),MONTH($A2017)+IF(AND(IFERROR(N(INDEX(Übersicht!$M$15:$M$22,MATCH($B2017,Übersicht!$A$15:$A$22,0))),0)&gt;1,DAY($A2017)&gt;=IFERROR(N(INDEX(Übersicht!$M$15:$M$22,MATCH($B2017,Übersicht!$A$15:$A$22,0))),0)),1,0),1))</f>
        <v/>
      </c>
    </row>
    <row r="2018">
      <c r="A2018" s="92" t="n"/>
      <c r="B2018" s="55" t="n"/>
      <c r="C2018" s="55" t="n"/>
      <c r="D2018" s="55" t="n"/>
      <c r="E2018" s="93" t="n"/>
      <c r="F2018" s="94" t="n"/>
      <c r="G2018" s="94" t="n"/>
      <c r="H2018" s="94" t="n"/>
      <c r="I2018" s="94" t="n"/>
      <c r="J2018" s="55" t="n"/>
      <c r="K2018" s="95" t="n"/>
      <c r="L2018" s="116">
        <f>IF($A2018="","",DATE(YEAR($A2018),MONTH($A2018)+IF(AND(IFERROR(N(INDEX(Übersicht!$M$15:$M$22,MATCH($B2018,Übersicht!$A$15:$A$22,0))),0)&gt;1,DAY($A2018)&gt;=IFERROR(N(INDEX(Übersicht!$M$15:$M$22,MATCH($B2018,Übersicht!$A$15:$A$22,0))),0)),1,0),1))</f>
        <v/>
      </c>
    </row>
    <row r="2019">
      <c r="A2019" s="92" t="n"/>
      <c r="B2019" s="55" t="n"/>
      <c r="C2019" s="55" t="n"/>
      <c r="D2019" s="55" t="n"/>
      <c r="E2019" s="93" t="n"/>
      <c r="F2019" s="94" t="n"/>
      <c r="G2019" s="94" t="n"/>
      <c r="H2019" s="94" t="n"/>
      <c r="I2019" s="94" t="n"/>
      <c r="J2019" s="55" t="n"/>
      <c r="K2019" s="95" t="n"/>
      <c r="L2019" s="116">
        <f>IF($A2019="","",DATE(YEAR($A2019),MONTH($A2019)+IF(AND(IFERROR(N(INDEX(Übersicht!$M$15:$M$22,MATCH($B2019,Übersicht!$A$15:$A$22,0))),0)&gt;1,DAY($A2019)&gt;=IFERROR(N(INDEX(Übersicht!$M$15:$M$22,MATCH($B2019,Übersicht!$A$15:$A$22,0))),0)),1,0),1))</f>
        <v/>
      </c>
    </row>
    <row r="2020">
      <c r="A2020" s="92" t="n"/>
      <c r="B2020" s="55" t="n"/>
      <c r="C2020" s="55" t="n"/>
      <c r="D2020" s="55" t="n"/>
      <c r="E2020" s="93" t="n"/>
      <c r="F2020" s="94" t="n"/>
      <c r="G2020" s="94" t="n"/>
      <c r="H2020" s="94" t="n"/>
      <c r="I2020" s="94" t="n"/>
      <c r="J2020" s="55" t="n"/>
      <c r="K2020" s="95" t="n"/>
      <c r="L2020" s="116">
        <f>IF($A2020="","",DATE(YEAR($A2020),MONTH($A2020)+IF(AND(IFERROR(N(INDEX(Übersicht!$M$15:$M$22,MATCH($B2020,Übersicht!$A$15:$A$22,0))),0)&gt;1,DAY($A2020)&gt;=IFERROR(N(INDEX(Übersicht!$M$15:$M$22,MATCH($B2020,Übersicht!$A$15:$A$22,0))),0)),1,0),1))</f>
        <v/>
      </c>
    </row>
    <row r="2021">
      <c r="A2021" s="92" t="n"/>
      <c r="B2021" s="55" t="n"/>
      <c r="C2021" s="55" t="n"/>
      <c r="D2021" s="55" t="n"/>
      <c r="E2021" s="93" t="n"/>
      <c r="F2021" s="94" t="n"/>
      <c r="G2021" s="94" t="n"/>
      <c r="H2021" s="94" t="n"/>
      <c r="I2021" s="94" t="n"/>
      <c r="J2021" s="55" t="n"/>
      <c r="K2021" s="95" t="n"/>
      <c r="L2021" s="116">
        <f>IF($A2021="","",DATE(YEAR($A2021),MONTH($A2021)+IF(AND(IFERROR(N(INDEX(Übersicht!$M$15:$M$22,MATCH($B2021,Übersicht!$A$15:$A$22,0))),0)&gt;1,DAY($A2021)&gt;=IFERROR(N(INDEX(Übersicht!$M$15:$M$22,MATCH($B2021,Übersicht!$A$15:$A$22,0))),0)),1,0),1))</f>
        <v/>
      </c>
    </row>
    <row r="2022">
      <c r="A2022" s="92" t="n"/>
      <c r="B2022" s="55" t="n"/>
      <c r="C2022" s="55" t="n"/>
      <c r="D2022" s="55" t="n"/>
      <c r="E2022" s="93" t="n"/>
      <c r="F2022" s="94" t="n"/>
      <c r="G2022" s="94" t="n"/>
      <c r="H2022" s="94" t="n"/>
      <c r="I2022" s="94" t="n"/>
      <c r="J2022" s="55" t="n"/>
      <c r="K2022" s="95" t="n"/>
      <c r="L2022" s="116">
        <f>IF($A2022="","",DATE(YEAR($A2022),MONTH($A2022)+IF(AND(IFERROR(N(INDEX(Übersicht!$M$15:$M$22,MATCH($B2022,Übersicht!$A$15:$A$22,0))),0)&gt;1,DAY($A2022)&gt;=IFERROR(N(INDEX(Übersicht!$M$15:$M$22,MATCH($B2022,Übersicht!$A$15:$A$22,0))),0)),1,0),1))</f>
        <v/>
      </c>
    </row>
    <row r="2023">
      <c r="A2023" s="92" t="n"/>
      <c r="B2023" s="55" t="n"/>
      <c r="C2023" s="55" t="n"/>
      <c r="D2023" s="55" t="n"/>
      <c r="E2023" s="93" t="n"/>
      <c r="F2023" s="94" t="n"/>
      <c r="G2023" s="94" t="n"/>
      <c r="H2023" s="94" t="n"/>
      <c r="I2023" s="94" t="n"/>
      <c r="J2023" s="55" t="n"/>
      <c r="K2023" s="95" t="n"/>
      <c r="L2023" s="116">
        <f>IF($A2023="","",DATE(YEAR($A2023),MONTH($A2023)+IF(AND(IFERROR(N(INDEX(Übersicht!$M$15:$M$22,MATCH($B2023,Übersicht!$A$15:$A$22,0))),0)&gt;1,DAY($A2023)&gt;=IFERROR(N(INDEX(Übersicht!$M$15:$M$22,MATCH($B2023,Übersicht!$A$15:$A$22,0))),0)),1,0),1))</f>
        <v/>
      </c>
    </row>
    <row r="2024">
      <c r="A2024" s="92" t="n"/>
      <c r="B2024" s="55" t="n"/>
      <c r="C2024" s="55" t="n"/>
      <c r="D2024" s="55" t="n"/>
      <c r="E2024" s="93" t="n"/>
      <c r="F2024" s="94" t="n"/>
      <c r="G2024" s="94" t="n"/>
      <c r="H2024" s="94" t="n"/>
      <c r="I2024" s="94" t="n"/>
      <c r="J2024" s="55" t="n"/>
      <c r="K2024" s="95" t="n"/>
      <c r="L2024" s="116">
        <f>IF($A2024="","",DATE(YEAR($A2024),MONTH($A2024)+IF(AND(IFERROR(N(INDEX(Übersicht!$M$15:$M$22,MATCH($B2024,Übersicht!$A$15:$A$22,0))),0)&gt;1,DAY($A2024)&gt;=IFERROR(N(INDEX(Übersicht!$M$15:$M$22,MATCH($B2024,Übersicht!$A$15:$A$22,0))),0)),1,0),1))</f>
        <v/>
      </c>
    </row>
    <row r="2025">
      <c r="A2025" s="92" t="n"/>
      <c r="B2025" s="55" t="n"/>
      <c r="C2025" s="55" t="n"/>
      <c r="D2025" s="55" t="n"/>
      <c r="E2025" s="93" t="n"/>
      <c r="F2025" s="94" t="n"/>
      <c r="G2025" s="94" t="n"/>
      <c r="H2025" s="94" t="n"/>
      <c r="I2025" s="94" t="n"/>
      <c r="J2025" s="55" t="n"/>
      <c r="K2025" s="95" t="n"/>
      <c r="L2025" s="116">
        <f>IF($A2025="","",DATE(YEAR($A2025),MONTH($A2025)+IF(AND(IFERROR(N(INDEX(Übersicht!$M$15:$M$22,MATCH($B2025,Übersicht!$A$15:$A$22,0))),0)&gt;1,DAY($A2025)&gt;=IFERROR(N(INDEX(Übersicht!$M$15:$M$22,MATCH($B2025,Übersicht!$A$15:$A$22,0))),0)),1,0),1))</f>
        <v/>
      </c>
    </row>
    <row r="2026">
      <c r="A2026" s="92" t="n"/>
      <c r="B2026" s="55" t="n"/>
      <c r="C2026" s="55" t="n"/>
      <c r="D2026" s="55" t="n"/>
      <c r="E2026" s="93" t="n"/>
      <c r="F2026" s="94" t="n"/>
      <c r="G2026" s="94" t="n"/>
      <c r="H2026" s="94" t="n"/>
      <c r="I2026" s="94" t="n"/>
      <c r="J2026" s="55" t="n"/>
      <c r="K2026" s="95" t="n"/>
      <c r="L2026" s="116">
        <f>IF($A2026="","",DATE(YEAR($A2026),MONTH($A2026)+IF(AND(IFERROR(N(INDEX(Übersicht!$M$15:$M$22,MATCH($B2026,Übersicht!$A$15:$A$22,0))),0)&gt;1,DAY($A2026)&gt;=IFERROR(N(INDEX(Übersicht!$M$15:$M$22,MATCH($B2026,Übersicht!$A$15:$A$22,0))),0)),1,0),1))</f>
        <v/>
      </c>
    </row>
    <row r="2027">
      <c r="A2027" s="92" t="n"/>
      <c r="B2027" s="55" t="n"/>
      <c r="C2027" s="55" t="n"/>
      <c r="D2027" s="55" t="n"/>
      <c r="E2027" s="93" t="n"/>
      <c r="F2027" s="94" t="n"/>
      <c r="G2027" s="94" t="n"/>
      <c r="H2027" s="94" t="n"/>
      <c r="I2027" s="94" t="n"/>
      <c r="J2027" s="55" t="n"/>
      <c r="K2027" s="95" t="n"/>
      <c r="L2027" s="116">
        <f>IF($A2027="","",DATE(YEAR($A2027),MONTH($A2027)+IF(AND(IFERROR(N(INDEX(Übersicht!$M$15:$M$22,MATCH($B2027,Übersicht!$A$15:$A$22,0))),0)&gt;1,DAY($A2027)&gt;=IFERROR(N(INDEX(Übersicht!$M$15:$M$22,MATCH($B2027,Übersicht!$A$15:$A$22,0))),0)),1,0),1))</f>
        <v/>
      </c>
    </row>
    <row r="2028">
      <c r="A2028" s="92" t="n"/>
      <c r="B2028" s="55" t="n"/>
      <c r="C2028" s="55" t="n"/>
      <c r="D2028" s="55" t="n"/>
      <c r="E2028" s="93" t="n"/>
      <c r="F2028" s="94" t="n"/>
      <c r="G2028" s="94" t="n"/>
      <c r="H2028" s="94" t="n"/>
      <c r="I2028" s="94" t="n"/>
      <c r="J2028" s="55" t="n"/>
      <c r="K2028" s="95" t="n"/>
      <c r="L2028" s="116">
        <f>IF($A2028="","",DATE(YEAR($A2028),MONTH($A2028)+IF(AND(IFERROR(N(INDEX(Übersicht!$M$15:$M$22,MATCH($B2028,Übersicht!$A$15:$A$22,0))),0)&gt;1,DAY($A2028)&gt;=IFERROR(N(INDEX(Übersicht!$M$15:$M$22,MATCH($B2028,Übersicht!$A$15:$A$22,0))),0)),1,0),1))</f>
        <v/>
      </c>
    </row>
    <row r="2029">
      <c r="A2029" s="92" t="n"/>
      <c r="B2029" s="55" t="n"/>
      <c r="C2029" s="55" t="n"/>
      <c r="D2029" s="55" t="n"/>
      <c r="E2029" s="93" t="n"/>
      <c r="F2029" s="94" t="n"/>
      <c r="G2029" s="94" t="n"/>
      <c r="H2029" s="94" t="n"/>
      <c r="I2029" s="94" t="n"/>
      <c r="J2029" s="55" t="n"/>
      <c r="K2029" s="95" t="n"/>
      <c r="L2029" s="116">
        <f>IF($A2029="","",DATE(YEAR($A2029),MONTH($A2029)+IF(AND(IFERROR(N(INDEX(Übersicht!$M$15:$M$22,MATCH($B2029,Übersicht!$A$15:$A$22,0))),0)&gt;1,DAY($A2029)&gt;=IFERROR(N(INDEX(Übersicht!$M$15:$M$22,MATCH($B2029,Übersicht!$A$15:$A$22,0))),0)),1,0),1))</f>
        <v/>
      </c>
    </row>
    <row r="2030">
      <c r="A2030" s="92" t="n"/>
      <c r="B2030" s="55" t="n"/>
      <c r="C2030" s="55" t="n"/>
      <c r="D2030" s="55" t="n"/>
      <c r="E2030" s="93" t="n"/>
      <c r="F2030" s="94" t="n"/>
      <c r="G2030" s="94" t="n"/>
      <c r="H2030" s="94" t="n"/>
      <c r="I2030" s="94" t="n"/>
      <c r="J2030" s="55" t="n"/>
      <c r="K2030" s="95" t="n"/>
      <c r="L2030" s="116">
        <f>IF($A2030="","",DATE(YEAR($A2030),MONTH($A2030)+IF(AND(IFERROR(N(INDEX(Übersicht!$M$15:$M$22,MATCH($B2030,Übersicht!$A$15:$A$22,0))),0)&gt;1,DAY($A2030)&gt;=IFERROR(N(INDEX(Übersicht!$M$15:$M$22,MATCH($B2030,Übersicht!$A$15:$A$22,0))),0)),1,0),1))</f>
        <v/>
      </c>
    </row>
    <row r="2031">
      <c r="A2031" s="92" t="n"/>
      <c r="B2031" s="55" t="n"/>
      <c r="C2031" s="55" t="n"/>
      <c r="D2031" s="55" t="n"/>
      <c r="E2031" s="93" t="n"/>
      <c r="F2031" s="94" t="n"/>
      <c r="G2031" s="94" t="n"/>
      <c r="H2031" s="94" t="n"/>
      <c r="I2031" s="94" t="n"/>
      <c r="J2031" s="55" t="n"/>
      <c r="K2031" s="95" t="n"/>
      <c r="L2031" s="116">
        <f>IF($A2031="","",DATE(YEAR($A2031),MONTH($A2031)+IF(AND(IFERROR(N(INDEX(Übersicht!$M$15:$M$22,MATCH($B2031,Übersicht!$A$15:$A$22,0))),0)&gt;1,DAY($A2031)&gt;=IFERROR(N(INDEX(Übersicht!$M$15:$M$22,MATCH($B2031,Übersicht!$A$15:$A$22,0))),0)),1,0),1))</f>
        <v/>
      </c>
    </row>
    <row r="2032">
      <c r="A2032" s="92" t="n"/>
      <c r="B2032" s="55" t="n"/>
      <c r="C2032" s="55" t="n"/>
      <c r="D2032" s="55" t="n"/>
      <c r="E2032" s="93" t="n"/>
      <c r="F2032" s="94" t="n"/>
      <c r="G2032" s="94" t="n"/>
      <c r="H2032" s="94" t="n"/>
      <c r="I2032" s="94" t="n"/>
      <c r="J2032" s="55" t="n"/>
      <c r="K2032" s="95" t="n"/>
      <c r="L2032" s="116">
        <f>IF($A2032="","",DATE(YEAR($A2032),MONTH($A2032)+IF(AND(IFERROR(N(INDEX(Übersicht!$M$15:$M$22,MATCH($B2032,Übersicht!$A$15:$A$22,0))),0)&gt;1,DAY($A2032)&gt;=IFERROR(N(INDEX(Übersicht!$M$15:$M$22,MATCH($B2032,Übersicht!$A$15:$A$22,0))),0)),1,0),1))</f>
        <v/>
      </c>
    </row>
    <row r="2033">
      <c r="A2033" s="92" t="n"/>
      <c r="B2033" s="55" t="n"/>
      <c r="C2033" s="55" t="n"/>
      <c r="D2033" s="55" t="n"/>
      <c r="E2033" s="93" t="n"/>
      <c r="F2033" s="94" t="n"/>
      <c r="G2033" s="94" t="n"/>
      <c r="H2033" s="94" t="n"/>
      <c r="I2033" s="94" t="n"/>
      <c r="J2033" s="55" t="n"/>
      <c r="K2033" s="95" t="n"/>
      <c r="L2033" s="116">
        <f>IF($A2033="","",DATE(YEAR($A2033),MONTH($A2033)+IF(AND(IFERROR(N(INDEX(Übersicht!$M$15:$M$22,MATCH($B2033,Übersicht!$A$15:$A$22,0))),0)&gt;1,DAY($A2033)&gt;=IFERROR(N(INDEX(Übersicht!$M$15:$M$22,MATCH($B2033,Übersicht!$A$15:$A$22,0))),0)),1,0),1))</f>
        <v/>
      </c>
    </row>
    <row r="2034">
      <c r="A2034" s="92" t="n"/>
      <c r="B2034" s="55" t="n"/>
      <c r="C2034" s="55" t="n"/>
      <c r="D2034" s="55" t="n"/>
      <c r="E2034" s="93" t="n"/>
      <c r="F2034" s="94" t="n"/>
      <c r="G2034" s="94" t="n"/>
      <c r="H2034" s="94" t="n"/>
      <c r="I2034" s="94" t="n"/>
      <c r="J2034" s="55" t="n"/>
      <c r="K2034" s="95" t="n"/>
      <c r="L2034" s="116">
        <f>IF($A2034="","",DATE(YEAR($A2034),MONTH($A2034)+IF(AND(IFERROR(N(INDEX(Übersicht!$M$15:$M$22,MATCH($B2034,Übersicht!$A$15:$A$22,0))),0)&gt;1,DAY($A2034)&gt;=IFERROR(N(INDEX(Übersicht!$M$15:$M$22,MATCH($B2034,Übersicht!$A$15:$A$22,0))),0)),1,0),1))</f>
        <v/>
      </c>
    </row>
    <row r="2035">
      <c r="A2035" s="92" t="n"/>
      <c r="B2035" s="55" t="n"/>
      <c r="C2035" s="55" t="n"/>
      <c r="D2035" s="55" t="n"/>
      <c r="E2035" s="93" t="n"/>
      <c r="F2035" s="94" t="n"/>
      <c r="G2035" s="94" t="n"/>
      <c r="H2035" s="94" t="n"/>
      <c r="I2035" s="94" t="n"/>
      <c r="J2035" s="55" t="n"/>
      <c r="K2035" s="95" t="n"/>
      <c r="L2035" s="116">
        <f>IF($A2035="","",DATE(YEAR($A2035),MONTH($A2035)+IF(AND(IFERROR(N(INDEX(Übersicht!$M$15:$M$22,MATCH($B2035,Übersicht!$A$15:$A$22,0))),0)&gt;1,DAY($A2035)&gt;=IFERROR(N(INDEX(Übersicht!$M$15:$M$22,MATCH($B2035,Übersicht!$A$15:$A$22,0))),0)),1,0),1))</f>
        <v/>
      </c>
    </row>
    <row r="2036">
      <c r="A2036" s="92" t="n"/>
      <c r="B2036" s="55" t="n"/>
      <c r="C2036" s="55" t="n"/>
      <c r="D2036" s="55" t="n"/>
      <c r="E2036" s="93" t="n"/>
      <c r="F2036" s="94" t="n"/>
      <c r="G2036" s="94" t="n"/>
      <c r="H2036" s="94" t="n"/>
      <c r="I2036" s="94" t="n"/>
      <c r="J2036" s="55" t="n"/>
      <c r="K2036" s="95" t="n"/>
      <c r="L2036" s="116">
        <f>IF($A2036="","",DATE(YEAR($A2036),MONTH($A2036)+IF(AND(IFERROR(N(INDEX(Übersicht!$M$15:$M$22,MATCH($B2036,Übersicht!$A$15:$A$22,0))),0)&gt;1,DAY($A2036)&gt;=IFERROR(N(INDEX(Übersicht!$M$15:$M$22,MATCH($B2036,Übersicht!$A$15:$A$22,0))),0)),1,0),1))</f>
        <v/>
      </c>
    </row>
    <row r="2037">
      <c r="A2037" s="92" t="n"/>
      <c r="B2037" s="55" t="n"/>
      <c r="C2037" s="55" t="n"/>
      <c r="D2037" s="55" t="n"/>
      <c r="E2037" s="93" t="n"/>
      <c r="F2037" s="94" t="n"/>
      <c r="G2037" s="94" t="n"/>
      <c r="H2037" s="94" t="n"/>
      <c r="I2037" s="94" t="n"/>
      <c r="J2037" s="55" t="n"/>
      <c r="K2037" s="95" t="n"/>
      <c r="L2037" s="116">
        <f>IF($A2037="","",DATE(YEAR($A2037),MONTH($A2037)+IF(AND(IFERROR(N(INDEX(Übersicht!$M$15:$M$22,MATCH($B2037,Übersicht!$A$15:$A$22,0))),0)&gt;1,DAY($A2037)&gt;=IFERROR(N(INDEX(Übersicht!$M$15:$M$22,MATCH($B2037,Übersicht!$A$15:$A$22,0))),0)),1,0),1))</f>
        <v/>
      </c>
    </row>
    <row r="2038">
      <c r="A2038" s="92" t="n"/>
      <c r="B2038" s="55" t="n"/>
      <c r="C2038" s="55" t="n"/>
      <c r="D2038" s="55" t="n"/>
      <c r="E2038" s="93" t="n"/>
      <c r="F2038" s="94" t="n"/>
      <c r="G2038" s="94" t="n"/>
      <c r="H2038" s="94" t="n"/>
      <c r="I2038" s="94" t="n"/>
      <c r="J2038" s="55" t="n"/>
      <c r="K2038" s="95" t="n"/>
      <c r="L2038" s="116">
        <f>IF($A2038="","",DATE(YEAR($A2038),MONTH($A2038)+IF(AND(IFERROR(N(INDEX(Übersicht!$M$15:$M$22,MATCH($B2038,Übersicht!$A$15:$A$22,0))),0)&gt;1,DAY($A2038)&gt;=IFERROR(N(INDEX(Übersicht!$M$15:$M$22,MATCH($B2038,Übersicht!$A$15:$A$22,0))),0)),1,0),1))</f>
        <v/>
      </c>
    </row>
    <row r="2039">
      <c r="A2039" s="92" t="n"/>
      <c r="B2039" s="55" t="n"/>
      <c r="C2039" s="55" t="n"/>
      <c r="D2039" s="55" t="n"/>
      <c r="E2039" s="93" t="n"/>
      <c r="F2039" s="94" t="n"/>
      <c r="G2039" s="94" t="n"/>
      <c r="H2039" s="94" t="n"/>
      <c r="I2039" s="94" t="n"/>
      <c r="J2039" s="55" t="n"/>
      <c r="K2039" s="95" t="n"/>
      <c r="L2039" s="116">
        <f>IF($A2039="","",DATE(YEAR($A2039),MONTH($A2039)+IF(AND(IFERROR(N(INDEX(Übersicht!$M$15:$M$22,MATCH($B2039,Übersicht!$A$15:$A$22,0))),0)&gt;1,DAY($A2039)&gt;=IFERROR(N(INDEX(Übersicht!$M$15:$M$22,MATCH($B2039,Übersicht!$A$15:$A$22,0))),0)),1,0),1))</f>
        <v/>
      </c>
    </row>
    <row r="2040">
      <c r="A2040" s="92" t="n"/>
      <c r="B2040" s="55" t="n"/>
      <c r="C2040" s="55" t="n"/>
      <c r="D2040" s="55" t="n"/>
      <c r="E2040" s="93" t="n"/>
      <c r="F2040" s="94" t="n"/>
      <c r="G2040" s="94" t="n"/>
      <c r="H2040" s="94" t="n"/>
      <c r="I2040" s="94" t="n"/>
      <c r="J2040" s="55" t="n"/>
      <c r="K2040" s="95" t="n"/>
      <c r="L2040" s="116">
        <f>IF($A2040="","",DATE(YEAR($A2040),MONTH($A2040)+IF(AND(IFERROR(N(INDEX(Übersicht!$M$15:$M$22,MATCH($B2040,Übersicht!$A$15:$A$22,0))),0)&gt;1,DAY($A2040)&gt;=IFERROR(N(INDEX(Übersicht!$M$15:$M$22,MATCH($B2040,Übersicht!$A$15:$A$22,0))),0)),1,0),1))</f>
        <v/>
      </c>
    </row>
    <row r="2041">
      <c r="A2041" s="92" t="n"/>
      <c r="B2041" s="55" t="n"/>
      <c r="C2041" s="55" t="n"/>
      <c r="D2041" s="55" t="n"/>
      <c r="E2041" s="93" t="n"/>
      <c r="F2041" s="94" t="n"/>
      <c r="G2041" s="94" t="n"/>
      <c r="H2041" s="94" t="n"/>
      <c r="I2041" s="94" t="n"/>
      <c r="J2041" s="55" t="n"/>
      <c r="K2041" s="95" t="n"/>
      <c r="L2041" s="116">
        <f>IF($A2041="","",DATE(YEAR($A2041),MONTH($A2041)+IF(AND(IFERROR(N(INDEX(Übersicht!$M$15:$M$22,MATCH($B2041,Übersicht!$A$15:$A$22,0))),0)&gt;1,DAY($A2041)&gt;=IFERROR(N(INDEX(Übersicht!$M$15:$M$22,MATCH($B2041,Übersicht!$A$15:$A$22,0))),0)),1,0),1))</f>
        <v/>
      </c>
    </row>
    <row r="2042">
      <c r="A2042" s="92" t="n"/>
      <c r="B2042" s="55" t="n"/>
      <c r="C2042" s="55" t="n"/>
      <c r="D2042" s="55" t="n"/>
      <c r="E2042" s="93" t="n"/>
      <c r="F2042" s="94" t="n"/>
      <c r="G2042" s="94" t="n"/>
      <c r="H2042" s="94" t="n"/>
      <c r="I2042" s="94" t="n"/>
      <c r="J2042" s="55" t="n"/>
      <c r="K2042" s="95" t="n"/>
      <c r="L2042" s="116">
        <f>IF($A2042="","",DATE(YEAR($A2042),MONTH($A2042)+IF(AND(IFERROR(N(INDEX(Übersicht!$M$15:$M$22,MATCH($B2042,Übersicht!$A$15:$A$22,0))),0)&gt;1,DAY($A2042)&gt;=IFERROR(N(INDEX(Übersicht!$M$15:$M$22,MATCH($B2042,Übersicht!$A$15:$A$22,0))),0)),1,0),1))</f>
        <v/>
      </c>
    </row>
    <row r="2043">
      <c r="A2043" s="92" t="n"/>
      <c r="B2043" s="55" t="n"/>
      <c r="C2043" s="55" t="n"/>
      <c r="D2043" s="55" t="n"/>
      <c r="E2043" s="93" t="n"/>
      <c r="F2043" s="94" t="n"/>
      <c r="G2043" s="94" t="n"/>
      <c r="H2043" s="94" t="n"/>
      <c r="I2043" s="94" t="n"/>
      <c r="J2043" s="55" t="n"/>
      <c r="K2043" s="95" t="n"/>
      <c r="L2043" s="116">
        <f>IF($A2043="","",DATE(YEAR($A2043),MONTH($A2043)+IF(AND(IFERROR(N(INDEX(Übersicht!$M$15:$M$22,MATCH($B2043,Übersicht!$A$15:$A$22,0))),0)&gt;1,DAY($A2043)&gt;=IFERROR(N(INDEX(Übersicht!$M$15:$M$22,MATCH($B2043,Übersicht!$A$15:$A$22,0))),0)),1,0),1))</f>
        <v/>
      </c>
    </row>
    <row r="2044">
      <c r="A2044" s="92" t="n"/>
      <c r="B2044" s="55" t="n"/>
      <c r="C2044" s="55" t="n"/>
      <c r="D2044" s="55" t="n"/>
      <c r="E2044" s="93" t="n"/>
      <c r="F2044" s="94" t="n"/>
      <c r="G2044" s="94" t="n"/>
      <c r="H2044" s="94" t="n"/>
      <c r="I2044" s="94" t="n"/>
      <c r="J2044" s="55" t="n"/>
      <c r="K2044" s="95" t="n"/>
      <c r="L2044" s="116">
        <f>IF($A2044="","",DATE(YEAR($A2044),MONTH($A2044)+IF(AND(IFERROR(N(INDEX(Übersicht!$M$15:$M$22,MATCH($B2044,Übersicht!$A$15:$A$22,0))),0)&gt;1,DAY($A2044)&gt;=IFERROR(N(INDEX(Übersicht!$M$15:$M$22,MATCH($B2044,Übersicht!$A$15:$A$22,0))),0)),1,0),1))</f>
        <v/>
      </c>
    </row>
    <row r="2045">
      <c r="A2045" s="92" t="n"/>
      <c r="B2045" s="55" t="n"/>
      <c r="C2045" s="55" t="n"/>
      <c r="D2045" s="55" t="n"/>
      <c r="E2045" s="93" t="n"/>
      <c r="F2045" s="94" t="n"/>
      <c r="G2045" s="94" t="n"/>
      <c r="H2045" s="94" t="n"/>
      <c r="I2045" s="94" t="n"/>
      <c r="J2045" s="55" t="n"/>
      <c r="K2045" s="95" t="n"/>
      <c r="L2045" s="116">
        <f>IF($A2045="","",DATE(YEAR($A2045),MONTH($A2045)+IF(AND(IFERROR(N(INDEX(Übersicht!$M$15:$M$22,MATCH($B2045,Übersicht!$A$15:$A$22,0))),0)&gt;1,DAY($A2045)&gt;=IFERROR(N(INDEX(Übersicht!$M$15:$M$22,MATCH($B2045,Übersicht!$A$15:$A$22,0))),0)),1,0),1))</f>
        <v/>
      </c>
    </row>
    <row r="2046">
      <c r="A2046" s="92" t="n"/>
      <c r="B2046" s="55" t="n"/>
      <c r="C2046" s="55" t="n"/>
      <c r="D2046" s="55" t="n"/>
      <c r="E2046" s="93" t="n"/>
      <c r="F2046" s="94" t="n"/>
      <c r="G2046" s="94" t="n"/>
      <c r="H2046" s="94" t="n"/>
      <c r="I2046" s="94" t="n"/>
      <c r="J2046" s="55" t="n"/>
      <c r="K2046" s="95" t="n"/>
      <c r="L2046" s="116">
        <f>IF($A2046="","",DATE(YEAR($A2046),MONTH($A2046)+IF(AND(IFERROR(N(INDEX(Übersicht!$M$15:$M$22,MATCH($B2046,Übersicht!$A$15:$A$22,0))),0)&gt;1,DAY($A2046)&gt;=IFERROR(N(INDEX(Übersicht!$M$15:$M$22,MATCH($B2046,Übersicht!$A$15:$A$22,0))),0)),1,0),1))</f>
        <v/>
      </c>
    </row>
    <row r="2047">
      <c r="A2047" s="92" t="n"/>
      <c r="B2047" s="55" t="n"/>
      <c r="C2047" s="55" t="n"/>
      <c r="D2047" s="55" t="n"/>
      <c r="E2047" s="93" t="n"/>
      <c r="F2047" s="94" t="n"/>
      <c r="G2047" s="94" t="n"/>
      <c r="H2047" s="94" t="n"/>
      <c r="I2047" s="94" t="n"/>
      <c r="J2047" s="55" t="n"/>
      <c r="K2047" s="95" t="n"/>
      <c r="L2047" s="116">
        <f>IF($A2047="","",DATE(YEAR($A2047),MONTH($A2047)+IF(AND(IFERROR(N(INDEX(Übersicht!$M$15:$M$22,MATCH($B2047,Übersicht!$A$15:$A$22,0))),0)&gt;1,DAY($A2047)&gt;=IFERROR(N(INDEX(Übersicht!$M$15:$M$22,MATCH($B2047,Übersicht!$A$15:$A$22,0))),0)),1,0),1))</f>
        <v/>
      </c>
    </row>
    <row r="2048">
      <c r="A2048" s="92" t="n"/>
      <c r="B2048" s="55" t="n"/>
      <c r="C2048" s="55" t="n"/>
      <c r="D2048" s="55" t="n"/>
      <c r="E2048" s="93" t="n"/>
      <c r="F2048" s="94" t="n"/>
      <c r="G2048" s="94" t="n"/>
      <c r="H2048" s="94" t="n"/>
      <c r="I2048" s="94" t="n"/>
      <c r="J2048" s="55" t="n"/>
      <c r="K2048" s="95" t="n"/>
      <c r="L2048" s="116">
        <f>IF($A2048="","",DATE(YEAR($A2048),MONTH($A2048)+IF(AND(IFERROR(N(INDEX(Übersicht!$M$15:$M$22,MATCH($B2048,Übersicht!$A$15:$A$22,0))),0)&gt;1,DAY($A2048)&gt;=IFERROR(N(INDEX(Übersicht!$M$15:$M$22,MATCH($B2048,Übersicht!$A$15:$A$22,0))),0)),1,0),1))</f>
        <v/>
      </c>
    </row>
    <row r="2049">
      <c r="A2049" s="92" t="n"/>
      <c r="B2049" s="55" t="n"/>
      <c r="C2049" s="55" t="n"/>
      <c r="D2049" s="55" t="n"/>
      <c r="E2049" s="93" t="n"/>
      <c r="F2049" s="94" t="n"/>
      <c r="G2049" s="94" t="n"/>
      <c r="H2049" s="94" t="n"/>
      <c r="I2049" s="94" t="n"/>
      <c r="J2049" s="55" t="n"/>
      <c r="K2049" s="95" t="n"/>
      <c r="L2049" s="116">
        <f>IF($A2049="","",DATE(YEAR($A2049),MONTH($A2049)+IF(AND(IFERROR(N(INDEX(Übersicht!$M$15:$M$22,MATCH($B2049,Übersicht!$A$15:$A$22,0))),0)&gt;1,DAY($A2049)&gt;=IFERROR(N(INDEX(Übersicht!$M$15:$M$22,MATCH($B2049,Übersicht!$A$15:$A$22,0))),0)),1,0),1))</f>
        <v/>
      </c>
    </row>
    <row r="2050">
      <c r="A2050" s="92" t="n"/>
      <c r="B2050" s="55" t="n"/>
      <c r="C2050" s="55" t="n"/>
      <c r="D2050" s="55" t="n"/>
      <c r="E2050" s="93" t="n"/>
      <c r="F2050" s="94" t="n"/>
      <c r="G2050" s="94" t="n"/>
      <c r="H2050" s="94" t="n"/>
      <c r="I2050" s="94" t="n"/>
      <c r="J2050" s="55" t="n"/>
      <c r="K2050" s="95" t="n"/>
      <c r="L2050" s="116">
        <f>IF($A2050="","",DATE(YEAR($A2050),MONTH($A2050)+IF(AND(IFERROR(N(INDEX(Übersicht!$M$15:$M$22,MATCH($B2050,Übersicht!$A$15:$A$22,0))),0)&gt;1,DAY($A2050)&gt;=IFERROR(N(INDEX(Übersicht!$M$15:$M$22,MATCH($B2050,Übersicht!$A$15:$A$22,0))),0)),1,0),1))</f>
        <v/>
      </c>
    </row>
    <row r="2051">
      <c r="A2051" s="92" t="n"/>
      <c r="B2051" s="55" t="n"/>
      <c r="C2051" s="55" t="n"/>
      <c r="D2051" s="55" t="n"/>
      <c r="E2051" s="93" t="n"/>
      <c r="F2051" s="94" t="n"/>
      <c r="G2051" s="94" t="n"/>
      <c r="H2051" s="94" t="n"/>
      <c r="I2051" s="94" t="n"/>
      <c r="J2051" s="55" t="n"/>
      <c r="K2051" s="95" t="n"/>
      <c r="L2051" s="116">
        <f>IF($A2051="","",DATE(YEAR($A2051),MONTH($A2051)+IF(AND(IFERROR(N(INDEX(Übersicht!$M$15:$M$22,MATCH($B2051,Übersicht!$A$15:$A$22,0))),0)&gt;1,DAY($A2051)&gt;=IFERROR(N(INDEX(Übersicht!$M$15:$M$22,MATCH($B2051,Übersicht!$A$15:$A$22,0))),0)),1,0),1))</f>
        <v/>
      </c>
    </row>
    <row r="2052">
      <c r="A2052" s="92" t="n"/>
      <c r="B2052" s="55" t="n"/>
      <c r="C2052" s="55" t="n"/>
      <c r="D2052" s="55" t="n"/>
      <c r="E2052" s="93" t="n"/>
      <c r="F2052" s="94" t="n"/>
      <c r="G2052" s="94" t="n"/>
      <c r="H2052" s="94" t="n"/>
      <c r="I2052" s="94" t="n"/>
      <c r="J2052" s="55" t="n"/>
      <c r="K2052" s="95" t="n"/>
      <c r="L2052" s="116">
        <f>IF($A2052="","",DATE(YEAR($A2052),MONTH($A2052)+IF(AND(IFERROR(N(INDEX(Übersicht!$M$15:$M$22,MATCH($B2052,Übersicht!$A$15:$A$22,0))),0)&gt;1,DAY($A2052)&gt;=IFERROR(N(INDEX(Übersicht!$M$15:$M$22,MATCH($B2052,Übersicht!$A$15:$A$22,0))),0)),1,0),1))</f>
        <v/>
      </c>
    </row>
    <row r="2053">
      <c r="A2053" s="92" t="n"/>
      <c r="B2053" s="55" t="n"/>
      <c r="C2053" s="55" t="n"/>
      <c r="D2053" s="55" t="n"/>
      <c r="E2053" s="93" t="n"/>
      <c r="F2053" s="94" t="n"/>
      <c r="G2053" s="94" t="n"/>
      <c r="H2053" s="94" t="n"/>
      <c r="I2053" s="94" t="n"/>
      <c r="J2053" s="55" t="n"/>
      <c r="K2053" s="95" t="n"/>
      <c r="L2053" s="116">
        <f>IF($A2053="","",DATE(YEAR($A2053),MONTH($A2053)+IF(AND(IFERROR(N(INDEX(Übersicht!$M$15:$M$22,MATCH($B2053,Übersicht!$A$15:$A$22,0))),0)&gt;1,DAY($A2053)&gt;=IFERROR(N(INDEX(Übersicht!$M$15:$M$22,MATCH($B2053,Übersicht!$A$15:$A$22,0))),0)),1,0),1))</f>
        <v/>
      </c>
    </row>
    <row r="2054">
      <c r="A2054" s="92" t="n"/>
      <c r="B2054" s="55" t="n"/>
      <c r="C2054" s="55" t="n"/>
      <c r="D2054" s="55" t="n"/>
      <c r="E2054" s="93" t="n"/>
      <c r="F2054" s="94" t="n"/>
      <c r="G2054" s="94" t="n"/>
      <c r="H2054" s="94" t="n"/>
      <c r="I2054" s="94" t="n"/>
      <c r="J2054" s="55" t="n"/>
      <c r="K2054" s="95" t="n"/>
      <c r="L2054" s="116">
        <f>IF($A2054="","",DATE(YEAR($A2054),MONTH($A2054)+IF(AND(IFERROR(N(INDEX(Übersicht!$M$15:$M$22,MATCH($B2054,Übersicht!$A$15:$A$22,0))),0)&gt;1,DAY($A2054)&gt;=IFERROR(N(INDEX(Übersicht!$M$15:$M$22,MATCH($B2054,Übersicht!$A$15:$A$22,0))),0)),1,0),1))</f>
        <v/>
      </c>
    </row>
    <row r="2055">
      <c r="A2055" s="92" t="n"/>
      <c r="B2055" s="55" t="n"/>
      <c r="C2055" s="55" t="n"/>
      <c r="D2055" s="55" t="n"/>
      <c r="E2055" s="93" t="n"/>
      <c r="F2055" s="94" t="n"/>
      <c r="G2055" s="94" t="n"/>
      <c r="H2055" s="94" t="n"/>
      <c r="I2055" s="94" t="n"/>
      <c r="J2055" s="55" t="n"/>
      <c r="K2055" s="95" t="n"/>
      <c r="L2055" s="116">
        <f>IF($A2055="","",DATE(YEAR($A2055),MONTH($A2055)+IF(AND(IFERROR(N(INDEX(Übersicht!$M$15:$M$22,MATCH($B2055,Übersicht!$A$15:$A$22,0))),0)&gt;1,DAY($A2055)&gt;=IFERROR(N(INDEX(Übersicht!$M$15:$M$22,MATCH($B2055,Übersicht!$A$15:$A$22,0))),0)),1,0),1))</f>
        <v/>
      </c>
    </row>
    <row r="2056">
      <c r="A2056" s="92" t="n"/>
      <c r="B2056" s="55" t="n"/>
      <c r="C2056" s="55" t="n"/>
      <c r="D2056" s="55" t="n"/>
      <c r="E2056" s="93" t="n"/>
      <c r="F2056" s="94" t="n"/>
      <c r="G2056" s="94" t="n"/>
      <c r="H2056" s="94" t="n"/>
      <c r="I2056" s="94" t="n"/>
      <c r="J2056" s="55" t="n"/>
      <c r="K2056" s="95" t="n"/>
      <c r="L2056" s="116">
        <f>IF($A2056="","",DATE(YEAR($A2056),MONTH($A2056)+IF(AND(IFERROR(N(INDEX(Übersicht!$M$15:$M$22,MATCH($B2056,Übersicht!$A$15:$A$22,0))),0)&gt;1,DAY($A2056)&gt;=IFERROR(N(INDEX(Übersicht!$M$15:$M$22,MATCH($B2056,Übersicht!$A$15:$A$22,0))),0)),1,0),1))</f>
        <v/>
      </c>
    </row>
    <row r="2057">
      <c r="A2057" s="92" t="n"/>
      <c r="B2057" s="55" t="n"/>
      <c r="C2057" s="55" t="n"/>
      <c r="D2057" s="55" t="n"/>
      <c r="E2057" s="93" t="n"/>
      <c r="F2057" s="94" t="n"/>
      <c r="G2057" s="94" t="n"/>
      <c r="H2057" s="94" t="n"/>
      <c r="I2057" s="94" t="n"/>
      <c r="J2057" s="55" t="n"/>
      <c r="K2057" s="95" t="n"/>
      <c r="L2057" s="116">
        <f>IF($A2057="","",DATE(YEAR($A2057),MONTH($A2057)+IF(AND(IFERROR(N(INDEX(Übersicht!$M$15:$M$22,MATCH($B2057,Übersicht!$A$15:$A$22,0))),0)&gt;1,DAY($A2057)&gt;=IFERROR(N(INDEX(Übersicht!$M$15:$M$22,MATCH($B2057,Übersicht!$A$15:$A$22,0))),0)),1,0),1))</f>
        <v/>
      </c>
    </row>
    <row r="2058">
      <c r="A2058" s="92" t="n"/>
      <c r="B2058" s="55" t="n"/>
      <c r="C2058" s="55" t="n"/>
      <c r="D2058" s="55" t="n"/>
      <c r="E2058" s="93" t="n"/>
      <c r="F2058" s="94" t="n"/>
      <c r="G2058" s="94" t="n"/>
      <c r="H2058" s="94" t="n"/>
      <c r="I2058" s="94" t="n"/>
      <c r="J2058" s="55" t="n"/>
      <c r="K2058" s="95" t="n"/>
      <c r="L2058" s="116">
        <f>IF($A2058="","",DATE(YEAR($A2058),MONTH($A2058)+IF(AND(IFERROR(N(INDEX(Übersicht!$M$15:$M$22,MATCH($B2058,Übersicht!$A$15:$A$22,0))),0)&gt;1,DAY($A2058)&gt;=IFERROR(N(INDEX(Übersicht!$M$15:$M$22,MATCH($B2058,Übersicht!$A$15:$A$22,0))),0)),1,0),1))</f>
        <v/>
      </c>
    </row>
    <row r="2059">
      <c r="A2059" s="92" t="n"/>
      <c r="B2059" s="55" t="n"/>
      <c r="C2059" s="55" t="n"/>
      <c r="D2059" s="55" t="n"/>
      <c r="E2059" s="93" t="n"/>
      <c r="F2059" s="94" t="n"/>
      <c r="G2059" s="94" t="n"/>
      <c r="H2059" s="94" t="n"/>
      <c r="I2059" s="94" t="n"/>
      <c r="J2059" s="55" t="n"/>
      <c r="K2059" s="95" t="n"/>
      <c r="L2059" s="116">
        <f>IF($A2059="","",DATE(YEAR($A2059),MONTH($A2059)+IF(AND(IFERROR(N(INDEX(Übersicht!$M$15:$M$22,MATCH($B2059,Übersicht!$A$15:$A$22,0))),0)&gt;1,DAY($A2059)&gt;=IFERROR(N(INDEX(Übersicht!$M$15:$M$22,MATCH($B2059,Übersicht!$A$15:$A$22,0))),0)),1,0),1))</f>
        <v/>
      </c>
    </row>
    <row r="2060">
      <c r="A2060" s="92" t="n"/>
      <c r="B2060" s="55" t="n"/>
      <c r="C2060" s="55" t="n"/>
      <c r="D2060" s="55" t="n"/>
      <c r="E2060" s="93" t="n"/>
      <c r="F2060" s="94" t="n"/>
      <c r="G2060" s="94" t="n"/>
      <c r="H2060" s="94" t="n"/>
      <c r="I2060" s="94" t="n"/>
      <c r="J2060" s="55" t="n"/>
      <c r="K2060" s="95" t="n"/>
      <c r="L2060" s="116">
        <f>IF($A2060="","",DATE(YEAR($A2060),MONTH($A2060)+IF(AND(IFERROR(N(INDEX(Übersicht!$M$15:$M$22,MATCH($B2060,Übersicht!$A$15:$A$22,0))),0)&gt;1,DAY($A2060)&gt;=IFERROR(N(INDEX(Übersicht!$M$15:$M$22,MATCH($B2060,Übersicht!$A$15:$A$22,0))),0)),1,0),1))</f>
        <v/>
      </c>
    </row>
    <row r="2061">
      <c r="A2061" s="92" t="n"/>
      <c r="B2061" s="55" t="n"/>
      <c r="C2061" s="55" t="n"/>
      <c r="D2061" s="55" t="n"/>
      <c r="E2061" s="93" t="n"/>
      <c r="F2061" s="94" t="n"/>
      <c r="G2061" s="94" t="n"/>
      <c r="H2061" s="94" t="n"/>
      <c r="I2061" s="94" t="n"/>
      <c r="J2061" s="55" t="n"/>
      <c r="K2061" s="95" t="n"/>
      <c r="L2061" s="116">
        <f>IF($A2061="","",DATE(YEAR($A2061),MONTH($A2061)+IF(AND(IFERROR(N(INDEX(Übersicht!$M$15:$M$22,MATCH($B2061,Übersicht!$A$15:$A$22,0))),0)&gt;1,DAY($A2061)&gt;=IFERROR(N(INDEX(Übersicht!$M$15:$M$22,MATCH($B2061,Übersicht!$A$15:$A$22,0))),0)),1,0),1))</f>
        <v/>
      </c>
    </row>
    <row r="2062">
      <c r="A2062" s="92" t="n"/>
      <c r="B2062" s="55" t="n"/>
      <c r="C2062" s="55" t="n"/>
      <c r="D2062" s="55" t="n"/>
      <c r="E2062" s="93" t="n"/>
      <c r="F2062" s="94" t="n"/>
      <c r="G2062" s="94" t="n"/>
      <c r="H2062" s="94" t="n"/>
      <c r="I2062" s="94" t="n"/>
      <c r="J2062" s="55" t="n"/>
      <c r="K2062" s="95" t="n"/>
      <c r="L2062" s="116">
        <f>IF($A2062="","",DATE(YEAR($A2062),MONTH($A2062)+IF(AND(IFERROR(N(INDEX(Übersicht!$M$15:$M$22,MATCH($B2062,Übersicht!$A$15:$A$22,0))),0)&gt;1,DAY($A2062)&gt;=IFERROR(N(INDEX(Übersicht!$M$15:$M$22,MATCH($B2062,Übersicht!$A$15:$A$22,0))),0)),1,0),1))</f>
        <v/>
      </c>
    </row>
    <row r="2063">
      <c r="A2063" s="92" t="n"/>
      <c r="B2063" s="55" t="n"/>
      <c r="C2063" s="55" t="n"/>
      <c r="D2063" s="55" t="n"/>
      <c r="E2063" s="93" t="n"/>
      <c r="F2063" s="94" t="n"/>
      <c r="G2063" s="94" t="n"/>
      <c r="H2063" s="94" t="n"/>
      <c r="I2063" s="94" t="n"/>
      <c r="J2063" s="55" t="n"/>
      <c r="K2063" s="95" t="n"/>
      <c r="L2063" s="116">
        <f>IF($A2063="","",DATE(YEAR($A2063),MONTH($A2063)+IF(AND(IFERROR(N(INDEX(Übersicht!$M$15:$M$22,MATCH($B2063,Übersicht!$A$15:$A$22,0))),0)&gt;1,DAY($A2063)&gt;=IFERROR(N(INDEX(Übersicht!$M$15:$M$22,MATCH($B2063,Übersicht!$A$15:$A$22,0))),0)),1,0),1))</f>
        <v/>
      </c>
    </row>
    <row r="2064">
      <c r="A2064" s="92" t="n"/>
      <c r="B2064" s="55" t="n"/>
      <c r="C2064" s="55" t="n"/>
      <c r="D2064" s="55" t="n"/>
      <c r="E2064" s="93" t="n"/>
      <c r="F2064" s="94" t="n"/>
      <c r="G2064" s="94" t="n"/>
      <c r="H2064" s="94" t="n"/>
      <c r="I2064" s="94" t="n"/>
      <c r="J2064" s="55" t="n"/>
      <c r="K2064" s="95" t="n"/>
      <c r="L2064" s="116">
        <f>IF($A2064="","",DATE(YEAR($A2064),MONTH($A2064)+IF(AND(IFERROR(N(INDEX(Übersicht!$M$15:$M$22,MATCH($B2064,Übersicht!$A$15:$A$22,0))),0)&gt;1,DAY($A2064)&gt;=IFERROR(N(INDEX(Übersicht!$M$15:$M$22,MATCH($B2064,Übersicht!$A$15:$A$22,0))),0)),1,0),1))</f>
        <v/>
      </c>
    </row>
    <row r="2065">
      <c r="A2065" s="92" t="n"/>
      <c r="B2065" s="55" t="n"/>
      <c r="C2065" s="55" t="n"/>
      <c r="D2065" s="55" t="n"/>
      <c r="E2065" s="93" t="n"/>
      <c r="F2065" s="94" t="n"/>
      <c r="G2065" s="94" t="n"/>
      <c r="H2065" s="94" t="n"/>
      <c r="I2065" s="94" t="n"/>
      <c r="J2065" s="55" t="n"/>
      <c r="K2065" s="95" t="n"/>
      <c r="L2065" s="116">
        <f>IF($A2065="","",DATE(YEAR($A2065),MONTH($A2065)+IF(AND(IFERROR(N(INDEX(Übersicht!$M$15:$M$22,MATCH($B2065,Übersicht!$A$15:$A$22,0))),0)&gt;1,DAY($A2065)&gt;=IFERROR(N(INDEX(Übersicht!$M$15:$M$22,MATCH($B2065,Übersicht!$A$15:$A$22,0))),0)),1,0),1))</f>
        <v/>
      </c>
    </row>
    <row r="2066">
      <c r="A2066" s="92" t="n"/>
      <c r="B2066" s="55" t="n"/>
      <c r="C2066" s="55" t="n"/>
      <c r="D2066" s="55" t="n"/>
      <c r="E2066" s="93" t="n"/>
      <c r="F2066" s="94" t="n"/>
      <c r="G2066" s="94" t="n"/>
      <c r="H2066" s="94" t="n"/>
      <c r="I2066" s="94" t="n"/>
      <c r="J2066" s="55" t="n"/>
      <c r="K2066" s="95" t="n"/>
      <c r="L2066" s="116">
        <f>IF($A2066="","",DATE(YEAR($A2066),MONTH($A2066)+IF(AND(IFERROR(N(INDEX(Übersicht!$M$15:$M$22,MATCH($B2066,Übersicht!$A$15:$A$22,0))),0)&gt;1,DAY($A2066)&gt;=IFERROR(N(INDEX(Übersicht!$M$15:$M$22,MATCH($B2066,Übersicht!$A$15:$A$22,0))),0)),1,0),1))</f>
        <v/>
      </c>
    </row>
    <row r="2067">
      <c r="A2067" s="92" t="n"/>
      <c r="B2067" s="55" t="n"/>
      <c r="C2067" s="55" t="n"/>
      <c r="D2067" s="55" t="n"/>
      <c r="E2067" s="93" t="n"/>
      <c r="F2067" s="94" t="n"/>
      <c r="G2067" s="94" t="n"/>
      <c r="H2067" s="94" t="n"/>
      <c r="I2067" s="94" t="n"/>
      <c r="J2067" s="55" t="n"/>
      <c r="K2067" s="95" t="n"/>
      <c r="L2067" s="116">
        <f>IF($A2067="","",DATE(YEAR($A2067),MONTH($A2067)+IF(AND(IFERROR(N(INDEX(Übersicht!$M$15:$M$22,MATCH($B2067,Übersicht!$A$15:$A$22,0))),0)&gt;1,DAY($A2067)&gt;=IFERROR(N(INDEX(Übersicht!$M$15:$M$22,MATCH($B2067,Übersicht!$A$15:$A$22,0))),0)),1,0),1))</f>
        <v/>
      </c>
    </row>
    <row r="2068">
      <c r="A2068" s="92" t="n"/>
      <c r="B2068" s="55" t="n"/>
      <c r="C2068" s="55" t="n"/>
      <c r="D2068" s="55" t="n"/>
      <c r="E2068" s="93" t="n"/>
      <c r="F2068" s="94" t="n"/>
      <c r="G2068" s="94" t="n"/>
      <c r="H2068" s="94" t="n"/>
      <c r="I2068" s="94" t="n"/>
      <c r="J2068" s="55" t="n"/>
      <c r="K2068" s="95" t="n"/>
      <c r="L2068" s="116">
        <f>IF($A2068="","",DATE(YEAR($A2068),MONTH($A2068)+IF(AND(IFERROR(N(INDEX(Übersicht!$M$15:$M$22,MATCH($B2068,Übersicht!$A$15:$A$22,0))),0)&gt;1,DAY($A2068)&gt;=IFERROR(N(INDEX(Übersicht!$M$15:$M$22,MATCH($B2068,Übersicht!$A$15:$A$22,0))),0)),1,0),1))</f>
        <v/>
      </c>
    </row>
    <row r="2069">
      <c r="A2069" s="92" t="n"/>
      <c r="B2069" s="55" t="n"/>
      <c r="C2069" s="55" t="n"/>
      <c r="D2069" s="55" t="n"/>
      <c r="E2069" s="93" t="n"/>
      <c r="F2069" s="94" t="n"/>
      <c r="G2069" s="94" t="n"/>
      <c r="H2069" s="94" t="n"/>
      <c r="I2069" s="94" t="n"/>
      <c r="J2069" s="55" t="n"/>
      <c r="K2069" s="95" t="n"/>
      <c r="L2069" s="116">
        <f>IF($A2069="","",DATE(YEAR($A2069),MONTH($A2069)+IF(AND(IFERROR(N(INDEX(Übersicht!$M$15:$M$22,MATCH($B2069,Übersicht!$A$15:$A$22,0))),0)&gt;1,DAY($A2069)&gt;=IFERROR(N(INDEX(Übersicht!$M$15:$M$22,MATCH($B2069,Übersicht!$A$15:$A$22,0))),0)),1,0),1))</f>
        <v/>
      </c>
    </row>
    <row r="2070">
      <c r="A2070" s="92" t="n"/>
      <c r="B2070" s="55" t="n"/>
      <c r="C2070" s="55" t="n"/>
      <c r="D2070" s="55" t="n"/>
      <c r="E2070" s="93" t="n"/>
      <c r="F2070" s="94" t="n"/>
      <c r="G2070" s="94" t="n"/>
      <c r="H2070" s="94" t="n"/>
      <c r="I2070" s="94" t="n"/>
      <c r="J2070" s="55" t="n"/>
      <c r="K2070" s="95" t="n"/>
      <c r="L2070" s="116">
        <f>IF($A2070="","",DATE(YEAR($A2070),MONTH($A2070)+IF(AND(IFERROR(N(INDEX(Übersicht!$M$15:$M$22,MATCH($B2070,Übersicht!$A$15:$A$22,0))),0)&gt;1,DAY($A2070)&gt;=IFERROR(N(INDEX(Übersicht!$M$15:$M$22,MATCH($B2070,Übersicht!$A$15:$A$22,0))),0)),1,0),1))</f>
        <v/>
      </c>
    </row>
    <row r="2071">
      <c r="A2071" s="92" t="n"/>
      <c r="B2071" s="55" t="n"/>
      <c r="C2071" s="55" t="n"/>
      <c r="D2071" s="55" t="n"/>
      <c r="E2071" s="93" t="n"/>
      <c r="F2071" s="94" t="n"/>
      <c r="G2071" s="94" t="n"/>
      <c r="H2071" s="94" t="n"/>
      <c r="I2071" s="94" t="n"/>
      <c r="J2071" s="55" t="n"/>
      <c r="K2071" s="95" t="n"/>
      <c r="L2071" s="116">
        <f>IF($A2071="","",DATE(YEAR($A2071),MONTH($A2071)+IF(AND(IFERROR(N(INDEX(Übersicht!$M$15:$M$22,MATCH($B2071,Übersicht!$A$15:$A$22,0))),0)&gt;1,DAY($A2071)&gt;=IFERROR(N(INDEX(Übersicht!$M$15:$M$22,MATCH($B2071,Übersicht!$A$15:$A$22,0))),0)),1,0),1))</f>
        <v/>
      </c>
    </row>
    <row r="2072">
      <c r="A2072" s="92" t="n"/>
      <c r="B2072" s="55" t="n"/>
      <c r="C2072" s="55" t="n"/>
      <c r="D2072" s="55" t="n"/>
      <c r="E2072" s="93" t="n"/>
      <c r="F2072" s="94" t="n"/>
      <c r="G2072" s="94" t="n"/>
      <c r="H2072" s="94" t="n"/>
      <c r="I2072" s="94" t="n"/>
      <c r="J2072" s="55" t="n"/>
      <c r="K2072" s="95" t="n"/>
      <c r="L2072" s="116">
        <f>IF($A2072="","",DATE(YEAR($A2072),MONTH($A2072)+IF(AND(IFERROR(N(INDEX(Übersicht!$M$15:$M$22,MATCH($B2072,Übersicht!$A$15:$A$22,0))),0)&gt;1,DAY($A2072)&gt;=IFERROR(N(INDEX(Übersicht!$M$15:$M$22,MATCH($B2072,Übersicht!$A$15:$A$22,0))),0)),1,0),1))</f>
        <v/>
      </c>
    </row>
    <row r="2073">
      <c r="A2073" s="92" t="n"/>
      <c r="B2073" s="55" t="n"/>
      <c r="C2073" s="55" t="n"/>
      <c r="D2073" s="55" t="n"/>
      <c r="E2073" s="93" t="n"/>
      <c r="F2073" s="94" t="n"/>
      <c r="G2073" s="94" t="n"/>
      <c r="H2073" s="94" t="n"/>
      <c r="I2073" s="94" t="n"/>
      <c r="J2073" s="55" t="n"/>
      <c r="K2073" s="95" t="n"/>
      <c r="L2073" s="116">
        <f>IF($A2073="","",DATE(YEAR($A2073),MONTH($A2073)+IF(AND(IFERROR(N(INDEX(Übersicht!$M$15:$M$22,MATCH($B2073,Übersicht!$A$15:$A$22,0))),0)&gt;1,DAY($A2073)&gt;=IFERROR(N(INDEX(Übersicht!$M$15:$M$22,MATCH($B2073,Übersicht!$A$15:$A$22,0))),0)),1,0),1))</f>
        <v/>
      </c>
    </row>
    <row r="2074">
      <c r="A2074" s="92" t="n"/>
      <c r="B2074" s="55" t="n"/>
      <c r="C2074" s="55" t="n"/>
      <c r="D2074" s="55" t="n"/>
      <c r="E2074" s="93" t="n"/>
      <c r="F2074" s="94" t="n"/>
      <c r="G2074" s="94" t="n"/>
      <c r="H2074" s="94" t="n"/>
      <c r="I2074" s="94" t="n"/>
      <c r="J2074" s="55" t="n"/>
      <c r="K2074" s="95" t="n"/>
      <c r="L2074" s="116">
        <f>IF($A2074="","",DATE(YEAR($A2074),MONTH($A2074)+IF(AND(IFERROR(N(INDEX(Übersicht!$M$15:$M$22,MATCH($B2074,Übersicht!$A$15:$A$22,0))),0)&gt;1,DAY($A2074)&gt;=IFERROR(N(INDEX(Übersicht!$M$15:$M$22,MATCH($B2074,Übersicht!$A$15:$A$22,0))),0)),1,0),1))</f>
        <v/>
      </c>
    </row>
    <row r="2075">
      <c r="A2075" s="92" t="n"/>
      <c r="B2075" s="55" t="n"/>
      <c r="C2075" s="55" t="n"/>
      <c r="D2075" s="55" t="n"/>
      <c r="E2075" s="93" t="n"/>
      <c r="F2075" s="94" t="n"/>
      <c r="G2075" s="94" t="n"/>
      <c r="H2075" s="94" t="n"/>
      <c r="I2075" s="94" t="n"/>
      <c r="J2075" s="55" t="n"/>
      <c r="K2075" s="95" t="n"/>
      <c r="L2075" s="116">
        <f>IF($A2075="","",DATE(YEAR($A2075),MONTH($A2075)+IF(AND(IFERROR(N(INDEX(Übersicht!$M$15:$M$22,MATCH($B2075,Übersicht!$A$15:$A$22,0))),0)&gt;1,DAY($A2075)&gt;=IFERROR(N(INDEX(Übersicht!$M$15:$M$22,MATCH($B2075,Übersicht!$A$15:$A$22,0))),0)),1,0),1))</f>
        <v/>
      </c>
    </row>
    <row r="2076">
      <c r="A2076" s="92" t="n"/>
      <c r="B2076" s="55" t="n"/>
      <c r="C2076" s="55" t="n"/>
      <c r="D2076" s="55" t="n"/>
      <c r="E2076" s="93" t="n"/>
      <c r="F2076" s="94" t="n"/>
      <c r="G2076" s="94" t="n"/>
      <c r="H2076" s="94" t="n"/>
      <c r="I2076" s="94" t="n"/>
      <c r="J2076" s="55" t="n"/>
      <c r="K2076" s="95" t="n"/>
      <c r="L2076" s="116">
        <f>IF($A2076="","",DATE(YEAR($A2076),MONTH($A2076)+IF(AND(IFERROR(N(INDEX(Übersicht!$M$15:$M$22,MATCH($B2076,Übersicht!$A$15:$A$22,0))),0)&gt;1,DAY($A2076)&gt;=IFERROR(N(INDEX(Übersicht!$M$15:$M$22,MATCH($B2076,Übersicht!$A$15:$A$22,0))),0)),1,0),1))</f>
        <v/>
      </c>
    </row>
    <row r="2077">
      <c r="A2077" s="92" t="n"/>
      <c r="B2077" s="55" t="n"/>
      <c r="C2077" s="55" t="n"/>
      <c r="D2077" s="55" t="n"/>
      <c r="E2077" s="93" t="n"/>
      <c r="F2077" s="94" t="n"/>
      <c r="G2077" s="94" t="n"/>
      <c r="H2077" s="94" t="n"/>
      <c r="I2077" s="94" t="n"/>
      <c r="J2077" s="55" t="n"/>
      <c r="K2077" s="95" t="n"/>
      <c r="L2077" s="116">
        <f>IF($A2077="","",DATE(YEAR($A2077),MONTH($A2077)+IF(AND(IFERROR(N(INDEX(Übersicht!$M$15:$M$22,MATCH($B2077,Übersicht!$A$15:$A$22,0))),0)&gt;1,DAY($A2077)&gt;=IFERROR(N(INDEX(Übersicht!$M$15:$M$22,MATCH($B2077,Übersicht!$A$15:$A$22,0))),0)),1,0),1))</f>
        <v/>
      </c>
    </row>
    <row r="2078">
      <c r="A2078" s="92" t="n"/>
      <c r="B2078" s="55" t="n"/>
      <c r="C2078" s="55" t="n"/>
      <c r="D2078" s="55" t="n"/>
      <c r="E2078" s="93" t="n"/>
      <c r="F2078" s="94" t="n"/>
      <c r="G2078" s="94" t="n"/>
      <c r="H2078" s="94" t="n"/>
      <c r="I2078" s="94" t="n"/>
      <c r="J2078" s="55" t="n"/>
      <c r="K2078" s="95" t="n"/>
      <c r="L2078" s="116">
        <f>IF($A2078="","",DATE(YEAR($A2078),MONTH($A2078)+IF(AND(IFERROR(N(INDEX(Übersicht!$M$15:$M$22,MATCH($B2078,Übersicht!$A$15:$A$22,0))),0)&gt;1,DAY($A2078)&gt;=IFERROR(N(INDEX(Übersicht!$M$15:$M$22,MATCH($B2078,Übersicht!$A$15:$A$22,0))),0)),1,0),1))</f>
        <v/>
      </c>
    </row>
    <row r="2079">
      <c r="A2079" s="92" t="n"/>
      <c r="B2079" s="55" t="n"/>
      <c r="C2079" s="55" t="n"/>
      <c r="D2079" s="55" t="n"/>
      <c r="E2079" s="93" t="n"/>
      <c r="F2079" s="94" t="n"/>
      <c r="G2079" s="94" t="n"/>
      <c r="H2079" s="94" t="n"/>
      <c r="I2079" s="94" t="n"/>
      <c r="J2079" s="55" t="n"/>
      <c r="K2079" s="95" t="n"/>
      <c r="L2079" s="116">
        <f>IF($A2079="","",DATE(YEAR($A2079),MONTH($A2079)+IF(AND(IFERROR(N(INDEX(Übersicht!$M$15:$M$22,MATCH($B2079,Übersicht!$A$15:$A$22,0))),0)&gt;1,DAY($A2079)&gt;=IFERROR(N(INDEX(Übersicht!$M$15:$M$22,MATCH($B2079,Übersicht!$A$15:$A$22,0))),0)),1,0),1))</f>
        <v/>
      </c>
    </row>
    <row r="2080">
      <c r="A2080" s="92" t="n"/>
      <c r="B2080" s="55" t="n"/>
      <c r="C2080" s="55" t="n"/>
      <c r="D2080" s="55" t="n"/>
      <c r="E2080" s="93" t="n"/>
      <c r="F2080" s="94" t="n"/>
      <c r="G2080" s="94" t="n"/>
      <c r="H2080" s="94" t="n"/>
      <c r="I2080" s="94" t="n"/>
      <c r="J2080" s="55" t="n"/>
      <c r="K2080" s="95" t="n"/>
      <c r="L2080" s="116">
        <f>IF($A2080="","",DATE(YEAR($A2080),MONTH($A2080)+IF(AND(IFERROR(N(INDEX(Übersicht!$M$15:$M$22,MATCH($B2080,Übersicht!$A$15:$A$22,0))),0)&gt;1,DAY($A2080)&gt;=IFERROR(N(INDEX(Übersicht!$M$15:$M$22,MATCH($B2080,Übersicht!$A$15:$A$22,0))),0)),1,0),1))</f>
        <v/>
      </c>
    </row>
    <row r="2081">
      <c r="A2081" s="92" t="n"/>
      <c r="B2081" s="55" t="n"/>
      <c r="C2081" s="55" t="n"/>
      <c r="D2081" s="55" t="n"/>
      <c r="E2081" s="93" t="n"/>
      <c r="F2081" s="94" t="n"/>
      <c r="G2081" s="94" t="n"/>
      <c r="H2081" s="94" t="n"/>
      <c r="I2081" s="94" t="n"/>
      <c r="J2081" s="55" t="n"/>
      <c r="K2081" s="95" t="n"/>
      <c r="L2081" s="116">
        <f>IF($A2081="","",DATE(YEAR($A2081),MONTH($A2081)+IF(AND(IFERROR(N(INDEX(Übersicht!$M$15:$M$22,MATCH($B2081,Übersicht!$A$15:$A$22,0))),0)&gt;1,DAY($A2081)&gt;=IFERROR(N(INDEX(Übersicht!$M$15:$M$22,MATCH($B2081,Übersicht!$A$15:$A$22,0))),0)),1,0),1))</f>
        <v/>
      </c>
    </row>
    <row r="2082">
      <c r="A2082" s="92" t="n"/>
      <c r="B2082" s="55" t="n"/>
      <c r="C2082" s="55" t="n"/>
      <c r="D2082" s="55" t="n"/>
      <c r="E2082" s="93" t="n"/>
      <c r="F2082" s="94" t="n"/>
      <c r="G2082" s="94" t="n"/>
      <c r="H2082" s="94" t="n"/>
      <c r="I2082" s="94" t="n"/>
      <c r="J2082" s="55" t="n"/>
      <c r="K2082" s="95" t="n"/>
      <c r="L2082" s="116">
        <f>IF($A2082="","",DATE(YEAR($A2082),MONTH($A2082)+IF(AND(IFERROR(N(INDEX(Übersicht!$M$15:$M$22,MATCH($B2082,Übersicht!$A$15:$A$22,0))),0)&gt;1,DAY($A2082)&gt;=IFERROR(N(INDEX(Übersicht!$M$15:$M$22,MATCH($B2082,Übersicht!$A$15:$A$22,0))),0)),1,0),1))</f>
        <v/>
      </c>
    </row>
    <row r="2083">
      <c r="A2083" s="92" t="n"/>
      <c r="B2083" s="55" t="n"/>
      <c r="C2083" s="55" t="n"/>
      <c r="D2083" s="55" t="n"/>
      <c r="E2083" s="93" t="n"/>
      <c r="F2083" s="94" t="n"/>
      <c r="G2083" s="94" t="n"/>
      <c r="H2083" s="94" t="n"/>
      <c r="I2083" s="94" t="n"/>
      <c r="J2083" s="55" t="n"/>
      <c r="K2083" s="95" t="n"/>
      <c r="L2083" s="116">
        <f>IF($A2083="","",DATE(YEAR($A2083),MONTH($A2083)+IF(AND(IFERROR(N(INDEX(Übersicht!$M$15:$M$22,MATCH($B2083,Übersicht!$A$15:$A$22,0))),0)&gt;1,DAY($A2083)&gt;=IFERROR(N(INDEX(Übersicht!$M$15:$M$22,MATCH($B2083,Übersicht!$A$15:$A$22,0))),0)),1,0),1))</f>
        <v/>
      </c>
    </row>
    <row r="2084">
      <c r="A2084" s="92" t="n"/>
      <c r="B2084" s="55" t="n"/>
      <c r="C2084" s="55" t="n"/>
      <c r="D2084" s="55" t="n"/>
      <c r="E2084" s="93" t="n"/>
      <c r="F2084" s="94" t="n"/>
      <c r="G2084" s="94" t="n"/>
      <c r="H2084" s="94" t="n"/>
      <c r="I2084" s="94" t="n"/>
      <c r="J2084" s="55" t="n"/>
      <c r="K2084" s="95" t="n"/>
      <c r="L2084" s="116">
        <f>IF($A2084="","",DATE(YEAR($A2084),MONTH($A2084)+IF(AND(IFERROR(N(INDEX(Übersicht!$M$15:$M$22,MATCH($B2084,Übersicht!$A$15:$A$22,0))),0)&gt;1,DAY($A2084)&gt;=IFERROR(N(INDEX(Übersicht!$M$15:$M$22,MATCH($B2084,Übersicht!$A$15:$A$22,0))),0)),1,0),1))</f>
        <v/>
      </c>
    </row>
    <row r="2085">
      <c r="A2085" s="92" t="n"/>
      <c r="B2085" s="55" t="n"/>
      <c r="C2085" s="55" t="n"/>
      <c r="D2085" s="55" t="n"/>
      <c r="E2085" s="93" t="n"/>
      <c r="F2085" s="94" t="n"/>
      <c r="G2085" s="94" t="n"/>
      <c r="H2085" s="94" t="n"/>
      <c r="I2085" s="94" t="n"/>
      <c r="J2085" s="55" t="n"/>
      <c r="K2085" s="95" t="n"/>
      <c r="L2085" s="116">
        <f>IF($A2085="","",DATE(YEAR($A2085),MONTH($A2085)+IF(AND(IFERROR(N(INDEX(Übersicht!$M$15:$M$22,MATCH($B2085,Übersicht!$A$15:$A$22,0))),0)&gt;1,DAY($A2085)&gt;=IFERROR(N(INDEX(Übersicht!$M$15:$M$22,MATCH($B2085,Übersicht!$A$15:$A$22,0))),0)),1,0),1))</f>
        <v/>
      </c>
    </row>
    <row r="2086">
      <c r="A2086" s="92" t="n"/>
      <c r="B2086" s="55" t="n"/>
      <c r="C2086" s="55" t="n"/>
      <c r="D2086" s="55" t="n"/>
      <c r="E2086" s="93" t="n"/>
      <c r="F2086" s="94" t="n"/>
      <c r="G2086" s="94" t="n"/>
      <c r="H2086" s="94" t="n"/>
      <c r="I2086" s="94" t="n"/>
      <c r="J2086" s="55" t="n"/>
      <c r="K2086" s="95" t="n"/>
      <c r="L2086" s="116">
        <f>IF($A2086="","",DATE(YEAR($A2086),MONTH($A2086)+IF(AND(IFERROR(N(INDEX(Übersicht!$M$15:$M$22,MATCH($B2086,Übersicht!$A$15:$A$22,0))),0)&gt;1,DAY($A2086)&gt;=IFERROR(N(INDEX(Übersicht!$M$15:$M$22,MATCH($B2086,Übersicht!$A$15:$A$22,0))),0)),1,0),1))</f>
        <v/>
      </c>
    </row>
    <row r="2087">
      <c r="A2087" s="92" t="n"/>
      <c r="B2087" s="55" t="n"/>
      <c r="C2087" s="55" t="n"/>
      <c r="D2087" s="55" t="n"/>
      <c r="E2087" s="93" t="n"/>
      <c r="F2087" s="94" t="n"/>
      <c r="G2087" s="94" t="n"/>
      <c r="H2087" s="94" t="n"/>
      <c r="I2087" s="94" t="n"/>
      <c r="J2087" s="55" t="n"/>
      <c r="K2087" s="95" t="n"/>
      <c r="L2087" s="116">
        <f>IF($A2087="","",DATE(YEAR($A2087),MONTH($A2087)+IF(AND(IFERROR(N(INDEX(Übersicht!$M$15:$M$22,MATCH($B2087,Übersicht!$A$15:$A$22,0))),0)&gt;1,DAY($A2087)&gt;=IFERROR(N(INDEX(Übersicht!$M$15:$M$22,MATCH($B2087,Übersicht!$A$15:$A$22,0))),0)),1,0),1))</f>
        <v/>
      </c>
    </row>
    <row r="2088">
      <c r="A2088" s="92" t="n"/>
      <c r="B2088" s="55" t="n"/>
      <c r="C2088" s="55" t="n"/>
      <c r="D2088" s="55" t="n"/>
      <c r="E2088" s="93" t="n"/>
      <c r="F2088" s="94" t="n"/>
      <c r="G2088" s="94" t="n"/>
      <c r="H2088" s="94" t="n"/>
      <c r="I2088" s="94" t="n"/>
      <c r="J2088" s="55" t="n"/>
      <c r="K2088" s="95" t="n"/>
      <c r="L2088" s="116">
        <f>IF($A2088="","",DATE(YEAR($A2088),MONTH($A2088)+IF(AND(IFERROR(N(INDEX(Übersicht!$M$15:$M$22,MATCH($B2088,Übersicht!$A$15:$A$22,0))),0)&gt;1,DAY($A2088)&gt;=IFERROR(N(INDEX(Übersicht!$M$15:$M$22,MATCH($B2088,Übersicht!$A$15:$A$22,0))),0)),1,0),1))</f>
        <v/>
      </c>
    </row>
    <row r="2089">
      <c r="A2089" s="92" t="n"/>
      <c r="B2089" s="55" t="n"/>
      <c r="C2089" s="55" t="n"/>
      <c r="D2089" s="55" t="n"/>
      <c r="E2089" s="93" t="n"/>
      <c r="F2089" s="94" t="n"/>
      <c r="G2089" s="94" t="n"/>
      <c r="H2089" s="94" t="n"/>
      <c r="I2089" s="94" t="n"/>
      <c r="J2089" s="55" t="n"/>
      <c r="K2089" s="95" t="n"/>
      <c r="L2089" s="116">
        <f>IF($A2089="","",DATE(YEAR($A2089),MONTH($A2089)+IF(AND(IFERROR(N(INDEX(Übersicht!$M$15:$M$22,MATCH($B2089,Übersicht!$A$15:$A$22,0))),0)&gt;1,DAY($A2089)&gt;=IFERROR(N(INDEX(Übersicht!$M$15:$M$22,MATCH($B2089,Übersicht!$A$15:$A$22,0))),0)),1,0),1))</f>
        <v/>
      </c>
    </row>
    <row r="2090">
      <c r="A2090" s="92" t="n"/>
      <c r="B2090" s="55" t="n"/>
      <c r="C2090" s="55" t="n"/>
      <c r="D2090" s="55" t="n"/>
      <c r="E2090" s="93" t="n"/>
      <c r="F2090" s="94" t="n"/>
      <c r="G2090" s="94" t="n"/>
      <c r="H2090" s="94" t="n"/>
      <c r="I2090" s="94" t="n"/>
      <c r="J2090" s="55" t="n"/>
      <c r="K2090" s="95" t="n"/>
      <c r="L2090" s="116">
        <f>IF($A2090="","",DATE(YEAR($A2090),MONTH($A2090)+IF(AND(IFERROR(N(INDEX(Übersicht!$M$15:$M$22,MATCH($B2090,Übersicht!$A$15:$A$22,0))),0)&gt;1,DAY($A2090)&gt;=IFERROR(N(INDEX(Übersicht!$M$15:$M$22,MATCH($B2090,Übersicht!$A$15:$A$22,0))),0)),1,0),1))</f>
        <v/>
      </c>
    </row>
    <row r="2091">
      <c r="A2091" s="92" t="n"/>
      <c r="B2091" s="55" t="n"/>
      <c r="C2091" s="55" t="n"/>
      <c r="D2091" s="55" t="n"/>
      <c r="E2091" s="93" t="n"/>
      <c r="F2091" s="94" t="n"/>
      <c r="G2091" s="94" t="n"/>
      <c r="H2091" s="94" t="n"/>
      <c r="I2091" s="94" t="n"/>
      <c r="J2091" s="55" t="n"/>
      <c r="K2091" s="95" t="n"/>
      <c r="L2091" s="116">
        <f>IF($A2091="","",DATE(YEAR($A2091),MONTH($A2091)+IF(AND(IFERROR(N(INDEX(Übersicht!$M$15:$M$22,MATCH($B2091,Übersicht!$A$15:$A$22,0))),0)&gt;1,DAY($A2091)&gt;=IFERROR(N(INDEX(Übersicht!$M$15:$M$22,MATCH($B2091,Übersicht!$A$15:$A$22,0))),0)),1,0),1))</f>
        <v/>
      </c>
    </row>
    <row r="2092">
      <c r="A2092" s="92" t="n"/>
      <c r="B2092" s="55" t="n"/>
      <c r="C2092" s="55" t="n"/>
      <c r="D2092" s="55" t="n"/>
      <c r="E2092" s="93" t="n"/>
      <c r="F2092" s="94" t="n"/>
      <c r="G2092" s="94" t="n"/>
      <c r="H2092" s="94" t="n"/>
      <c r="I2092" s="94" t="n"/>
      <c r="J2092" s="55" t="n"/>
      <c r="K2092" s="95" t="n"/>
      <c r="L2092" s="116">
        <f>IF($A2092="","",DATE(YEAR($A2092),MONTH($A2092)+IF(AND(IFERROR(N(INDEX(Übersicht!$M$15:$M$22,MATCH($B2092,Übersicht!$A$15:$A$22,0))),0)&gt;1,DAY($A2092)&gt;=IFERROR(N(INDEX(Übersicht!$M$15:$M$22,MATCH($B2092,Übersicht!$A$15:$A$22,0))),0)),1,0),1))</f>
        <v/>
      </c>
    </row>
    <row r="2093">
      <c r="A2093" s="92" t="n"/>
      <c r="B2093" s="55" t="n"/>
      <c r="C2093" s="55" t="n"/>
      <c r="D2093" s="55" t="n"/>
      <c r="E2093" s="93" t="n"/>
      <c r="F2093" s="94" t="n"/>
      <c r="G2093" s="94" t="n"/>
      <c r="H2093" s="94" t="n"/>
      <c r="I2093" s="94" t="n"/>
      <c r="J2093" s="55" t="n"/>
      <c r="K2093" s="95" t="n"/>
      <c r="L2093" s="116">
        <f>IF($A2093="","",DATE(YEAR($A2093),MONTH($A2093)+IF(AND(IFERROR(N(INDEX(Übersicht!$M$15:$M$22,MATCH($B2093,Übersicht!$A$15:$A$22,0))),0)&gt;1,DAY($A2093)&gt;=IFERROR(N(INDEX(Übersicht!$M$15:$M$22,MATCH($B2093,Übersicht!$A$15:$A$22,0))),0)),1,0),1))</f>
        <v/>
      </c>
    </row>
    <row r="2094">
      <c r="A2094" s="92" t="n"/>
      <c r="B2094" s="55" t="n"/>
      <c r="C2094" s="55" t="n"/>
      <c r="D2094" s="55" t="n"/>
      <c r="E2094" s="93" t="n"/>
      <c r="F2094" s="94" t="n"/>
      <c r="G2094" s="94" t="n"/>
      <c r="H2094" s="94" t="n"/>
      <c r="I2094" s="94" t="n"/>
      <c r="J2094" s="55" t="n"/>
      <c r="K2094" s="95" t="n"/>
      <c r="L2094" s="116">
        <f>IF($A2094="","",DATE(YEAR($A2094),MONTH($A2094)+IF(AND(IFERROR(N(INDEX(Übersicht!$M$15:$M$22,MATCH($B2094,Übersicht!$A$15:$A$22,0))),0)&gt;1,DAY($A2094)&gt;=IFERROR(N(INDEX(Übersicht!$M$15:$M$22,MATCH($B2094,Übersicht!$A$15:$A$22,0))),0)),1,0),1))</f>
        <v/>
      </c>
    </row>
    <row r="2095">
      <c r="A2095" s="92" t="n"/>
      <c r="B2095" s="55" t="n"/>
      <c r="C2095" s="55" t="n"/>
      <c r="D2095" s="55" t="n"/>
      <c r="E2095" s="93" t="n"/>
      <c r="F2095" s="94" t="n"/>
      <c r="G2095" s="94" t="n"/>
      <c r="H2095" s="94" t="n"/>
      <c r="I2095" s="94" t="n"/>
      <c r="J2095" s="55" t="n"/>
      <c r="K2095" s="95" t="n"/>
      <c r="L2095" s="116">
        <f>IF($A2095="","",DATE(YEAR($A2095),MONTH($A2095)+IF(AND(IFERROR(N(INDEX(Übersicht!$M$15:$M$22,MATCH($B2095,Übersicht!$A$15:$A$22,0))),0)&gt;1,DAY($A2095)&gt;=IFERROR(N(INDEX(Übersicht!$M$15:$M$22,MATCH($B2095,Übersicht!$A$15:$A$22,0))),0)),1,0),1))</f>
        <v/>
      </c>
    </row>
    <row r="2096">
      <c r="A2096" s="92" t="n"/>
      <c r="B2096" s="55" t="n"/>
      <c r="C2096" s="55" t="n"/>
      <c r="D2096" s="55" t="n"/>
      <c r="E2096" s="93" t="n"/>
      <c r="F2096" s="94" t="n"/>
      <c r="G2096" s="94" t="n"/>
      <c r="H2096" s="94" t="n"/>
      <c r="I2096" s="94" t="n"/>
      <c r="J2096" s="55" t="n"/>
      <c r="K2096" s="95" t="n"/>
      <c r="L2096" s="116">
        <f>IF($A2096="","",DATE(YEAR($A2096),MONTH($A2096)+IF(AND(IFERROR(N(INDEX(Übersicht!$M$15:$M$22,MATCH($B2096,Übersicht!$A$15:$A$22,0))),0)&gt;1,DAY($A2096)&gt;=IFERROR(N(INDEX(Übersicht!$M$15:$M$22,MATCH($B2096,Übersicht!$A$15:$A$22,0))),0)),1,0),1))</f>
        <v/>
      </c>
    </row>
    <row r="2097">
      <c r="A2097" s="92" t="n"/>
      <c r="B2097" s="55" t="n"/>
      <c r="C2097" s="55" t="n"/>
      <c r="D2097" s="55" t="n"/>
      <c r="E2097" s="93" t="n"/>
      <c r="F2097" s="94" t="n"/>
      <c r="G2097" s="94" t="n"/>
      <c r="H2097" s="94" t="n"/>
      <c r="I2097" s="94" t="n"/>
      <c r="J2097" s="55" t="n"/>
      <c r="K2097" s="95" t="n"/>
      <c r="L2097" s="116">
        <f>IF($A2097="","",DATE(YEAR($A2097),MONTH($A2097)+IF(AND(IFERROR(N(INDEX(Übersicht!$M$15:$M$22,MATCH($B2097,Übersicht!$A$15:$A$22,0))),0)&gt;1,DAY($A2097)&gt;=IFERROR(N(INDEX(Übersicht!$M$15:$M$22,MATCH($B2097,Übersicht!$A$15:$A$22,0))),0)),1,0),1))</f>
        <v/>
      </c>
    </row>
    <row r="2098">
      <c r="A2098" s="92" t="n"/>
      <c r="B2098" s="55" t="n"/>
      <c r="C2098" s="55" t="n"/>
      <c r="D2098" s="55" t="n"/>
      <c r="E2098" s="93" t="n"/>
      <c r="F2098" s="94" t="n"/>
      <c r="G2098" s="94" t="n"/>
      <c r="H2098" s="94" t="n"/>
      <c r="I2098" s="94" t="n"/>
      <c r="J2098" s="55" t="n"/>
      <c r="K2098" s="95" t="n"/>
      <c r="L2098" s="116">
        <f>IF($A2098="","",DATE(YEAR($A2098),MONTH($A2098)+IF(AND(IFERROR(N(INDEX(Übersicht!$M$15:$M$22,MATCH($B2098,Übersicht!$A$15:$A$22,0))),0)&gt;1,DAY($A2098)&gt;=IFERROR(N(INDEX(Übersicht!$M$15:$M$22,MATCH($B2098,Übersicht!$A$15:$A$22,0))),0)),1,0),1))</f>
        <v/>
      </c>
    </row>
    <row r="2099">
      <c r="A2099" s="92" t="n"/>
      <c r="B2099" s="55" t="n"/>
      <c r="C2099" s="55" t="n"/>
      <c r="D2099" s="55" t="n"/>
      <c r="E2099" s="93" t="n"/>
      <c r="F2099" s="94" t="n"/>
      <c r="G2099" s="94" t="n"/>
      <c r="H2099" s="94" t="n"/>
      <c r="I2099" s="94" t="n"/>
      <c r="J2099" s="55" t="n"/>
      <c r="K2099" s="95" t="n"/>
      <c r="L2099" s="116">
        <f>IF($A2099="","",DATE(YEAR($A2099),MONTH($A2099)+IF(AND(IFERROR(N(INDEX(Übersicht!$M$15:$M$22,MATCH($B2099,Übersicht!$A$15:$A$22,0))),0)&gt;1,DAY($A2099)&gt;=IFERROR(N(INDEX(Übersicht!$M$15:$M$22,MATCH($B2099,Übersicht!$A$15:$A$22,0))),0)),1,0),1))</f>
        <v/>
      </c>
    </row>
    <row r="2100">
      <c r="A2100" s="92" t="n"/>
      <c r="B2100" s="55" t="n"/>
      <c r="C2100" s="55" t="n"/>
      <c r="D2100" s="55" t="n"/>
      <c r="E2100" s="93" t="n"/>
      <c r="F2100" s="94" t="n"/>
      <c r="G2100" s="94" t="n"/>
      <c r="H2100" s="94" t="n"/>
      <c r="I2100" s="94" t="n"/>
      <c r="J2100" s="55" t="n"/>
      <c r="K2100" s="95" t="n"/>
      <c r="L2100" s="116">
        <f>IF($A2100="","",DATE(YEAR($A2100),MONTH($A2100)+IF(AND(IFERROR(N(INDEX(Übersicht!$M$15:$M$22,MATCH($B2100,Übersicht!$A$15:$A$22,0))),0)&gt;1,DAY($A2100)&gt;=IFERROR(N(INDEX(Übersicht!$M$15:$M$22,MATCH($B2100,Übersicht!$A$15:$A$22,0))),0)),1,0),1))</f>
        <v/>
      </c>
    </row>
    <row r="2101">
      <c r="A2101" s="92" t="n"/>
      <c r="B2101" s="55" t="n"/>
      <c r="C2101" s="55" t="n"/>
      <c r="D2101" s="55" t="n"/>
      <c r="E2101" s="93" t="n"/>
      <c r="F2101" s="94" t="n"/>
      <c r="G2101" s="94" t="n"/>
      <c r="H2101" s="94" t="n"/>
      <c r="I2101" s="94" t="n"/>
      <c r="J2101" s="55" t="n"/>
      <c r="K2101" s="95" t="n"/>
      <c r="L2101" s="116">
        <f>IF($A2101="","",DATE(YEAR($A2101),MONTH($A2101)+IF(AND(IFERROR(N(INDEX(Übersicht!$M$15:$M$22,MATCH($B2101,Übersicht!$A$15:$A$22,0))),0)&gt;1,DAY($A2101)&gt;=IFERROR(N(INDEX(Übersicht!$M$15:$M$22,MATCH($B2101,Übersicht!$A$15:$A$22,0))),0)),1,0),1))</f>
        <v/>
      </c>
    </row>
    <row r="2102">
      <c r="A2102" s="92" t="n"/>
      <c r="B2102" s="55" t="n"/>
      <c r="C2102" s="55" t="n"/>
      <c r="D2102" s="55" t="n"/>
      <c r="E2102" s="93" t="n"/>
      <c r="F2102" s="94" t="n"/>
      <c r="G2102" s="94" t="n"/>
      <c r="H2102" s="94" t="n"/>
      <c r="I2102" s="94" t="n"/>
      <c r="J2102" s="55" t="n"/>
      <c r="K2102" s="95" t="n"/>
      <c r="L2102" s="116">
        <f>IF($A2102="","",DATE(YEAR($A2102),MONTH($A2102)+IF(AND(IFERROR(N(INDEX(Übersicht!$M$15:$M$22,MATCH($B2102,Übersicht!$A$15:$A$22,0))),0)&gt;1,DAY($A2102)&gt;=IFERROR(N(INDEX(Übersicht!$M$15:$M$22,MATCH($B2102,Übersicht!$A$15:$A$22,0))),0)),1,0),1))</f>
        <v/>
      </c>
    </row>
    <row r="2103">
      <c r="A2103" s="92" t="n"/>
      <c r="B2103" s="55" t="n"/>
      <c r="C2103" s="55" t="n"/>
      <c r="D2103" s="55" t="n"/>
      <c r="E2103" s="93" t="n"/>
      <c r="F2103" s="94" t="n"/>
      <c r="G2103" s="94" t="n"/>
      <c r="H2103" s="94" t="n"/>
      <c r="I2103" s="94" t="n"/>
      <c r="J2103" s="55" t="n"/>
      <c r="K2103" s="95" t="n"/>
      <c r="L2103" s="116">
        <f>IF($A2103="","",DATE(YEAR($A2103),MONTH($A2103)+IF(AND(IFERROR(N(INDEX(Übersicht!$M$15:$M$22,MATCH($B2103,Übersicht!$A$15:$A$22,0))),0)&gt;1,DAY($A2103)&gt;=IFERROR(N(INDEX(Übersicht!$M$15:$M$22,MATCH($B2103,Übersicht!$A$15:$A$22,0))),0)),1,0),1))</f>
        <v/>
      </c>
    </row>
    <row r="2104">
      <c r="A2104" s="92" t="n"/>
      <c r="B2104" s="55" t="n"/>
      <c r="C2104" s="55" t="n"/>
      <c r="D2104" s="55" t="n"/>
      <c r="E2104" s="93" t="n"/>
      <c r="F2104" s="94" t="n"/>
      <c r="G2104" s="94" t="n"/>
      <c r="H2104" s="94" t="n"/>
      <c r="I2104" s="94" t="n"/>
      <c r="J2104" s="55" t="n"/>
      <c r="K2104" s="95" t="n"/>
      <c r="L2104" s="116">
        <f>IF($A2104="","",DATE(YEAR($A2104),MONTH($A2104)+IF(AND(IFERROR(N(INDEX(Übersicht!$M$15:$M$22,MATCH($B2104,Übersicht!$A$15:$A$22,0))),0)&gt;1,DAY($A2104)&gt;=IFERROR(N(INDEX(Übersicht!$M$15:$M$22,MATCH($B2104,Übersicht!$A$15:$A$22,0))),0)),1,0),1))</f>
        <v/>
      </c>
    </row>
    <row r="2105">
      <c r="A2105" s="92" t="n"/>
      <c r="B2105" s="55" t="n"/>
      <c r="C2105" s="55" t="n"/>
      <c r="D2105" s="55" t="n"/>
      <c r="E2105" s="93" t="n"/>
      <c r="F2105" s="94" t="n"/>
      <c r="G2105" s="94" t="n"/>
      <c r="H2105" s="94" t="n"/>
      <c r="I2105" s="94" t="n"/>
      <c r="J2105" s="55" t="n"/>
      <c r="K2105" s="95" t="n"/>
      <c r="L2105" s="116">
        <f>IF($A2105="","",DATE(YEAR($A2105),MONTH($A2105)+IF(AND(IFERROR(N(INDEX(Übersicht!$M$15:$M$22,MATCH($B2105,Übersicht!$A$15:$A$22,0))),0)&gt;1,DAY($A2105)&gt;=IFERROR(N(INDEX(Übersicht!$M$15:$M$22,MATCH($B2105,Übersicht!$A$15:$A$22,0))),0)),1,0),1))</f>
        <v/>
      </c>
    </row>
    <row r="2106">
      <c r="A2106" s="92" t="n"/>
      <c r="B2106" s="55" t="n"/>
      <c r="C2106" s="55" t="n"/>
      <c r="D2106" s="55" t="n"/>
      <c r="E2106" s="93" t="n"/>
      <c r="F2106" s="94" t="n"/>
      <c r="G2106" s="94" t="n"/>
      <c r="H2106" s="94" t="n"/>
      <c r="I2106" s="94" t="n"/>
      <c r="J2106" s="55" t="n"/>
      <c r="K2106" s="95" t="n"/>
      <c r="L2106" s="116">
        <f>IF($A2106="","",DATE(YEAR($A2106),MONTH($A2106)+IF(AND(IFERROR(N(INDEX(Übersicht!$M$15:$M$22,MATCH($B2106,Übersicht!$A$15:$A$22,0))),0)&gt;1,DAY($A2106)&gt;=IFERROR(N(INDEX(Übersicht!$M$15:$M$22,MATCH($B2106,Übersicht!$A$15:$A$22,0))),0)),1,0),1))</f>
        <v/>
      </c>
    </row>
    <row r="2107">
      <c r="A2107" s="92" t="n"/>
      <c r="B2107" s="55" t="n"/>
      <c r="C2107" s="55" t="n"/>
      <c r="D2107" s="55" t="n"/>
      <c r="E2107" s="93" t="n"/>
      <c r="F2107" s="94" t="n"/>
      <c r="G2107" s="94" t="n"/>
      <c r="H2107" s="94" t="n"/>
      <c r="I2107" s="94" t="n"/>
      <c r="J2107" s="55" t="n"/>
      <c r="K2107" s="95" t="n"/>
      <c r="L2107" s="116">
        <f>IF($A2107="","",DATE(YEAR($A2107),MONTH($A2107)+IF(AND(IFERROR(N(INDEX(Übersicht!$M$15:$M$22,MATCH($B2107,Übersicht!$A$15:$A$22,0))),0)&gt;1,DAY($A2107)&gt;=IFERROR(N(INDEX(Übersicht!$M$15:$M$22,MATCH($B2107,Übersicht!$A$15:$A$22,0))),0)),1,0),1))</f>
        <v/>
      </c>
    </row>
    <row r="2108">
      <c r="A2108" s="92" t="n"/>
      <c r="B2108" s="55" t="n"/>
      <c r="C2108" s="55" t="n"/>
      <c r="D2108" s="55" t="n"/>
      <c r="E2108" s="93" t="n"/>
      <c r="F2108" s="94" t="n"/>
      <c r="G2108" s="94" t="n"/>
      <c r="H2108" s="94" t="n"/>
      <c r="I2108" s="94" t="n"/>
      <c r="J2108" s="55" t="n"/>
      <c r="K2108" s="95" t="n"/>
      <c r="L2108" s="116">
        <f>IF($A2108="","",DATE(YEAR($A2108),MONTH($A2108)+IF(AND(IFERROR(N(INDEX(Übersicht!$M$15:$M$22,MATCH($B2108,Übersicht!$A$15:$A$22,0))),0)&gt;1,DAY($A2108)&gt;=IFERROR(N(INDEX(Übersicht!$M$15:$M$22,MATCH($B2108,Übersicht!$A$15:$A$22,0))),0)),1,0),1))</f>
        <v/>
      </c>
    </row>
    <row r="2109">
      <c r="A2109" s="92" t="n"/>
      <c r="B2109" s="55" t="n"/>
      <c r="C2109" s="55" t="n"/>
      <c r="D2109" s="55" t="n"/>
      <c r="E2109" s="93" t="n"/>
      <c r="F2109" s="94" t="n"/>
      <c r="G2109" s="94" t="n"/>
      <c r="H2109" s="94" t="n"/>
      <c r="I2109" s="94" t="n"/>
      <c r="J2109" s="55" t="n"/>
      <c r="K2109" s="95" t="n"/>
      <c r="L2109" s="116">
        <f>IF($A2109="","",DATE(YEAR($A2109),MONTH($A2109)+IF(AND(IFERROR(N(INDEX(Übersicht!$M$15:$M$22,MATCH($B2109,Übersicht!$A$15:$A$22,0))),0)&gt;1,DAY($A2109)&gt;=IFERROR(N(INDEX(Übersicht!$M$15:$M$22,MATCH($B2109,Übersicht!$A$15:$A$22,0))),0)),1,0),1))</f>
        <v/>
      </c>
    </row>
    <row r="2110">
      <c r="A2110" s="92" t="n"/>
      <c r="B2110" s="55" t="n"/>
      <c r="C2110" s="55" t="n"/>
      <c r="D2110" s="55" t="n"/>
      <c r="E2110" s="93" t="n"/>
      <c r="F2110" s="94" t="n"/>
      <c r="G2110" s="94" t="n"/>
      <c r="H2110" s="94" t="n"/>
      <c r="I2110" s="94" t="n"/>
      <c r="J2110" s="55" t="n"/>
      <c r="K2110" s="95" t="n"/>
      <c r="L2110" s="116">
        <f>IF($A2110="","",DATE(YEAR($A2110),MONTH($A2110)+IF(AND(IFERROR(N(INDEX(Übersicht!$M$15:$M$22,MATCH($B2110,Übersicht!$A$15:$A$22,0))),0)&gt;1,DAY($A2110)&gt;=IFERROR(N(INDEX(Übersicht!$M$15:$M$22,MATCH($B2110,Übersicht!$A$15:$A$22,0))),0)),1,0),1))</f>
        <v/>
      </c>
    </row>
    <row r="2111">
      <c r="A2111" s="92" t="n"/>
      <c r="B2111" s="55" t="n"/>
      <c r="C2111" s="55" t="n"/>
      <c r="D2111" s="55" t="n"/>
      <c r="E2111" s="93" t="n"/>
      <c r="F2111" s="94" t="n"/>
      <c r="G2111" s="94" t="n"/>
      <c r="H2111" s="94" t="n"/>
      <c r="I2111" s="94" t="n"/>
      <c r="J2111" s="55" t="n"/>
      <c r="K2111" s="95" t="n"/>
      <c r="L2111" s="116">
        <f>IF($A2111="","",DATE(YEAR($A2111),MONTH($A2111)+IF(AND(IFERROR(N(INDEX(Übersicht!$M$15:$M$22,MATCH($B2111,Übersicht!$A$15:$A$22,0))),0)&gt;1,DAY($A2111)&gt;=IFERROR(N(INDEX(Übersicht!$M$15:$M$22,MATCH($B2111,Übersicht!$A$15:$A$22,0))),0)),1,0),1))</f>
        <v/>
      </c>
    </row>
    <row r="2112">
      <c r="A2112" s="92" t="n"/>
      <c r="B2112" s="55" t="n"/>
      <c r="C2112" s="55" t="n"/>
      <c r="D2112" s="55" t="n"/>
      <c r="E2112" s="93" t="n"/>
      <c r="F2112" s="94" t="n"/>
      <c r="G2112" s="94" t="n"/>
      <c r="H2112" s="94" t="n"/>
      <c r="I2112" s="94" t="n"/>
      <c r="J2112" s="55" t="n"/>
      <c r="K2112" s="95" t="n"/>
      <c r="L2112" s="116">
        <f>IF($A2112="","",DATE(YEAR($A2112),MONTH($A2112)+IF(AND(IFERROR(N(INDEX(Übersicht!$M$15:$M$22,MATCH($B2112,Übersicht!$A$15:$A$22,0))),0)&gt;1,DAY($A2112)&gt;=IFERROR(N(INDEX(Übersicht!$M$15:$M$22,MATCH($B2112,Übersicht!$A$15:$A$22,0))),0)),1,0),1))</f>
        <v/>
      </c>
    </row>
    <row r="2113">
      <c r="A2113" s="92" t="n"/>
      <c r="B2113" s="55" t="n"/>
      <c r="C2113" s="55" t="n"/>
      <c r="D2113" s="55" t="n"/>
      <c r="E2113" s="93" t="n"/>
      <c r="F2113" s="94" t="n"/>
      <c r="G2113" s="94" t="n"/>
      <c r="H2113" s="94" t="n"/>
      <c r="I2113" s="94" t="n"/>
      <c r="J2113" s="55" t="n"/>
      <c r="K2113" s="95" t="n"/>
      <c r="L2113" s="116">
        <f>IF($A2113="","",DATE(YEAR($A2113),MONTH($A2113)+IF(AND(IFERROR(N(INDEX(Übersicht!$M$15:$M$22,MATCH($B2113,Übersicht!$A$15:$A$22,0))),0)&gt;1,DAY($A2113)&gt;=IFERROR(N(INDEX(Übersicht!$M$15:$M$22,MATCH($B2113,Übersicht!$A$15:$A$22,0))),0)),1,0),1))</f>
        <v/>
      </c>
    </row>
    <row r="2114">
      <c r="A2114" s="92" t="n"/>
      <c r="B2114" s="55" t="n"/>
      <c r="C2114" s="55" t="n"/>
      <c r="D2114" s="55" t="n"/>
      <c r="E2114" s="93" t="n"/>
      <c r="F2114" s="94" t="n"/>
      <c r="G2114" s="94" t="n"/>
      <c r="H2114" s="94" t="n"/>
      <c r="I2114" s="94" t="n"/>
      <c r="J2114" s="55" t="n"/>
      <c r="K2114" s="95" t="n"/>
      <c r="L2114" s="116">
        <f>IF($A2114="","",DATE(YEAR($A2114),MONTH($A2114)+IF(AND(IFERROR(N(INDEX(Übersicht!$M$15:$M$22,MATCH($B2114,Übersicht!$A$15:$A$22,0))),0)&gt;1,DAY($A2114)&gt;=IFERROR(N(INDEX(Übersicht!$M$15:$M$22,MATCH($B2114,Übersicht!$A$15:$A$22,0))),0)),1,0),1))</f>
        <v/>
      </c>
    </row>
    <row r="2115">
      <c r="A2115" s="92" t="n"/>
      <c r="B2115" s="55" t="n"/>
      <c r="C2115" s="55" t="n"/>
      <c r="D2115" s="55" t="n"/>
      <c r="E2115" s="93" t="n"/>
      <c r="F2115" s="94" t="n"/>
      <c r="G2115" s="94" t="n"/>
      <c r="H2115" s="94" t="n"/>
      <c r="I2115" s="94" t="n"/>
      <c r="J2115" s="55" t="n"/>
      <c r="K2115" s="95" t="n"/>
      <c r="L2115" s="116">
        <f>IF($A2115="","",DATE(YEAR($A2115),MONTH($A2115)+IF(AND(IFERROR(N(INDEX(Übersicht!$M$15:$M$22,MATCH($B2115,Übersicht!$A$15:$A$22,0))),0)&gt;1,DAY($A2115)&gt;=IFERROR(N(INDEX(Übersicht!$M$15:$M$22,MATCH($B2115,Übersicht!$A$15:$A$22,0))),0)),1,0),1))</f>
        <v/>
      </c>
    </row>
    <row r="2116">
      <c r="A2116" s="92" t="n"/>
      <c r="B2116" s="55" t="n"/>
      <c r="C2116" s="55" t="n"/>
      <c r="D2116" s="55" t="n"/>
      <c r="E2116" s="93" t="n"/>
      <c r="F2116" s="94" t="n"/>
      <c r="G2116" s="94" t="n"/>
      <c r="H2116" s="94" t="n"/>
      <c r="I2116" s="94" t="n"/>
      <c r="J2116" s="55" t="n"/>
      <c r="K2116" s="95" t="n"/>
      <c r="L2116" s="116">
        <f>IF($A2116="","",DATE(YEAR($A2116),MONTH($A2116)+IF(AND(IFERROR(N(INDEX(Übersicht!$M$15:$M$22,MATCH($B2116,Übersicht!$A$15:$A$22,0))),0)&gt;1,DAY($A2116)&gt;=IFERROR(N(INDEX(Übersicht!$M$15:$M$22,MATCH($B2116,Übersicht!$A$15:$A$22,0))),0)),1,0),1))</f>
        <v/>
      </c>
    </row>
    <row r="2117">
      <c r="A2117" s="92" t="n"/>
      <c r="B2117" s="55" t="n"/>
      <c r="C2117" s="55" t="n"/>
      <c r="D2117" s="55" t="n"/>
      <c r="E2117" s="93" t="n"/>
      <c r="F2117" s="94" t="n"/>
      <c r="G2117" s="94" t="n"/>
      <c r="H2117" s="94" t="n"/>
      <c r="I2117" s="94" t="n"/>
      <c r="J2117" s="55" t="n"/>
      <c r="K2117" s="95" t="n"/>
      <c r="L2117" s="116">
        <f>IF($A2117="","",DATE(YEAR($A2117),MONTH($A2117)+IF(AND(IFERROR(N(INDEX(Übersicht!$M$15:$M$22,MATCH($B2117,Übersicht!$A$15:$A$22,0))),0)&gt;1,DAY($A2117)&gt;=IFERROR(N(INDEX(Übersicht!$M$15:$M$22,MATCH($B2117,Übersicht!$A$15:$A$22,0))),0)),1,0),1))</f>
        <v/>
      </c>
    </row>
    <row r="2118">
      <c r="A2118" s="92" t="n"/>
      <c r="B2118" s="55" t="n"/>
      <c r="C2118" s="55" t="n"/>
      <c r="D2118" s="55" t="n"/>
      <c r="E2118" s="93" t="n"/>
      <c r="F2118" s="94" t="n"/>
      <c r="G2118" s="94" t="n"/>
      <c r="H2118" s="94" t="n"/>
      <c r="I2118" s="94" t="n"/>
      <c r="J2118" s="55" t="n"/>
      <c r="K2118" s="95" t="n"/>
      <c r="L2118" s="116">
        <f>IF($A2118="","",DATE(YEAR($A2118),MONTH($A2118)+IF(AND(IFERROR(N(INDEX(Übersicht!$M$15:$M$22,MATCH($B2118,Übersicht!$A$15:$A$22,0))),0)&gt;1,DAY($A2118)&gt;=IFERROR(N(INDEX(Übersicht!$M$15:$M$22,MATCH($B2118,Übersicht!$A$15:$A$22,0))),0)),1,0),1))</f>
        <v/>
      </c>
    </row>
    <row r="2119">
      <c r="A2119" s="92" t="n"/>
      <c r="B2119" s="55" t="n"/>
      <c r="C2119" s="55" t="n"/>
      <c r="D2119" s="55" t="n"/>
      <c r="E2119" s="93" t="n"/>
      <c r="F2119" s="94" t="n"/>
      <c r="G2119" s="94" t="n"/>
      <c r="H2119" s="94" t="n"/>
      <c r="I2119" s="94" t="n"/>
      <c r="J2119" s="55" t="n"/>
      <c r="K2119" s="95" t="n"/>
      <c r="L2119" s="116">
        <f>IF($A2119="","",DATE(YEAR($A2119),MONTH($A2119)+IF(AND(IFERROR(N(INDEX(Übersicht!$M$15:$M$22,MATCH($B2119,Übersicht!$A$15:$A$22,0))),0)&gt;1,DAY($A2119)&gt;=IFERROR(N(INDEX(Übersicht!$M$15:$M$22,MATCH($B2119,Übersicht!$A$15:$A$22,0))),0)),1,0),1))</f>
        <v/>
      </c>
    </row>
    <row r="2120">
      <c r="A2120" s="92" t="n"/>
      <c r="B2120" s="55" t="n"/>
      <c r="C2120" s="55" t="n"/>
      <c r="D2120" s="55" t="n"/>
      <c r="E2120" s="93" t="n"/>
      <c r="F2120" s="94" t="n"/>
      <c r="G2120" s="94" t="n"/>
      <c r="H2120" s="94" t="n"/>
      <c r="I2120" s="94" t="n"/>
      <c r="J2120" s="55" t="n"/>
      <c r="K2120" s="95" t="n"/>
      <c r="L2120" s="116">
        <f>IF($A2120="","",DATE(YEAR($A2120),MONTH($A2120)+IF(AND(IFERROR(N(INDEX(Übersicht!$M$15:$M$22,MATCH($B2120,Übersicht!$A$15:$A$22,0))),0)&gt;1,DAY($A2120)&gt;=IFERROR(N(INDEX(Übersicht!$M$15:$M$22,MATCH($B2120,Übersicht!$A$15:$A$22,0))),0)),1,0),1))</f>
        <v/>
      </c>
    </row>
    <row r="2121">
      <c r="A2121" s="92" t="n"/>
      <c r="B2121" s="55" t="n"/>
      <c r="C2121" s="55" t="n"/>
      <c r="D2121" s="55" t="n"/>
      <c r="E2121" s="93" t="n"/>
      <c r="F2121" s="94" t="n"/>
      <c r="G2121" s="94" t="n"/>
      <c r="H2121" s="94" t="n"/>
      <c r="I2121" s="94" t="n"/>
      <c r="J2121" s="55" t="n"/>
      <c r="K2121" s="95" t="n"/>
      <c r="L2121" s="116">
        <f>IF($A2121="","",DATE(YEAR($A2121),MONTH($A2121)+IF(AND(IFERROR(N(INDEX(Übersicht!$M$15:$M$22,MATCH($B2121,Übersicht!$A$15:$A$22,0))),0)&gt;1,DAY($A2121)&gt;=IFERROR(N(INDEX(Übersicht!$M$15:$M$22,MATCH($B2121,Übersicht!$A$15:$A$22,0))),0)),1,0),1))</f>
        <v/>
      </c>
    </row>
    <row r="2122">
      <c r="A2122" s="92" t="n"/>
      <c r="B2122" s="55" t="n"/>
      <c r="C2122" s="55" t="n"/>
      <c r="D2122" s="55" t="n"/>
      <c r="E2122" s="93" t="n"/>
      <c r="F2122" s="94" t="n"/>
      <c r="G2122" s="94" t="n"/>
      <c r="H2122" s="94" t="n"/>
      <c r="I2122" s="94" t="n"/>
      <c r="J2122" s="55" t="n"/>
      <c r="K2122" s="95" t="n"/>
      <c r="L2122" s="116">
        <f>IF($A2122="","",DATE(YEAR($A2122),MONTH($A2122)+IF(AND(IFERROR(N(INDEX(Übersicht!$M$15:$M$22,MATCH($B2122,Übersicht!$A$15:$A$22,0))),0)&gt;1,DAY($A2122)&gt;=IFERROR(N(INDEX(Übersicht!$M$15:$M$22,MATCH($B2122,Übersicht!$A$15:$A$22,0))),0)),1,0),1))</f>
        <v/>
      </c>
    </row>
    <row r="2123">
      <c r="A2123" s="92" t="n"/>
      <c r="B2123" s="55" t="n"/>
      <c r="C2123" s="55" t="n"/>
      <c r="D2123" s="55" t="n"/>
      <c r="E2123" s="93" t="n"/>
      <c r="F2123" s="94" t="n"/>
      <c r="G2123" s="94" t="n"/>
      <c r="H2123" s="94" t="n"/>
      <c r="I2123" s="94" t="n"/>
      <c r="J2123" s="55" t="n"/>
      <c r="K2123" s="95" t="n"/>
      <c r="L2123" s="116">
        <f>IF($A2123="","",DATE(YEAR($A2123),MONTH($A2123)+IF(AND(IFERROR(N(INDEX(Übersicht!$M$15:$M$22,MATCH($B2123,Übersicht!$A$15:$A$22,0))),0)&gt;1,DAY($A2123)&gt;=IFERROR(N(INDEX(Übersicht!$M$15:$M$22,MATCH($B2123,Übersicht!$A$15:$A$22,0))),0)),1,0),1))</f>
        <v/>
      </c>
    </row>
    <row r="2124">
      <c r="A2124" s="92" t="n"/>
      <c r="B2124" s="55" t="n"/>
      <c r="C2124" s="55" t="n"/>
      <c r="D2124" s="55" t="n"/>
      <c r="E2124" s="93" t="n"/>
      <c r="F2124" s="94" t="n"/>
      <c r="G2124" s="94" t="n"/>
      <c r="H2124" s="94" t="n"/>
      <c r="I2124" s="94" t="n"/>
      <c r="J2124" s="55" t="n"/>
      <c r="K2124" s="95" t="n"/>
      <c r="L2124" s="116">
        <f>IF($A2124="","",DATE(YEAR($A2124),MONTH($A2124)+IF(AND(IFERROR(N(INDEX(Übersicht!$M$15:$M$22,MATCH($B2124,Übersicht!$A$15:$A$22,0))),0)&gt;1,DAY($A2124)&gt;=IFERROR(N(INDEX(Übersicht!$M$15:$M$22,MATCH($B2124,Übersicht!$A$15:$A$22,0))),0)),1,0),1))</f>
        <v/>
      </c>
    </row>
    <row r="2125">
      <c r="A2125" s="92" t="n"/>
      <c r="B2125" s="55" t="n"/>
      <c r="C2125" s="55" t="n"/>
      <c r="D2125" s="55" t="n"/>
      <c r="E2125" s="93" t="n"/>
      <c r="F2125" s="94" t="n"/>
      <c r="G2125" s="94" t="n"/>
      <c r="H2125" s="94" t="n"/>
      <c r="I2125" s="94" t="n"/>
      <c r="J2125" s="55" t="n"/>
      <c r="K2125" s="95" t="n"/>
      <c r="L2125" s="116">
        <f>IF($A2125="","",DATE(YEAR($A2125),MONTH($A2125)+IF(AND(IFERROR(N(INDEX(Übersicht!$M$15:$M$22,MATCH($B2125,Übersicht!$A$15:$A$22,0))),0)&gt;1,DAY($A2125)&gt;=IFERROR(N(INDEX(Übersicht!$M$15:$M$22,MATCH($B2125,Übersicht!$A$15:$A$22,0))),0)),1,0),1))</f>
        <v/>
      </c>
    </row>
    <row r="2126">
      <c r="A2126" s="92" t="n"/>
      <c r="B2126" s="55" t="n"/>
      <c r="C2126" s="55" t="n"/>
      <c r="D2126" s="55" t="n"/>
      <c r="E2126" s="93" t="n"/>
      <c r="F2126" s="94" t="n"/>
      <c r="G2126" s="94" t="n"/>
      <c r="H2126" s="94" t="n"/>
      <c r="I2126" s="94" t="n"/>
      <c r="J2126" s="55" t="n"/>
      <c r="K2126" s="95" t="n"/>
      <c r="L2126" s="116">
        <f>IF($A2126="","",DATE(YEAR($A2126),MONTH($A2126)+IF(AND(IFERROR(N(INDEX(Übersicht!$M$15:$M$22,MATCH($B2126,Übersicht!$A$15:$A$22,0))),0)&gt;1,DAY($A2126)&gt;=IFERROR(N(INDEX(Übersicht!$M$15:$M$22,MATCH($B2126,Übersicht!$A$15:$A$22,0))),0)),1,0),1))</f>
        <v/>
      </c>
    </row>
    <row r="2127">
      <c r="A2127" s="92" t="n"/>
      <c r="B2127" s="55" t="n"/>
      <c r="C2127" s="55" t="n"/>
      <c r="D2127" s="55" t="n"/>
      <c r="E2127" s="93" t="n"/>
      <c r="F2127" s="94" t="n"/>
      <c r="G2127" s="94" t="n"/>
      <c r="H2127" s="94" t="n"/>
      <c r="I2127" s="94" t="n"/>
      <c r="J2127" s="55" t="n"/>
      <c r="K2127" s="95" t="n"/>
      <c r="L2127" s="116">
        <f>IF($A2127="","",DATE(YEAR($A2127),MONTH($A2127)+IF(AND(IFERROR(N(INDEX(Übersicht!$M$15:$M$22,MATCH($B2127,Übersicht!$A$15:$A$22,0))),0)&gt;1,DAY($A2127)&gt;=IFERROR(N(INDEX(Übersicht!$M$15:$M$22,MATCH($B2127,Übersicht!$A$15:$A$22,0))),0)),1,0),1))</f>
        <v/>
      </c>
    </row>
    <row r="2128">
      <c r="A2128" s="92" t="n"/>
      <c r="B2128" s="55" t="n"/>
      <c r="C2128" s="55" t="n"/>
      <c r="D2128" s="55" t="n"/>
      <c r="E2128" s="93" t="n"/>
      <c r="F2128" s="94" t="n"/>
      <c r="G2128" s="94" t="n"/>
      <c r="H2128" s="94" t="n"/>
      <c r="I2128" s="94" t="n"/>
      <c r="J2128" s="55" t="n"/>
      <c r="K2128" s="95" t="n"/>
      <c r="L2128" s="116">
        <f>IF($A2128="","",DATE(YEAR($A2128),MONTH($A2128)+IF(AND(IFERROR(N(INDEX(Übersicht!$M$15:$M$22,MATCH($B2128,Übersicht!$A$15:$A$22,0))),0)&gt;1,DAY($A2128)&gt;=IFERROR(N(INDEX(Übersicht!$M$15:$M$22,MATCH($B2128,Übersicht!$A$15:$A$22,0))),0)),1,0),1))</f>
        <v/>
      </c>
    </row>
    <row r="2129">
      <c r="A2129" s="92" t="n"/>
      <c r="B2129" s="55" t="n"/>
      <c r="C2129" s="55" t="n"/>
      <c r="D2129" s="55" t="n"/>
      <c r="E2129" s="93" t="n"/>
      <c r="F2129" s="94" t="n"/>
      <c r="G2129" s="94" t="n"/>
      <c r="H2129" s="94" t="n"/>
      <c r="I2129" s="94" t="n"/>
      <c r="J2129" s="55" t="n"/>
      <c r="K2129" s="95" t="n"/>
      <c r="L2129" s="116">
        <f>IF($A2129="","",DATE(YEAR($A2129),MONTH($A2129)+IF(AND(IFERROR(N(INDEX(Übersicht!$M$15:$M$22,MATCH($B2129,Übersicht!$A$15:$A$22,0))),0)&gt;1,DAY($A2129)&gt;=IFERROR(N(INDEX(Übersicht!$M$15:$M$22,MATCH($B2129,Übersicht!$A$15:$A$22,0))),0)),1,0),1))</f>
        <v/>
      </c>
    </row>
    <row r="2130">
      <c r="A2130" s="92" t="n"/>
      <c r="B2130" s="55" t="n"/>
      <c r="C2130" s="55" t="n"/>
      <c r="D2130" s="55" t="n"/>
      <c r="E2130" s="93" t="n"/>
      <c r="F2130" s="94" t="n"/>
      <c r="G2130" s="94" t="n"/>
      <c r="H2130" s="94" t="n"/>
      <c r="I2130" s="94" t="n"/>
      <c r="J2130" s="55" t="n"/>
      <c r="K2130" s="95" t="n"/>
      <c r="L2130" s="116">
        <f>IF($A2130="","",DATE(YEAR($A2130),MONTH($A2130)+IF(AND(IFERROR(N(INDEX(Übersicht!$M$15:$M$22,MATCH($B2130,Übersicht!$A$15:$A$22,0))),0)&gt;1,DAY($A2130)&gt;=IFERROR(N(INDEX(Übersicht!$M$15:$M$22,MATCH($B2130,Übersicht!$A$15:$A$22,0))),0)),1,0),1))</f>
        <v/>
      </c>
    </row>
    <row r="2131">
      <c r="A2131" s="92" t="n"/>
      <c r="B2131" s="55" t="n"/>
      <c r="C2131" s="55" t="n"/>
      <c r="D2131" s="55" t="n"/>
      <c r="E2131" s="93" t="n"/>
      <c r="F2131" s="94" t="n"/>
      <c r="G2131" s="94" t="n"/>
      <c r="H2131" s="94" t="n"/>
      <c r="I2131" s="94" t="n"/>
      <c r="J2131" s="55" t="n"/>
      <c r="K2131" s="95" t="n"/>
      <c r="L2131" s="116">
        <f>IF($A2131="","",DATE(YEAR($A2131),MONTH($A2131)+IF(AND(IFERROR(N(INDEX(Übersicht!$M$15:$M$22,MATCH($B2131,Übersicht!$A$15:$A$22,0))),0)&gt;1,DAY($A2131)&gt;=IFERROR(N(INDEX(Übersicht!$M$15:$M$22,MATCH($B2131,Übersicht!$A$15:$A$22,0))),0)),1,0),1))</f>
        <v/>
      </c>
    </row>
    <row r="2132">
      <c r="A2132" s="92" t="n"/>
      <c r="B2132" s="55" t="n"/>
      <c r="C2132" s="55" t="n"/>
      <c r="D2132" s="55" t="n"/>
      <c r="E2132" s="93" t="n"/>
      <c r="F2132" s="94" t="n"/>
      <c r="G2132" s="94" t="n"/>
      <c r="H2132" s="94" t="n"/>
      <c r="I2132" s="94" t="n"/>
      <c r="J2132" s="55" t="n"/>
      <c r="K2132" s="95" t="n"/>
      <c r="L2132" s="116">
        <f>IF($A2132="","",DATE(YEAR($A2132),MONTH($A2132)+IF(AND(IFERROR(N(INDEX(Übersicht!$M$15:$M$22,MATCH($B2132,Übersicht!$A$15:$A$22,0))),0)&gt;1,DAY($A2132)&gt;=IFERROR(N(INDEX(Übersicht!$M$15:$M$22,MATCH($B2132,Übersicht!$A$15:$A$22,0))),0)),1,0),1))</f>
        <v/>
      </c>
    </row>
    <row r="2133">
      <c r="A2133" s="92" t="n"/>
      <c r="B2133" s="55" t="n"/>
      <c r="C2133" s="55" t="n"/>
      <c r="D2133" s="55" t="n"/>
      <c r="E2133" s="93" t="n"/>
      <c r="F2133" s="94" t="n"/>
      <c r="G2133" s="94" t="n"/>
      <c r="H2133" s="94" t="n"/>
      <c r="I2133" s="94" t="n"/>
      <c r="J2133" s="55" t="n"/>
      <c r="K2133" s="95" t="n"/>
      <c r="L2133" s="116">
        <f>IF($A2133="","",DATE(YEAR($A2133),MONTH($A2133)+IF(AND(IFERROR(N(INDEX(Übersicht!$M$15:$M$22,MATCH($B2133,Übersicht!$A$15:$A$22,0))),0)&gt;1,DAY($A2133)&gt;=IFERROR(N(INDEX(Übersicht!$M$15:$M$22,MATCH($B2133,Übersicht!$A$15:$A$22,0))),0)),1,0),1))</f>
        <v/>
      </c>
    </row>
    <row r="2134">
      <c r="A2134" s="92" t="n"/>
      <c r="B2134" s="55" t="n"/>
      <c r="C2134" s="55" t="n"/>
      <c r="D2134" s="55" t="n"/>
      <c r="E2134" s="93" t="n"/>
      <c r="F2134" s="94" t="n"/>
      <c r="G2134" s="94" t="n"/>
      <c r="H2134" s="94" t="n"/>
      <c r="I2134" s="94" t="n"/>
      <c r="J2134" s="55" t="n"/>
      <c r="K2134" s="95" t="n"/>
      <c r="L2134" s="116">
        <f>IF($A2134="","",DATE(YEAR($A2134),MONTH($A2134)+IF(AND(IFERROR(N(INDEX(Übersicht!$M$15:$M$22,MATCH($B2134,Übersicht!$A$15:$A$22,0))),0)&gt;1,DAY($A2134)&gt;=IFERROR(N(INDEX(Übersicht!$M$15:$M$22,MATCH($B2134,Übersicht!$A$15:$A$22,0))),0)),1,0),1))</f>
        <v/>
      </c>
    </row>
    <row r="2135">
      <c r="A2135" s="92" t="n"/>
      <c r="B2135" s="55" t="n"/>
      <c r="C2135" s="55" t="n"/>
      <c r="D2135" s="55" t="n"/>
      <c r="E2135" s="93" t="n"/>
      <c r="F2135" s="94" t="n"/>
      <c r="G2135" s="94" t="n"/>
      <c r="H2135" s="94" t="n"/>
      <c r="I2135" s="94" t="n"/>
      <c r="J2135" s="55" t="n"/>
      <c r="K2135" s="95" t="n"/>
      <c r="L2135" s="116">
        <f>IF($A2135="","",DATE(YEAR($A2135),MONTH($A2135)+IF(AND(IFERROR(N(INDEX(Übersicht!$M$15:$M$22,MATCH($B2135,Übersicht!$A$15:$A$22,0))),0)&gt;1,DAY($A2135)&gt;=IFERROR(N(INDEX(Übersicht!$M$15:$M$22,MATCH($B2135,Übersicht!$A$15:$A$22,0))),0)),1,0),1))</f>
        <v/>
      </c>
    </row>
    <row r="2136">
      <c r="A2136" s="92" t="n"/>
      <c r="B2136" s="55" t="n"/>
      <c r="C2136" s="55" t="n"/>
      <c r="D2136" s="55" t="n"/>
      <c r="E2136" s="93" t="n"/>
      <c r="F2136" s="94" t="n"/>
      <c r="G2136" s="94" t="n"/>
      <c r="H2136" s="94" t="n"/>
      <c r="I2136" s="94" t="n"/>
      <c r="J2136" s="55" t="n"/>
      <c r="K2136" s="95" t="n"/>
      <c r="L2136" s="116">
        <f>IF($A2136="","",DATE(YEAR($A2136),MONTH($A2136)+IF(AND(IFERROR(N(INDEX(Übersicht!$M$15:$M$22,MATCH($B2136,Übersicht!$A$15:$A$22,0))),0)&gt;1,DAY($A2136)&gt;=IFERROR(N(INDEX(Übersicht!$M$15:$M$22,MATCH($B2136,Übersicht!$A$15:$A$22,0))),0)),1,0),1))</f>
        <v/>
      </c>
    </row>
    <row r="2137">
      <c r="A2137" s="92" t="n"/>
      <c r="B2137" s="55" t="n"/>
      <c r="C2137" s="55" t="n"/>
      <c r="D2137" s="55" t="n"/>
      <c r="E2137" s="93" t="n"/>
      <c r="F2137" s="94" t="n"/>
      <c r="G2137" s="94" t="n"/>
      <c r="H2137" s="94" t="n"/>
      <c r="I2137" s="94" t="n"/>
      <c r="J2137" s="55" t="n"/>
      <c r="K2137" s="95" t="n"/>
      <c r="L2137" s="116">
        <f>IF($A2137="","",DATE(YEAR($A2137),MONTH($A2137)+IF(AND(IFERROR(N(INDEX(Übersicht!$M$15:$M$22,MATCH($B2137,Übersicht!$A$15:$A$22,0))),0)&gt;1,DAY($A2137)&gt;=IFERROR(N(INDEX(Übersicht!$M$15:$M$22,MATCH($B2137,Übersicht!$A$15:$A$22,0))),0)),1,0),1))</f>
        <v/>
      </c>
    </row>
    <row r="2138">
      <c r="A2138" s="92" t="n"/>
      <c r="B2138" s="55" t="n"/>
      <c r="C2138" s="55" t="n"/>
      <c r="D2138" s="55" t="n"/>
      <c r="E2138" s="93" t="n"/>
      <c r="F2138" s="94" t="n"/>
      <c r="G2138" s="94" t="n"/>
      <c r="H2138" s="94" t="n"/>
      <c r="I2138" s="94" t="n"/>
      <c r="J2138" s="55" t="n"/>
      <c r="K2138" s="95" t="n"/>
      <c r="L2138" s="116">
        <f>IF($A2138="","",DATE(YEAR($A2138),MONTH($A2138)+IF(AND(IFERROR(N(INDEX(Übersicht!$M$15:$M$22,MATCH($B2138,Übersicht!$A$15:$A$22,0))),0)&gt;1,DAY($A2138)&gt;=IFERROR(N(INDEX(Übersicht!$M$15:$M$22,MATCH($B2138,Übersicht!$A$15:$A$22,0))),0)),1,0),1))</f>
        <v/>
      </c>
    </row>
    <row r="2139">
      <c r="A2139" s="92" t="n"/>
      <c r="B2139" s="55" t="n"/>
      <c r="C2139" s="55" t="n"/>
      <c r="D2139" s="55" t="n"/>
      <c r="E2139" s="93" t="n"/>
      <c r="F2139" s="94" t="n"/>
      <c r="G2139" s="94" t="n"/>
      <c r="H2139" s="94" t="n"/>
      <c r="I2139" s="94" t="n"/>
      <c r="J2139" s="55" t="n"/>
      <c r="K2139" s="95" t="n"/>
      <c r="L2139" s="116">
        <f>IF($A2139="","",DATE(YEAR($A2139),MONTH($A2139)+IF(AND(IFERROR(N(INDEX(Übersicht!$M$15:$M$22,MATCH($B2139,Übersicht!$A$15:$A$22,0))),0)&gt;1,DAY($A2139)&gt;=IFERROR(N(INDEX(Übersicht!$M$15:$M$22,MATCH($B2139,Übersicht!$A$15:$A$22,0))),0)),1,0),1))</f>
        <v/>
      </c>
    </row>
    <row r="2140">
      <c r="A2140" s="92" t="n"/>
      <c r="B2140" s="55" t="n"/>
      <c r="C2140" s="55" t="n"/>
      <c r="D2140" s="55" t="n"/>
      <c r="E2140" s="93" t="n"/>
      <c r="F2140" s="94" t="n"/>
      <c r="G2140" s="94" t="n"/>
      <c r="H2140" s="94" t="n"/>
      <c r="I2140" s="94" t="n"/>
      <c r="J2140" s="55" t="n"/>
      <c r="K2140" s="95" t="n"/>
      <c r="L2140" s="116">
        <f>IF($A2140="","",DATE(YEAR($A2140),MONTH($A2140)+IF(AND(IFERROR(N(INDEX(Übersicht!$M$15:$M$22,MATCH($B2140,Übersicht!$A$15:$A$22,0))),0)&gt;1,DAY($A2140)&gt;=IFERROR(N(INDEX(Übersicht!$M$15:$M$22,MATCH($B2140,Übersicht!$A$15:$A$22,0))),0)),1,0),1))</f>
        <v/>
      </c>
    </row>
    <row r="2141">
      <c r="A2141" s="92" t="n"/>
      <c r="B2141" s="55" t="n"/>
      <c r="C2141" s="55" t="n"/>
      <c r="D2141" s="55" t="n"/>
      <c r="E2141" s="93" t="n"/>
      <c r="F2141" s="94" t="n"/>
      <c r="G2141" s="94" t="n"/>
      <c r="H2141" s="94" t="n"/>
      <c r="I2141" s="94" t="n"/>
      <c r="J2141" s="55" t="n"/>
      <c r="K2141" s="95" t="n"/>
      <c r="L2141" s="116">
        <f>IF($A2141="","",DATE(YEAR($A2141),MONTH($A2141)+IF(AND(IFERROR(N(INDEX(Übersicht!$M$15:$M$22,MATCH($B2141,Übersicht!$A$15:$A$22,0))),0)&gt;1,DAY($A2141)&gt;=IFERROR(N(INDEX(Übersicht!$M$15:$M$22,MATCH($B2141,Übersicht!$A$15:$A$22,0))),0)),1,0),1))</f>
        <v/>
      </c>
    </row>
    <row r="2142">
      <c r="A2142" s="92" t="n"/>
      <c r="B2142" s="55" t="n"/>
      <c r="C2142" s="55" t="n"/>
      <c r="D2142" s="55" t="n"/>
      <c r="E2142" s="93" t="n"/>
      <c r="F2142" s="94" t="n"/>
      <c r="G2142" s="94" t="n"/>
      <c r="H2142" s="94" t="n"/>
      <c r="I2142" s="94" t="n"/>
      <c r="J2142" s="55" t="n"/>
      <c r="K2142" s="95" t="n"/>
      <c r="L2142" s="116">
        <f>IF($A2142="","",DATE(YEAR($A2142),MONTH($A2142)+IF(AND(IFERROR(N(INDEX(Übersicht!$M$15:$M$22,MATCH($B2142,Übersicht!$A$15:$A$22,0))),0)&gt;1,DAY($A2142)&gt;=IFERROR(N(INDEX(Übersicht!$M$15:$M$22,MATCH($B2142,Übersicht!$A$15:$A$22,0))),0)),1,0),1))</f>
        <v/>
      </c>
    </row>
    <row r="2143">
      <c r="A2143" s="92" t="n"/>
      <c r="B2143" s="55" t="n"/>
      <c r="C2143" s="55" t="n"/>
      <c r="D2143" s="55" t="n"/>
      <c r="E2143" s="93" t="n"/>
      <c r="F2143" s="94" t="n"/>
      <c r="G2143" s="94" t="n"/>
      <c r="H2143" s="94" t="n"/>
      <c r="I2143" s="94" t="n"/>
      <c r="J2143" s="55" t="n"/>
      <c r="K2143" s="95" t="n"/>
      <c r="L2143" s="116">
        <f>IF($A2143="","",DATE(YEAR($A2143),MONTH($A2143)+IF(AND(IFERROR(N(INDEX(Übersicht!$M$15:$M$22,MATCH($B2143,Übersicht!$A$15:$A$22,0))),0)&gt;1,DAY($A2143)&gt;=IFERROR(N(INDEX(Übersicht!$M$15:$M$22,MATCH($B2143,Übersicht!$A$15:$A$22,0))),0)),1,0),1))</f>
        <v/>
      </c>
    </row>
    <row r="2144">
      <c r="A2144" s="92" t="n"/>
      <c r="B2144" s="55" t="n"/>
      <c r="C2144" s="55" t="n"/>
      <c r="D2144" s="55" t="n"/>
      <c r="E2144" s="93" t="n"/>
      <c r="F2144" s="94" t="n"/>
      <c r="G2144" s="94" t="n"/>
      <c r="H2144" s="94" t="n"/>
      <c r="I2144" s="94" t="n"/>
      <c r="J2144" s="55" t="n"/>
      <c r="K2144" s="95" t="n"/>
      <c r="L2144" s="116">
        <f>IF($A2144="","",DATE(YEAR($A2144),MONTH($A2144)+IF(AND(IFERROR(N(INDEX(Übersicht!$M$15:$M$22,MATCH($B2144,Übersicht!$A$15:$A$22,0))),0)&gt;1,DAY($A2144)&gt;=IFERROR(N(INDEX(Übersicht!$M$15:$M$22,MATCH($B2144,Übersicht!$A$15:$A$22,0))),0)),1,0),1))</f>
        <v/>
      </c>
    </row>
    <row r="2145">
      <c r="A2145" s="92" t="n"/>
      <c r="B2145" s="55" t="n"/>
      <c r="C2145" s="55" t="n"/>
      <c r="D2145" s="55" t="n"/>
      <c r="E2145" s="93" t="n"/>
      <c r="F2145" s="94" t="n"/>
      <c r="G2145" s="94" t="n"/>
      <c r="H2145" s="94" t="n"/>
      <c r="I2145" s="94" t="n"/>
      <c r="J2145" s="55" t="n"/>
      <c r="K2145" s="95" t="n"/>
      <c r="L2145" s="116">
        <f>IF($A2145="","",DATE(YEAR($A2145),MONTH($A2145)+IF(AND(IFERROR(N(INDEX(Übersicht!$M$15:$M$22,MATCH($B2145,Übersicht!$A$15:$A$22,0))),0)&gt;1,DAY($A2145)&gt;=IFERROR(N(INDEX(Übersicht!$M$15:$M$22,MATCH($B2145,Übersicht!$A$15:$A$22,0))),0)),1,0),1))</f>
        <v/>
      </c>
    </row>
    <row r="2146">
      <c r="A2146" s="92" t="n"/>
      <c r="B2146" s="55" t="n"/>
      <c r="C2146" s="55" t="n"/>
      <c r="D2146" s="55" t="n"/>
      <c r="E2146" s="93" t="n"/>
      <c r="F2146" s="94" t="n"/>
      <c r="G2146" s="94" t="n"/>
      <c r="H2146" s="94" t="n"/>
      <c r="I2146" s="94" t="n"/>
      <c r="J2146" s="55" t="n"/>
      <c r="K2146" s="95" t="n"/>
      <c r="L2146" s="116">
        <f>IF($A2146="","",DATE(YEAR($A2146),MONTH($A2146)+IF(AND(IFERROR(N(INDEX(Übersicht!$M$15:$M$22,MATCH($B2146,Übersicht!$A$15:$A$22,0))),0)&gt;1,DAY($A2146)&gt;=IFERROR(N(INDEX(Übersicht!$M$15:$M$22,MATCH($B2146,Übersicht!$A$15:$A$22,0))),0)),1,0),1))</f>
        <v/>
      </c>
    </row>
    <row r="2147">
      <c r="A2147" s="92" t="n"/>
      <c r="B2147" s="55" t="n"/>
      <c r="C2147" s="55" t="n"/>
      <c r="D2147" s="55" t="n"/>
      <c r="E2147" s="93" t="n"/>
      <c r="F2147" s="94" t="n"/>
      <c r="G2147" s="94" t="n"/>
      <c r="H2147" s="94" t="n"/>
      <c r="I2147" s="94" t="n"/>
      <c r="J2147" s="55" t="n"/>
      <c r="K2147" s="95" t="n"/>
      <c r="L2147" s="116">
        <f>IF($A2147="","",DATE(YEAR($A2147),MONTH($A2147)+IF(AND(IFERROR(N(INDEX(Übersicht!$M$15:$M$22,MATCH($B2147,Übersicht!$A$15:$A$22,0))),0)&gt;1,DAY($A2147)&gt;=IFERROR(N(INDEX(Übersicht!$M$15:$M$22,MATCH($B2147,Übersicht!$A$15:$A$22,0))),0)),1,0),1))</f>
        <v/>
      </c>
    </row>
    <row r="2148">
      <c r="A2148" s="92" t="n"/>
      <c r="B2148" s="55" t="n"/>
      <c r="C2148" s="55" t="n"/>
      <c r="D2148" s="55" t="n"/>
      <c r="E2148" s="93" t="n"/>
      <c r="F2148" s="94" t="n"/>
      <c r="G2148" s="94" t="n"/>
      <c r="H2148" s="94" t="n"/>
      <c r="I2148" s="94" t="n"/>
      <c r="J2148" s="55" t="n"/>
      <c r="K2148" s="95" t="n"/>
      <c r="L2148" s="116">
        <f>IF($A2148="","",DATE(YEAR($A2148),MONTH($A2148)+IF(AND(IFERROR(N(INDEX(Übersicht!$M$15:$M$22,MATCH($B2148,Übersicht!$A$15:$A$22,0))),0)&gt;1,DAY($A2148)&gt;=IFERROR(N(INDEX(Übersicht!$M$15:$M$22,MATCH($B2148,Übersicht!$A$15:$A$22,0))),0)),1,0),1))</f>
        <v/>
      </c>
    </row>
    <row r="2149">
      <c r="A2149" s="92" t="n"/>
      <c r="B2149" s="55" t="n"/>
      <c r="C2149" s="55" t="n"/>
      <c r="D2149" s="55" t="n"/>
      <c r="E2149" s="93" t="n"/>
      <c r="F2149" s="94" t="n"/>
      <c r="G2149" s="94" t="n"/>
      <c r="H2149" s="94" t="n"/>
      <c r="I2149" s="94" t="n"/>
      <c r="J2149" s="55" t="n"/>
      <c r="K2149" s="95" t="n"/>
      <c r="L2149" s="116">
        <f>IF($A2149="","",DATE(YEAR($A2149),MONTH($A2149)+IF(AND(IFERROR(N(INDEX(Übersicht!$M$15:$M$22,MATCH($B2149,Übersicht!$A$15:$A$22,0))),0)&gt;1,DAY($A2149)&gt;=IFERROR(N(INDEX(Übersicht!$M$15:$M$22,MATCH($B2149,Übersicht!$A$15:$A$22,0))),0)),1,0),1))</f>
        <v/>
      </c>
    </row>
    <row r="2150">
      <c r="A2150" s="92" t="n"/>
      <c r="B2150" s="55" t="n"/>
      <c r="C2150" s="55" t="n"/>
      <c r="D2150" s="55" t="n"/>
      <c r="E2150" s="93" t="n"/>
      <c r="F2150" s="94" t="n"/>
      <c r="G2150" s="94" t="n"/>
      <c r="H2150" s="94" t="n"/>
      <c r="I2150" s="94" t="n"/>
      <c r="J2150" s="55" t="n"/>
      <c r="K2150" s="95" t="n"/>
      <c r="L2150" s="116">
        <f>IF($A2150="","",DATE(YEAR($A2150),MONTH($A2150)+IF(AND(IFERROR(N(INDEX(Übersicht!$M$15:$M$22,MATCH($B2150,Übersicht!$A$15:$A$22,0))),0)&gt;1,DAY($A2150)&gt;=IFERROR(N(INDEX(Übersicht!$M$15:$M$22,MATCH($B2150,Übersicht!$A$15:$A$22,0))),0)),1,0),1))</f>
        <v/>
      </c>
    </row>
    <row r="2151">
      <c r="A2151" s="92" t="n"/>
      <c r="B2151" s="55" t="n"/>
      <c r="C2151" s="55" t="n"/>
      <c r="D2151" s="55" t="n"/>
      <c r="E2151" s="93" t="n"/>
      <c r="F2151" s="94" t="n"/>
      <c r="G2151" s="94" t="n"/>
      <c r="H2151" s="94" t="n"/>
      <c r="I2151" s="94" t="n"/>
      <c r="J2151" s="55" t="n"/>
      <c r="K2151" s="95" t="n"/>
      <c r="L2151" s="116">
        <f>IF($A2151="","",DATE(YEAR($A2151),MONTH($A2151)+IF(AND(IFERROR(N(INDEX(Übersicht!$M$15:$M$22,MATCH($B2151,Übersicht!$A$15:$A$22,0))),0)&gt;1,DAY($A2151)&gt;=IFERROR(N(INDEX(Übersicht!$M$15:$M$22,MATCH($B2151,Übersicht!$A$15:$A$22,0))),0)),1,0),1))</f>
        <v/>
      </c>
    </row>
    <row r="2152">
      <c r="A2152" s="92" t="n"/>
      <c r="B2152" s="55" t="n"/>
      <c r="C2152" s="55" t="n"/>
      <c r="D2152" s="55" t="n"/>
      <c r="E2152" s="93" t="n"/>
      <c r="F2152" s="94" t="n"/>
      <c r="G2152" s="94" t="n"/>
      <c r="H2152" s="94" t="n"/>
      <c r="I2152" s="94" t="n"/>
      <c r="J2152" s="55" t="n"/>
      <c r="K2152" s="95" t="n"/>
      <c r="L2152" s="116">
        <f>IF($A2152="","",DATE(YEAR($A2152),MONTH($A2152)+IF(AND(IFERROR(N(INDEX(Übersicht!$M$15:$M$22,MATCH($B2152,Übersicht!$A$15:$A$22,0))),0)&gt;1,DAY($A2152)&gt;=IFERROR(N(INDEX(Übersicht!$M$15:$M$22,MATCH($B2152,Übersicht!$A$15:$A$22,0))),0)),1,0),1))</f>
        <v/>
      </c>
    </row>
    <row r="2153">
      <c r="A2153" s="92" t="n"/>
      <c r="B2153" s="55" t="n"/>
      <c r="C2153" s="55" t="n"/>
      <c r="D2153" s="55" t="n"/>
      <c r="E2153" s="93" t="n"/>
      <c r="F2153" s="94" t="n"/>
      <c r="G2153" s="94" t="n"/>
      <c r="H2153" s="94" t="n"/>
      <c r="I2153" s="94" t="n"/>
      <c r="J2153" s="55" t="n"/>
      <c r="K2153" s="95" t="n"/>
      <c r="L2153" s="116">
        <f>IF($A2153="","",DATE(YEAR($A2153),MONTH($A2153)+IF(AND(IFERROR(N(INDEX(Übersicht!$M$15:$M$22,MATCH($B2153,Übersicht!$A$15:$A$22,0))),0)&gt;1,DAY($A2153)&gt;=IFERROR(N(INDEX(Übersicht!$M$15:$M$22,MATCH($B2153,Übersicht!$A$15:$A$22,0))),0)),1,0),1))</f>
        <v/>
      </c>
    </row>
    <row r="2154">
      <c r="A2154" s="92" t="n"/>
      <c r="B2154" s="55" t="n"/>
      <c r="C2154" s="55" t="n"/>
      <c r="D2154" s="55" t="n"/>
      <c r="E2154" s="93" t="n"/>
      <c r="F2154" s="94" t="n"/>
      <c r="G2154" s="94" t="n"/>
      <c r="H2154" s="94" t="n"/>
      <c r="I2154" s="94" t="n"/>
      <c r="J2154" s="55" t="n"/>
      <c r="K2154" s="95" t="n"/>
      <c r="L2154" s="116">
        <f>IF($A2154="","",DATE(YEAR($A2154),MONTH($A2154)+IF(AND(IFERROR(N(INDEX(Übersicht!$M$15:$M$22,MATCH($B2154,Übersicht!$A$15:$A$22,0))),0)&gt;1,DAY($A2154)&gt;=IFERROR(N(INDEX(Übersicht!$M$15:$M$22,MATCH($B2154,Übersicht!$A$15:$A$22,0))),0)),1,0),1))</f>
        <v/>
      </c>
    </row>
    <row r="2155">
      <c r="A2155" s="92" t="n"/>
      <c r="B2155" s="55" t="n"/>
      <c r="C2155" s="55" t="n"/>
      <c r="D2155" s="55" t="n"/>
      <c r="E2155" s="93" t="n"/>
      <c r="F2155" s="94" t="n"/>
      <c r="G2155" s="94" t="n"/>
      <c r="H2155" s="94" t="n"/>
      <c r="I2155" s="94" t="n"/>
      <c r="J2155" s="55" t="n"/>
      <c r="K2155" s="95" t="n"/>
      <c r="L2155" s="116">
        <f>IF($A2155="","",DATE(YEAR($A2155),MONTH($A2155)+IF(AND(IFERROR(N(INDEX(Übersicht!$M$15:$M$22,MATCH($B2155,Übersicht!$A$15:$A$22,0))),0)&gt;1,DAY($A2155)&gt;=IFERROR(N(INDEX(Übersicht!$M$15:$M$22,MATCH($B2155,Übersicht!$A$15:$A$22,0))),0)),1,0),1))</f>
        <v/>
      </c>
    </row>
    <row r="2156">
      <c r="A2156" s="92" t="n"/>
      <c r="B2156" s="55" t="n"/>
      <c r="C2156" s="55" t="n"/>
      <c r="D2156" s="55" t="n"/>
      <c r="E2156" s="93" t="n"/>
      <c r="F2156" s="94" t="n"/>
      <c r="G2156" s="94" t="n"/>
      <c r="H2156" s="94" t="n"/>
      <c r="I2156" s="94" t="n"/>
      <c r="J2156" s="55" t="n"/>
      <c r="K2156" s="95" t="n"/>
      <c r="L2156" s="116">
        <f>IF($A2156="","",DATE(YEAR($A2156),MONTH($A2156)+IF(AND(IFERROR(N(INDEX(Übersicht!$M$15:$M$22,MATCH($B2156,Übersicht!$A$15:$A$22,0))),0)&gt;1,DAY($A2156)&gt;=IFERROR(N(INDEX(Übersicht!$M$15:$M$22,MATCH($B2156,Übersicht!$A$15:$A$22,0))),0)),1,0),1))</f>
        <v/>
      </c>
    </row>
    <row r="2157">
      <c r="A2157" s="92" t="n"/>
      <c r="B2157" s="55" t="n"/>
      <c r="C2157" s="55" t="n"/>
      <c r="D2157" s="55" t="n"/>
      <c r="E2157" s="93" t="n"/>
      <c r="F2157" s="94" t="n"/>
      <c r="G2157" s="94" t="n"/>
      <c r="H2157" s="94" t="n"/>
      <c r="I2157" s="94" t="n"/>
      <c r="J2157" s="55" t="n"/>
      <c r="K2157" s="95" t="n"/>
      <c r="L2157" s="116">
        <f>IF($A2157="","",DATE(YEAR($A2157),MONTH($A2157)+IF(AND(IFERROR(N(INDEX(Übersicht!$M$15:$M$22,MATCH($B2157,Übersicht!$A$15:$A$22,0))),0)&gt;1,DAY($A2157)&gt;=IFERROR(N(INDEX(Übersicht!$M$15:$M$22,MATCH($B2157,Übersicht!$A$15:$A$22,0))),0)),1,0),1))</f>
        <v/>
      </c>
    </row>
    <row r="2158">
      <c r="A2158" s="92" t="n"/>
      <c r="B2158" s="55" t="n"/>
      <c r="C2158" s="55" t="n"/>
      <c r="D2158" s="55" t="n"/>
      <c r="E2158" s="93" t="n"/>
      <c r="F2158" s="94" t="n"/>
      <c r="G2158" s="94" t="n"/>
      <c r="H2158" s="94" t="n"/>
      <c r="I2158" s="94" t="n"/>
      <c r="J2158" s="55" t="n"/>
      <c r="K2158" s="95" t="n"/>
      <c r="L2158" s="116">
        <f>IF($A2158="","",DATE(YEAR($A2158),MONTH($A2158)+IF(AND(IFERROR(N(INDEX(Übersicht!$M$15:$M$22,MATCH($B2158,Übersicht!$A$15:$A$22,0))),0)&gt;1,DAY($A2158)&gt;=IFERROR(N(INDEX(Übersicht!$M$15:$M$22,MATCH($B2158,Übersicht!$A$15:$A$22,0))),0)),1,0),1))</f>
        <v/>
      </c>
    </row>
    <row r="2159">
      <c r="A2159" s="92" t="n"/>
      <c r="B2159" s="55" t="n"/>
      <c r="C2159" s="55" t="n"/>
      <c r="D2159" s="55" t="n"/>
      <c r="E2159" s="93" t="n"/>
      <c r="F2159" s="94" t="n"/>
      <c r="G2159" s="94" t="n"/>
      <c r="H2159" s="94" t="n"/>
      <c r="I2159" s="94" t="n"/>
      <c r="J2159" s="55" t="n"/>
      <c r="K2159" s="95" t="n"/>
      <c r="L2159" s="116">
        <f>IF($A2159="","",DATE(YEAR($A2159),MONTH($A2159)+IF(AND(IFERROR(N(INDEX(Übersicht!$M$15:$M$22,MATCH($B2159,Übersicht!$A$15:$A$22,0))),0)&gt;1,DAY($A2159)&gt;=IFERROR(N(INDEX(Übersicht!$M$15:$M$22,MATCH($B2159,Übersicht!$A$15:$A$22,0))),0)),1,0),1))</f>
        <v/>
      </c>
    </row>
    <row r="2160">
      <c r="A2160" s="92" t="n"/>
      <c r="B2160" s="55" t="n"/>
      <c r="C2160" s="55" t="n"/>
      <c r="D2160" s="55" t="n"/>
      <c r="E2160" s="93" t="n"/>
      <c r="F2160" s="94" t="n"/>
      <c r="G2160" s="94" t="n"/>
      <c r="H2160" s="94" t="n"/>
      <c r="I2160" s="94" t="n"/>
      <c r="J2160" s="55" t="n"/>
      <c r="K2160" s="95" t="n"/>
      <c r="L2160" s="116">
        <f>IF($A2160="","",DATE(YEAR($A2160),MONTH($A2160)+IF(AND(IFERROR(N(INDEX(Übersicht!$M$15:$M$22,MATCH($B2160,Übersicht!$A$15:$A$22,0))),0)&gt;1,DAY($A2160)&gt;=IFERROR(N(INDEX(Übersicht!$M$15:$M$22,MATCH($B2160,Übersicht!$A$15:$A$22,0))),0)),1,0),1))</f>
        <v/>
      </c>
    </row>
    <row r="2161">
      <c r="A2161" s="92" t="n"/>
      <c r="B2161" s="55" t="n"/>
      <c r="C2161" s="55" t="n"/>
      <c r="D2161" s="55" t="n"/>
      <c r="E2161" s="93" t="n"/>
      <c r="F2161" s="94" t="n"/>
      <c r="G2161" s="94" t="n"/>
      <c r="H2161" s="94" t="n"/>
      <c r="I2161" s="94" t="n"/>
      <c r="J2161" s="55" t="n"/>
      <c r="K2161" s="95" t="n"/>
      <c r="L2161" s="116">
        <f>IF($A2161="","",DATE(YEAR($A2161),MONTH($A2161)+IF(AND(IFERROR(N(INDEX(Übersicht!$M$15:$M$22,MATCH($B2161,Übersicht!$A$15:$A$22,0))),0)&gt;1,DAY($A2161)&gt;=IFERROR(N(INDEX(Übersicht!$M$15:$M$22,MATCH($B2161,Übersicht!$A$15:$A$22,0))),0)),1,0),1))</f>
        <v/>
      </c>
    </row>
    <row r="2162">
      <c r="A2162" s="92" t="n"/>
      <c r="B2162" s="55" t="n"/>
      <c r="C2162" s="55" t="n"/>
      <c r="D2162" s="55" t="n"/>
      <c r="E2162" s="93" t="n"/>
      <c r="F2162" s="94" t="n"/>
      <c r="G2162" s="94" t="n"/>
      <c r="H2162" s="94" t="n"/>
      <c r="I2162" s="94" t="n"/>
      <c r="J2162" s="55" t="n"/>
      <c r="K2162" s="95" t="n"/>
      <c r="L2162" s="116">
        <f>IF($A2162="","",DATE(YEAR($A2162),MONTH($A2162)+IF(AND(IFERROR(N(INDEX(Übersicht!$M$15:$M$22,MATCH($B2162,Übersicht!$A$15:$A$22,0))),0)&gt;1,DAY($A2162)&gt;=IFERROR(N(INDEX(Übersicht!$M$15:$M$22,MATCH($B2162,Übersicht!$A$15:$A$22,0))),0)),1,0),1))</f>
        <v/>
      </c>
    </row>
    <row r="2163">
      <c r="A2163" s="92" t="n"/>
      <c r="B2163" s="55" t="n"/>
      <c r="C2163" s="55" t="n"/>
      <c r="D2163" s="55" t="n"/>
      <c r="E2163" s="93" t="n"/>
      <c r="F2163" s="94" t="n"/>
      <c r="G2163" s="94" t="n"/>
      <c r="H2163" s="94" t="n"/>
      <c r="I2163" s="94" t="n"/>
      <c r="J2163" s="55" t="n"/>
      <c r="K2163" s="95" t="n"/>
      <c r="L2163" s="116">
        <f>IF($A2163="","",DATE(YEAR($A2163),MONTH($A2163)+IF(AND(IFERROR(N(INDEX(Übersicht!$M$15:$M$22,MATCH($B2163,Übersicht!$A$15:$A$22,0))),0)&gt;1,DAY($A2163)&gt;=IFERROR(N(INDEX(Übersicht!$M$15:$M$22,MATCH($B2163,Übersicht!$A$15:$A$22,0))),0)),1,0),1))</f>
        <v/>
      </c>
    </row>
    <row r="2164">
      <c r="A2164" s="92" t="n"/>
      <c r="B2164" s="55" t="n"/>
      <c r="C2164" s="55" t="n"/>
      <c r="D2164" s="55" t="n"/>
      <c r="E2164" s="93" t="n"/>
      <c r="F2164" s="94" t="n"/>
      <c r="G2164" s="94" t="n"/>
      <c r="H2164" s="94" t="n"/>
      <c r="I2164" s="94" t="n"/>
      <c r="J2164" s="55" t="n"/>
      <c r="K2164" s="95" t="n"/>
      <c r="L2164" s="116">
        <f>IF($A2164="","",DATE(YEAR($A2164),MONTH($A2164)+IF(AND(IFERROR(N(INDEX(Übersicht!$M$15:$M$22,MATCH($B2164,Übersicht!$A$15:$A$22,0))),0)&gt;1,DAY($A2164)&gt;=IFERROR(N(INDEX(Übersicht!$M$15:$M$22,MATCH($B2164,Übersicht!$A$15:$A$22,0))),0)),1,0),1))</f>
        <v/>
      </c>
    </row>
    <row r="2165">
      <c r="A2165" s="92" t="n"/>
      <c r="B2165" s="55" t="n"/>
      <c r="C2165" s="55" t="n"/>
      <c r="D2165" s="55" t="n"/>
      <c r="E2165" s="93" t="n"/>
      <c r="F2165" s="94" t="n"/>
      <c r="G2165" s="94" t="n"/>
      <c r="H2165" s="94" t="n"/>
      <c r="I2165" s="94" t="n"/>
      <c r="J2165" s="55" t="n"/>
      <c r="K2165" s="95" t="n"/>
      <c r="L2165" s="116">
        <f>IF($A2165="","",DATE(YEAR($A2165),MONTH($A2165)+IF(AND(IFERROR(N(INDEX(Übersicht!$M$15:$M$22,MATCH($B2165,Übersicht!$A$15:$A$22,0))),0)&gt;1,DAY($A2165)&gt;=IFERROR(N(INDEX(Übersicht!$M$15:$M$22,MATCH($B2165,Übersicht!$A$15:$A$22,0))),0)),1,0),1))</f>
        <v/>
      </c>
    </row>
    <row r="2166">
      <c r="A2166" s="92" t="n"/>
      <c r="B2166" s="55" t="n"/>
      <c r="C2166" s="55" t="n"/>
      <c r="D2166" s="55" t="n"/>
      <c r="E2166" s="93" t="n"/>
      <c r="F2166" s="94" t="n"/>
      <c r="G2166" s="94" t="n"/>
      <c r="H2166" s="94" t="n"/>
      <c r="I2166" s="94" t="n"/>
      <c r="J2166" s="55" t="n"/>
      <c r="K2166" s="95" t="n"/>
      <c r="L2166" s="116">
        <f>IF($A2166="","",DATE(YEAR($A2166),MONTH($A2166)+IF(AND(IFERROR(N(INDEX(Übersicht!$M$15:$M$22,MATCH($B2166,Übersicht!$A$15:$A$22,0))),0)&gt;1,DAY($A2166)&gt;=IFERROR(N(INDEX(Übersicht!$M$15:$M$22,MATCH($B2166,Übersicht!$A$15:$A$22,0))),0)),1,0),1))</f>
        <v/>
      </c>
    </row>
    <row r="2167">
      <c r="A2167" s="92" t="n"/>
      <c r="B2167" s="55" t="n"/>
      <c r="C2167" s="55" t="n"/>
      <c r="D2167" s="55" t="n"/>
      <c r="E2167" s="93" t="n"/>
      <c r="F2167" s="94" t="n"/>
      <c r="G2167" s="94" t="n"/>
      <c r="H2167" s="94" t="n"/>
      <c r="I2167" s="94" t="n"/>
      <c r="J2167" s="55" t="n"/>
      <c r="K2167" s="95" t="n"/>
      <c r="L2167" s="116">
        <f>IF($A2167="","",DATE(YEAR($A2167),MONTH($A2167)+IF(AND(IFERROR(N(INDEX(Übersicht!$M$15:$M$22,MATCH($B2167,Übersicht!$A$15:$A$22,0))),0)&gt;1,DAY($A2167)&gt;=IFERROR(N(INDEX(Übersicht!$M$15:$M$22,MATCH($B2167,Übersicht!$A$15:$A$22,0))),0)),1,0),1))</f>
        <v/>
      </c>
    </row>
    <row r="2168">
      <c r="A2168" s="92" t="n"/>
      <c r="B2168" s="55" t="n"/>
      <c r="C2168" s="55" t="n"/>
      <c r="D2168" s="55" t="n"/>
      <c r="E2168" s="93" t="n"/>
      <c r="F2168" s="94" t="n"/>
      <c r="G2168" s="94" t="n"/>
      <c r="H2168" s="94" t="n"/>
      <c r="I2168" s="94" t="n"/>
      <c r="J2168" s="55" t="n"/>
      <c r="K2168" s="95" t="n"/>
      <c r="L2168" s="116">
        <f>IF($A2168="","",DATE(YEAR($A2168),MONTH($A2168)+IF(AND(IFERROR(N(INDEX(Übersicht!$M$15:$M$22,MATCH($B2168,Übersicht!$A$15:$A$22,0))),0)&gt;1,DAY($A2168)&gt;=IFERROR(N(INDEX(Übersicht!$M$15:$M$22,MATCH($B2168,Übersicht!$A$15:$A$22,0))),0)),1,0),1))</f>
        <v/>
      </c>
    </row>
    <row r="2169">
      <c r="A2169" s="92" t="n"/>
      <c r="B2169" s="55" t="n"/>
      <c r="C2169" s="55" t="n"/>
      <c r="D2169" s="55" t="n"/>
      <c r="E2169" s="93" t="n"/>
      <c r="F2169" s="94" t="n"/>
      <c r="G2169" s="94" t="n"/>
      <c r="H2169" s="94" t="n"/>
      <c r="I2169" s="94" t="n"/>
      <c r="J2169" s="55" t="n"/>
      <c r="K2169" s="95" t="n"/>
      <c r="L2169" s="116">
        <f>IF($A2169="","",DATE(YEAR($A2169),MONTH($A2169)+IF(AND(IFERROR(N(INDEX(Übersicht!$M$15:$M$22,MATCH($B2169,Übersicht!$A$15:$A$22,0))),0)&gt;1,DAY($A2169)&gt;=IFERROR(N(INDEX(Übersicht!$M$15:$M$22,MATCH($B2169,Übersicht!$A$15:$A$22,0))),0)),1,0),1))</f>
        <v/>
      </c>
    </row>
    <row r="2170">
      <c r="A2170" s="92" t="n"/>
      <c r="B2170" s="55" t="n"/>
      <c r="C2170" s="55" t="n"/>
      <c r="D2170" s="55" t="n"/>
      <c r="E2170" s="93" t="n"/>
      <c r="F2170" s="94" t="n"/>
      <c r="G2170" s="94" t="n"/>
      <c r="H2170" s="94" t="n"/>
      <c r="I2170" s="94" t="n"/>
      <c r="J2170" s="55" t="n"/>
      <c r="K2170" s="95" t="n"/>
      <c r="L2170" s="116">
        <f>IF($A2170="","",DATE(YEAR($A2170),MONTH($A2170)+IF(AND(IFERROR(N(INDEX(Übersicht!$M$15:$M$22,MATCH($B2170,Übersicht!$A$15:$A$22,0))),0)&gt;1,DAY($A2170)&gt;=IFERROR(N(INDEX(Übersicht!$M$15:$M$22,MATCH($B2170,Übersicht!$A$15:$A$22,0))),0)),1,0),1))</f>
        <v/>
      </c>
    </row>
    <row r="2171">
      <c r="A2171" s="92" t="n"/>
      <c r="B2171" s="55" t="n"/>
      <c r="C2171" s="55" t="n"/>
      <c r="D2171" s="55" t="n"/>
      <c r="E2171" s="93" t="n"/>
      <c r="F2171" s="94" t="n"/>
      <c r="G2171" s="94" t="n"/>
      <c r="H2171" s="94" t="n"/>
      <c r="I2171" s="94" t="n"/>
      <c r="J2171" s="55" t="n"/>
      <c r="K2171" s="95" t="n"/>
      <c r="L2171" s="116">
        <f>IF($A2171="","",DATE(YEAR($A2171),MONTH($A2171)+IF(AND(IFERROR(N(INDEX(Übersicht!$M$15:$M$22,MATCH($B2171,Übersicht!$A$15:$A$22,0))),0)&gt;1,DAY($A2171)&gt;=IFERROR(N(INDEX(Übersicht!$M$15:$M$22,MATCH($B2171,Übersicht!$A$15:$A$22,0))),0)),1,0),1))</f>
        <v/>
      </c>
    </row>
    <row r="2172">
      <c r="A2172" s="92" t="n"/>
      <c r="B2172" s="55" t="n"/>
      <c r="C2172" s="55" t="n"/>
      <c r="D2172" s="55" t="n"/>
      <c r="E2172" s="93" t="n"/>
      <c r="F2172" s="94" t="n"/>
      <c r="G2172" s="94" t="n"/>
      <c r="H2172" s="94" t="n"/>
      <c r="I2172" s="94" t="n"/>
      <c r="J2172" s="55" t="n"/>
      <c r="K2172" s="95" t="n"/>
      <c r="L2172" s="116">
        <f>IF($A2172="","",DATE(YEAR($A2172),MONTH($A2172)+IF(AND(IFERROR(N(INDEX(Übersicht!$M$15:$M$22,MATCH($B2172,Übersicht!$A$15:$A$22,0))),0)&gt;1,DAY($A2172)&gt;=IFERROR(N(INDEX(Übersicht!$M$15:$M$22,MATCH($B2172,Übersicht!$A$15:$A$22,0))),0)),1,0),1))</f>
        <v/>
      </c>
    </row>
    <row r="2173">
      <c r="A2173" s="92" t="n"/>
      <c r="B2173" s="55" t="n"/>
      <c r="C2173" s="55" t="n"/>
      <c r="D2173" s="55" t="n"/>
      <c r="E2173" s="93" t="n"/>
      <c r="F2173" s="94" t="n"/>
      <c r="G2173" s="94" t="n"/>
      <c r="H2173" s="94" t="n"/>
      <c r="I2173" s="94" t="n"/>
      <c r="J2173" s="55" t="n"/>
      <c r="K2173" s="95" t="n"/>
      <c r="L2173" s="116">
        <f>IF($A2173="","",DATE(YEAR($A2173),MONTH($A2173)+IF(AND(IFERROR(N(INDEX(Übersicht!$M$15:$M$22,MATCH($B2173,Übersicht!$A$15:$A$22,0))),0)&gt;1,DAY($A2173)&gt;=IFERROR(N(INDEX(Übersicht!$M$15:$M$22,MATCH($B2173,Übersicht!$A$15:$A$22,0))),0)),1,0),1))</f>
        <v/>
      </c>
    </row>
    <row r="2174">
      <c r="A2174" s="92" t="n"/>
      <c r="B2174" s="55" t="n"/>
      <c r="C2174" s="55" t="n"/>
      <c r="D2174" s="55" t="n"/>
      <c r="E2174" s="93" t="n"/>
      <c r="F2174" s="94" t="n"/>
      <c r="G2174" s="94" t="n"/>
      <c r="H2174" s="94" t="n"/>
      <c r="I2174" s="94" t="n"/>
      <c r="J2174" s="55" t="n"/>
      <c r="K2174" s="95" t="n"/>
      <c r="L2174" s="116">
        <f>IF($A2174="","",DATE(YEAR($A2174),MONTH($A2174)+IF(AND(IFERROR(N(INDEX(Übersicht!$M$15:$M$22,MATCH($B2174,Übersicht!$A$15:$A$22,0))),0)&gt;1,DAY($A2174)&gt;=IFERROR(N(INDEX(Übersicht!$M$15:$M$22,MATCH($B2174,Übersicht!$A$15:$A$22,0))),0)),1,0),1))</f>
        <v/>
      </c>
    </row>
    <row r="2175">
      <c r="A2175" s="92" t="n"/>
      <c r="B2175" s="55" t="n"/>
      <c r="C2175" s="55" t="n"/>
      <c r="D2175" s="55" t="n"/>
      <c r="E2175" s="93" t="n"/>
      <c r="F2175" s="94" t="n"/>
      <c r="G2175" s="94" t="n"/>
      <c r="H2175" s="94" t="n"/>
      <c r="I2175" s="94" t="n"/>
      <c r="J2175" s="55" t="n"/>
      <c r="K2175" s="95" t="n"/>
      <c r="L2175" s="116">
        <f>IF($A2175="","",DATE(YEAR($A2175),MONTH($A2175)+IF(AND(IFERROR(N(INDEX(Übersicht!$M$15:$M$22,MATCH($B2175,Übersicht!$A$15:$A$22,0))),0)&gt;1,DAY($A2175)&gt;=IFERROR(N(INDEX(Übersicht!$M$15:$M$22,MATCH($B2175,Übersicht!$A$15:$A$22,0))),0)),1,0),1))</f>
        <v/>
      </c>
    </row>
    <row r="2176">
      <c r="A2176" s="92" t="n"/>
      <c r="B2176" s="55" t="n"/>
      <c r="C2176" s="55" t="n"/>
      <c r="D2176" s="55" t="n"/>
      <c r="E2176" s="93" t="n"/>
      <c r="F2176" s="94" t="n"/>
      <c r="G2176" s="94" t="n"/>
      <c r="H2176" s="94" t="n"/>
      <c r="I2176" s="94" t="n"/>
      <c r="J2176" s="55" t="n"/>
      <c r="K2176" s="95" t="n"/>
      <c r="L2176" s="116">
        <f>IF($A2176="","",DATE(YEAR($A2176),MONTH($A2176)+IF(AND(IFERROR(N(INDEX(Übersicht!$M$15:$M$22,MATCH($B2176,Übersicht!$A$15:$A$22,0))),0)&gt;1,DAY($A2176)&gt;=IFERROR(N(INDEX(Übersicht!$M$15:$M$22,MATCH($B2176,Übersicht!$A$15:$A$22,0))),0)),1,0),1))</f>
        <v/>
      </c>
    </row>
    <row r="2177">
      <c r="A2177" s="92" t="n"/>
      <c r="B2177" s="55" t="n"/>
      <c r="C2177" s="55" t="n"/>
      <c r="D2177" s="55" t="n"/>
      <c r="E2177" s="93" t="n"/>
      <c r="F2177" s="94" t="n"/>
      <c r="G2177" s="94" t="n"/>
      <c r="H2177" s="94" t="n"/>
      <c r="I2177" s="94" t="n"/>
      <c r="J2177" s="55" t="n"/>
      <c r="K2177" s="95" t="n"/>
      <c r="L2177" s="116">
        <f>IF($A2177="","",DATE(YEAR($A2177),MONTH($A2177)+IF(AND(IFERROR(N(INDEX(Übersicht!$M$15:$M$22,MATCH($B2177,Übersicht!$A$15:$A$22,0))),0)&gt;1,DAY($A2177)&gt;=IFERROR(N(INDEX(Übersicht!$M$15:$M$22,MATCH($B2177,Übersicht!$A$15:$A$22,0))),0)),1,0),1))</f>
        <v/>
      </c>
    </row>
    <row r="2178">
      <c r="A2178" s="92" t="n"/>
      <c r="B2178" s="55" t="n"/>
      <c r="C2178" s="55" t="n"/>
      <c r="D2178" s="55" t="n"/>
      <c r="E2178" s="93" t="n"/>
      <c r="F2178" s="94" t="n"/>
      <c r="G2178" s="94" t="n"/>
      <c r="H2178" s="94" t="n"/>
      <c r="I2178" s="94" t="n"/>
      <c r="J2178" s="55" t="n"/>
      <c r="K2178" s="95" t="n"/>
      <c r="L2178" s="116">
        <f>IF($A2178="","",DATE(YEAR($A2178),MONTH($A2178)+IF(AND(IFERROR(N(INDEX(Übersicht!$M$15:$M$22,MATCH($B2178,Übersicht!$A$15:$A$22,0))),0)&gt;1,DAY($A2178)&gt;=IFERROR(N(INDEX(Übersicht!$M$15:$M$22,MATCH($B2178,Übersicht!$A$15:$A$22,0))),0)),1,0),1))</f>
        <v/>
      </c>
    </row>
    <row r="2179">
      <c r="A2179" s="92" t="n"/>
      <c r="B2179" s="55" t="n"/>
      <c r="C2179" s="55" t="n"/>
      <c r="D2179" s="55" t="n"/>
      <c r="E2179" s="93" t="n"/>
      <c r="F2179" s="94" t="n"/>
      <c r="G2179" s="94" t="n"/>
      <c r="H2179" s="94" t="n"/>
      <c r="I2179" s="94" t="n"/>
      <c r="J2179" s="55" t="n"/>
      <c r="K2179" s="95" t="n"/>
      <c r="L2179" s="116">
        <f>IF($A2179="","",DATE(YEAR($A2179),MONTH($A2179)+IF(AND(IFERROR(N(INDEX(Übersicht!$M$15:$M$22,MATCH($B2179,Übersicht!$A$15:$A$22,0))),0)&gt;1,DAY($A2179)&gt;=IFERROR(N(INDEX(Übersicht!$M$15:$M$22,MATCH($B2179,Übersicht!$A$15:$A$22,0))),0)),1,0),1))</f>
        <v/>
      </c>
    </row>
    <row r="2180">
      <c r="A2180" s="92" t="n"/>
      <c r="B2180" s="55" t="n"/>
      <c r="C2180" s="55" t="n"/>
      <c r="D2180" s="55" t="n"/>
      <c r="E2180" s="93" t="n"/>
      <c r="F2180" s="94" t="n"/>
      <c r="G2180" s="94" t="n"/>
      <c r="H2180" s="94" t="n"/>
      <c r="I2180" s="94" t="n"/>
      <c r="J2180" s="55" t="n"/>
      <c r="K2180" s="95" t="n"/>
      <c r="L2180" s="116">
        <f>IF($A2180="","",DATE(YEAR($A2180),MONTH($A2180)+IF(AND(IFERROR(N(INDEX(Übersicht!$M$15:$M$22,MATCH($B2180,Übersicht!$A$15:$A$22,0))),0)&gt;1,DAY($A2180)&gt;=IFERROR(N(INDEX(Übersicht!$M$15:$M$22,MATCH($B2180,Übersicht!$A$15:$A$22,0))),0)),1,0),1))</f>
        <v/>
      </c>
    </row>
    <row r="2181">
      <c r="A2181" s="92" t="n"/>
      <c r="B2181" s="55" t="n"/>
      <c r="C2181" s="55" t="n"/>
      <c r="D2181" s="55" t="n"/>
      <c r="E2181" s="93" t="n"/>
      <c r="F2181" s="94" t="n"/>
      <c r="G2181" s="94" t="n"/>
      <c r="H2181" s="94" t="n"/>
      <c r="I2181" s="94" t="n"/>
      <c r="J2181" s="55" t="n"/>
      <c r="K2181" s="95" t="n"/>
      <c r="L2181" s="116">
        <f>IF($A2181="","",DATE(YEAR($A2181),MONTH($A2181)+IF(AND(IFERROR(N(INDEX(Übersicht!$M$15:$M$22,MATCH($B2181,Übersicht!$A$15:$A$22,0))),0)&gt;1,DAY($A2181)&gt;=IFERROR(N(INDEX(Übersicht!$M$15:$M$22,MATCH($B2181,Übersicht!$A$15:$A$22,0))),0)),1,0),1))</f>
        <v/>
      </c>
    </row>
    <row r="2182">
      <c r="A2182" s="92" t="n"/>
      <c r="B2182" s="55" t="n"/>
      <c r="C2182" s="55" t="n"/>
      <c r="D2182" s="55" t="n"/>
      <c r="E2182" s="93" t="n"/>
      <c r="F2182" s="94" t="n"/>
      <c r="G2182" s="94" t="n"/>
      <c r="H2182" s="94" t="n"/>
      <c r="I2182" s="94" t="n"/>
      <c r="J2182" s="55" t="n"/>
      <c r="K2182" s="95" t="n"/>
      <c r="L2182" s="116">
        <f>IF($A2182="","",DATE(YEAR($A2182),MONTH($A2182)+IF(AND(IFERROR(N(INDEX(Übersicht!$M$15:$M$22,MATCH($B2182,Übersicht!$A$15:$A$22,0))),0)&gt;1,DAY($A2182)&gt;=IFERROR(N(INDEX(Übersicht!$M$15:$M$22,MATCH($B2182,Übersicht!$A$15:$A$22,0))),0)),1,0),1))</f>
        <v/>
      </c>
    </row>
    <row r="2183">
      <c r="A2183" s="92" t="n"/>
      <c r="B2183" s="55" t="n"/>
      <c r="C2183" s="55" t="n"/>
      <c r="D2183" s="55" t="n"/>
      <c r="E2183" s="93" t="n"/>
      <c r="F2183" s="94" t="n"/>
      <c r="G2183" s="94" t="n"/>
      <c r="H2183" s="94" t="n"/>
      <c r="I2183" s="94" t="n"/>
      <c r="J2183" s="55" t="n"/>
      <c r="K2183" s="95" t="n"/>
      <c r="L2183" s="116">
        <f>IF($A2183="","",DATE(YEAR($A2183),MONTH($A2183)+IF(AND(IFERROR(N(INDEX(Übersicht!$M$15:$M$22,MATCH($B2183,Übersicht!$A$15:$A$22,0))),0)&gt;1,DAY($A2183)&gt;=IFERROR(N(INDEX(Übersicht!$M$15:$M$22,MATCH($B2183,Übersicht!$A$15:$A$22,0))),0)),1,0),1))</f>
        <v/>
      </c>
    </row>
    <row r="2184">
      <c r="A2184" s="92" t="n"/>
      <c r="B2184" s="55" t="n"/>
      <c r="C2184" s="55" t="n"/>
      <c r="D2184" s="55" t="n"/>
      <c r="E2184" s="93" t="n"/>
      <c r="F2184" s="94" t="n"/>
      <c r="G2184" s="94" t="n"/>
      <c r="H2184" s="94" t="n"/>
      <c r="I2184" s="94" t="n"/>
      <c r="J2184" s="55" t="n"/>
      <c r="K2184" s="95" t="n"/>
      <c r="L2184" s="116">
        <f>IF($A2184="","",DATE(YEAR($A2184),MONTH($A2184)+IF(AND(IFERROR(N(INDEX(Übersicht!$M$15:$M$22,MATCH($B2184,Übersicht!$A$15:$A$22,0))),0)&gt;1,DAY($A2184)&gt;=IFERROR(N(INDEX(Übersicht!$M$15:$M$22,MATCH($B2184,Übersicht!$A$15:$A$22,0))),0)),1,0),1))</f>
        <v/>
      </c>
    </row>
    <row r="2185">
      <c r="A2185" s="92" t="n"/>
      <c r="B2185" s="55" t="n"/>
      <c r="C2185" s="55" t="n"/>
      <c r="D2185" s="55" t="n"/>
      <c r="E2185" s="93" t="n"/>
      <c r="F2185" s="94" t="n"/>
      <c r="G2185" s="94" t="n"/>
      <c r="H2185" s="94" t="n"/>
      <c r="I2185" s="94" t="n"/>
      <c r="J2185" s="55" t="n"/>
      <c r="K2185" s="95" t="n"/>
      <c r="L2185" s="116">
        <f>IF($A2185="","",DATE(YEAR($A2185),MONTH($A2185)+IF(AND(IFERROR(N(INDEX(Übersicht!$M$15:$M$22,MATCH($B2185,Übersicht!$A$15:$A$22,0))),0)&gt;1,DAY($A2185)&gt;=IFERROR(N(INDEX(Übersicht!$M$15:$M$22,MATCH($B2185,Übersicht!$A$15:$A$22,0))),0)),1,0),1))</f>
        <v/>
      </c>
    </row>
    <row r="2186">
      <c r="A2186" s="92" t="n"/>
      <c r="B2186" s="55" t="n"/>
      <c r="C2186" s="55" t="n"/>
      <c r="D2186" s="55" t="n"/>
      <c r="E2186" s="93" t="n"/>
      <c r="F2186" s="94" t="n"/>
      <c r="G2186" s="94" t="n"/>
      <c r="H2186" s="94" t="n"/>
      <c r="I2186" s="94" t="n"/>
      <c r="J2186" s="55" t="n"/>
      <c r="K2186" s="95" t="n"/>
      <c r="L2186" s="116">
        <f>IF($A2186="","",DATE(YEAR($A2186),MONTH($A2186)+IF(AND(IFERROR(N(INDEX(Übersicht!$M$15:$M$22,MATCH($B2186,Übersicht!$A$15:$A$22,0))),0)&gt;1,DAY($A2186)&gt;=IFERROR(N(INDEX(Übersicht!$M$15:$M$22,MATCH($B2186,Übersicht!$A$15:$A$22,0))),0)),1,0),1))</f>
        <v/>
      </c>
    </row>
    <row r="2187">
      <c r="A2187" s="92" t="n"/>
      <c r="B2187" s="55" t="n"/>
      <c r="C2187" s="55" t="n"/>
      <c r="D2187" s="55" t="n"/>
      <c r="E2187" s="93" t="n"/>
      <c r="F2187" s="94" t="n"/>
      <c r="G2187" s="94" t="n"/>
      <c r="H2187" s="94" t="n"/>
      <c r="I2187" s="94" t="n"/>
      <c r="J2187" s="55" t="n"/>
      <c r="K2187" s="95" t="n"/>
      <c r="L2187" s="116">
        <f>IF($A2187="","",DATE(YEAR($A2187),MONTH($A2187)+IF(AND(IFERROR(N(INDEX(Übersicht!$M$15:$M$22,MATCH($B2187,Übersicht!$A$15:$A$22,0))),0)&gt;1,DAY($A2187)&gt;=IFERROR(N(INDEX(Übersicht!$M$15:$M$22,MATCH($B2187,Übersicht!$A$15:$A$22,0))),0)),1,0),1))</f>
        <v/>
      </c>
    </row>
    <row r="2188">
      <c r="A2188" s="92" t="n"/>
      <c r="B2188" s="55" t="n"/>
      <c r="C2188" s="55" t="n"/>
      <c r="D2188" s="55" t="n"/>
      <c r="E2188" s="93" t="n"/>
      <c r="F2188" s="94" t="n"/>
      <c r="G2188" s="94" t="n"/>
      <c r="H2188" s="94" t="n"/>
      <c r="I2188" s="94" t="n"/>
      <c r="J2188" s="55" t="n"/>
      <c r="K2188" s="95" t="n"/>
      <c r="L2188" s="116">
        <f>IF($A2188="","",DATE(YEAR($A2188),MONTH($A2188)+IF(AND(IFERROR(N(INDEX(Übersicht!$M$15:$M$22,MATCH($B2188,Übersicht!$A$15:$A$22,0))),0)&gt;1,DAY($A2188)&gt;=IFERROR(N(INDEX(Übersicht!$M$15:$M$22,MATCH($B2188,Übersicht!$A$15:$A$22,0))),0)),1,0),1))</f>
        <v/>
      </c>
    </row>
    <row r="2189">
      <c r="A2189" s="92" t="n"/>
      <c r="B2189" s="55" t="n"/>
      <c r="C2189" s="55" t="n"/>
      <c r="D2189" s="55" t="n"/>
      <c r="E2189" s="93" t="n"/>
      <c r="F2189" s="94" t="n"/>
      <c r="G2189" s="94" t="n"/>
      <c r="H2189" s="94" t="n"/>
      <c r="I2189" s="94" t="n"/>
      <c r="J2189" s="55" t="n"/>
      <c r="K2189" s="95" t="n"/>
      <c r="L2189" s="116">
        <f>IF($A2189="","",DATE(YEAR($A2189),MONTH($A2189)+IF(AND(IFERROR(N(INDEX(Übersicht!$M$15:$M$22,MATCH($B2189,Übersicht!$A$15:$A$22,0))),0)&gt;1,DAY($A2189)&gt;=IFERROR(N(INDEX(Übersicht!$M$15:$M$22,MATCH($B2189,Übersicht!$A$15:$A$22,0))),0)),1,0),1))</f>
        <v/>
      </c>
    </row>
    <row r="2190">
      <c r="A2190" s="92" t="n"/>
      <c r="B2190" s="55" t="n"/>
      <c r="C2190" s="55" t="n"/>
      <c r="D2190" s="55" t="n"/>
      <c r="E2190" s="93" t="n"/>
      <c r="F2190" s="94" t="n"/>
      <c r="G2190" s="94" t="n"/>
      <c r="H2190" s="94" t="n"/>
      <c r="I2190" s="94" t="n"/>
      <c r="J2190" s="55" t="n"/>
      <c r="K2190" s="95" t="n"/>
      <c r="L2190" s="116">
        <f>IF($A2190="","",DATE(YEAR($A2190),MONTH($A2190)+IF(AND(IFERROR(N(INDEX(Übersicht!$M$15:$M$22,MATCH($B2190,Übersicht!$A$15:$A$22,0))),0)&gt;1,DAY($A2190)&gt;=IFERROR(N(INDEX(Übersicht!$M$15:$M$22,MATCH($B2190,Übersicht!$A$15:$A$22,0))),0)),1,0),1))</f>
        <v/>
      </c>
    </row>
    <row r="2191">
      <c r="A2191" s="92" t="n"/>
      <c r="B2191" s="55" t="n"/>
      <c r="C2191" s="55" t="n"/>
      <c r="D2191" s="55" t="n"/>
      <c r="E2191" s="93" t="n"/>
      <c r="F2191" s="94" t="n"/>
      <c r="G2191" s="94" t="n"/>
      <c r="H2191" s="94" t="n"/>
      <c r="I2191" s="94" t="n"/>
      <c r="J2191" s="55" t="n"/>
      <c r="K2191" s="95" t="n"/>
      <c r="L2191" s="116">
        <f>IF($A2191="","",DATE(YEAR($A2191),MONTH($A2191)+IF(AND(IFERROR(N(INDEX(Übersicht!$M$15:$M$22,MATCH($B2191,Übersicht!$A$15:$A$22,0))),0)&gt;1,DAY($A2191)&gt;=IFERROR(N(INDEX(Übersicht!$M$15:$M$22,MATCH($B2191,Übersicht!$A$15:$A$22,0))),0)),1,0),1))</f>
        <v/>
      </c>
    </row>
    <row r="2192">
      <c r="A2192" s="92" t="n"/>
      <c r="B2192" s="55" t="n"/>
      <c r="C2192" s="55" t="n"/>
      <c r="D2192" s="55" t="n"/>
      <c r="E2192" s="93" t="n"/>
      <c r="F2192" s="94" t="n"/>
      <c r="G2192" s="94" t="n"/>
      <c r="H2192" s="94" t="n"/>
      <c r="I2192" s="94" t="n"/>
      <c r="J2192" s="55" t="n"/>
      <c r="K2192" s="95" t="n"/>
      <c r="L2192" s="116">
        <f>IF($A2192="","",DATE(YEAR($A2192),MONTH($A2192)+IF(AND(IFERROR(N(INDEX(Übersicht!$M$15:$M$22,MATCH($B2192,Übersicht!$A$15:$A$22,0))),0)&gt;1,DAY($A2192)&gt;=IFERROR(N(INDEX(Übersicht!$M$15:$M$22,MATCH($B2192,Übersicht!$A$15:$A$22,0))),0)),1,0),1))</f>
        <v/>
      </c>
    </row>
    <row r="2193">
      <c r="A2193" s="92" t="n"/>
      <c r="B2193" s="55" t="n"/>
      <c r="C2193" s="55" t="n"/>
      <c r="D2193" s="55" t="n"/>
      <c r="E2193" s="93" t="n"/>
      <c r="F2193" s="94" t="n"/>
      <c r="G2193" s="94" t="n"/>
      <c r="H2193" s="94" t="n"/>
      <c r="I2193" s="94" t="n"/>
      <c r="J2193" s="55" t="n"/>
      <c r="K2193" s="95" t="n"/>
      <c r="L2193" s="116">
        <f>IF($A2193="","",DATE(YEAR($A2193),MONTH($A2193)+IF(AND(IFERROR(N(INDEX(Übersicht!$M$15:$M$22,MATCH($B2193,Übersicht!$A$15:$A$22,0))),0)&gt;1,DAY($A2193)&gt;=IFERROR(N(INDEX(Übersicht!$M$15:$M$22,MATCH($B2193,Übersicht!$A$15:$A$22,0))),0)),1,0),1))</f>
        <v/>
      </c>
    </row>
    <row r="2194">
      <c r="A2194" s="92" t="n"/>
      <c r="B2194" s="55" t="n"/>
      <c r="C2194" s="55" t="n"/>
      <c r="D2194" s="55" t="n"/>
      <c r="E2194" s="93" t="n"/>
      <c r="F2194" s="94" t="n"/>
      <c r="G2194" s="94" t="n"/>
      <c r="H2194" s="94" t="n"/>
      <c r="I2194" s="94" t="n"/>
      <c r="J2194" s="55" t="n"/>
      <c r="K2194" s="95" t="n"/>
      <c r="L2194" s="116">
        <f>IF($A2194="","",DATE(YEAR($A2194),MONTH($A2194)+IF(AND(IFERROR(N(INDEX(Übersicht!$M$15:$M$22,MATCH($B2194,Übersicht!$A$15:$A$22,0))),0)&gt;1,DAY($A2194)&gt;=IFERROR(N(INDEX(Übersicht!$M$15:$M$22,MATCH($B2194,Übersicht!$A$15:$A$22,0))),0)),1,0),1))</f>
        <v/>
      </c>
    </row>
    <row r="2195">
      <c r="A2195" s="92" t="n"/>
      <c r="B2195" s="55" t="n"/>
      <c r="C2195" s="55" t="n"/>
      <c r="D2195" s="55" t="n"/>
      <c r="E2195" s="93" t="n"/>
      <c r="F2195" s="94" t="n"/>
      <c r="G2195" s="94" t="n"/>
      <c r="H2195" s="94" t="n"/>
      <c r="I2195" s="94" t="n"/>
      <c r="J2195" s="55" t="n"/>
      <c r="K2195" s="95" t="n"/>
      <c r="L2195" s="116">
        <f>IF($A2195="","",DATE(YEAR($A2195),MONTH($A2195)+IF(AND(IFERROR(N(INDEX(Übersicht!$M$15:$M$22,MATCH($B2195,Übersicht!$A$15:$A$22,0))),0)&gt;1,DAY($A2195)&gt;=IFERROR(N(INDEX(Übersicht!$M$15:$M$22,MATCH($B2195,Übersicht!$A$15:$A$22,0))),0)),1,0),1))</f>
        <v/>
      </c>
    </row>
    <row r="2196">
      <c r="A2196" s="92" t="n"/>
      <c r="B2196" s="55" t="n"/>
      <c r="C2196" s="55" t="n"/>
      <c r="D2196" s="55" t="n"/>
      <c r="E2196" s="93" t="n"/>
      <c r="F2196" s="94" t="n"/>
      <c r="G2196" s="94" t="n"/>
      <c r="H2196" s="94" t="n"/>
      <c r="I2196" s="94" t="n"/>
      <c r="J2196" s="55" t="n"/>
      <c r="K2196" s="95" t="n"/>
      <c r="L2196" s="116">
        <f>IF($A2196="","",DATE(YEAR($A2196),MONTH($A2196)+IF(AND(IFERROR(N(INDEX(Übersicht!$M$15:$M$22,MATCH($B2196,Übersicht!$A$15:$A$22,0))),0)&gt;1,DAY($A2196)&gt;=IFERROR(N(INDEX(Übersicht!$M$15:$M$22,MATCH($B2196,Übersicht!$A$15:$A$22,0))),0)),1,0),1))</f>
        <v/>
      </c>
    </row>
    <row r="2197">
      <c r="A2197" s="92" t="n"/>
      <c r="B2197" s="55" t="n"/>
      <c r="C2197" s="55" t="n"/>
      <c r="D2197" s="55" t="n"/>
      <c r="E2197" s="93" t="n"/>
      <c r="F2197" s="94" t="n"/>
      <c r="G2197" s="94" t="n"/>
      <c r="H2197" s="94" t="n"/>
      <c r="I2197" s="94" t="n"/>
      <c r="J2197" s="55" t="n"/>
      <c r="K2197" s="95" t="n"/>
      <c r="L2197" s="116">
        <f>IF($A2197="","",DATE(YEAR($A2197),MONTH($A2197)+IF(AND(IFERROR(N(INDEX(Übersicht!$M$15:$M$22,MATCH($B2197,Übersicht!$A$15:$A$22,0))),0)&gt;1,DAY($A2197)&gt;=IFERROR(N(INDEX(Übersicht!$M$15:$M$22,MATCH($B2197,Übersicht!$A$15:$A$22,0))),0)),1,0),1))</f>
        <v/>
      </c>
    </row>
    <row r="2198">
      <c r="A2198" s="92" t="n"/>
      <c r="B2198" s="55" t="n"/>
      <c r="C2198" s="55" t="n"/>
      <c r="D2198" s="55" t="n"/>
      <c r="E2198" s="93" t="n"/>
      <c r="F2198" s="94" t="n"/>
      <c r="G2198" s="94" t="n"/>
      <c r="H2198" s="94" t="n"/>
      <c r="I2198" s="94" t="n"/>
      <c r="J2198" s="55" t="n"/>
      <c r="K2198" s="95" t="n"/>
      <c r="L2198" s="116">
        <f>IF($A2198="","",DATE(YEAR($A2198),MONTH($A2198)+IF(AND(IFERROR(N(INDEX(Übersicht!$M$15:$M$22,MATCH($B2198,Übersicht!$A$15:$A$22,0))),0)&gt;1,DAY($A2198)&gt;=IFERROR(N(INDEX(Übersicht!$M$15:$M$22,MATCH($B2198,Übersicht!$A$15:$A$22,0))),0)),1,0),1))</f>
        <v/>
      </c>
    </row>
    <row r="2199">
      <c r="A2199" s="92" t="n"/>
      <c r="B2199" s="55" t="n"/>
      <c r="C2199" s="55" t="n"/>
      <c r="D2199" s="55" t="n"/>
      <c r="E2199" s="93" t="n"/>
      <c r="F2199" s="94" t="n"/>
      <c r="G2199" s="94" t="n"/>
      <c r="H2199" s="94" t="n"/>
      <c r="I2199" s="94" t="n"/>
      <c r="J2199" s="55" t="n"/>
      <c r="K2199" s="95" t="n"/>
      <c r="L2199" s="116">
        <f>IF($A2199="","",DATE(YEAR($A2199),MONTH($A2199)+IF(AND(IFERROR(N(INDEX(Übersicht!$M$15:$M$22,MATCH($B2199,Übersicht!$A$15:$A$22,0))),0)&gt;1,DAY($A2199)&gt;=IFERROR(N(INDEX(Übersicht!$M$15:$M$22,MATCH($B2199,Übersicht!$A$15:$A$22,0))),0)),1,0),1))</f>
        <v/>
      </c>
    </row>
    <row r="2200">
      <c r="A2200" s="92" t="n"/>
      <c r="B2200" s="55" t="n"/>
      <c r="C2200" s="55" t="n"/>
      <c r="D2200" s="55" t="n"/>
      <c r="E2200" s="93" t="n"/>
      <c r="F2200" s="94" t="n"/>
      <c r="G2200" s="94" t="n"/>
      <c r="H2200" s="94" t="n"/>
      <c r="I2200" s="94" t="n"/>
      <c r="J2200" s="55" t="n"/>
      <c r="K2200" s="95" t="n"/>
      <c r="L2200" s="116">
        <f>IF($A2200="","",DATE(YEAR($A2200),MONTH($A2200)+IF(AND(IFERROR(N(INDEX(Übersicht!$M$15:$M$22,MATCH($B2200,Übersicht!$A$15:$A$22,0))),0)&gt;1,DAY($A2200)&gt;=IFERROR(N(INDEX(Übersicht!$M$15:$M$22,MATCH($B2200,Übersicht!$A$15:$A$22,0))),0)),1,0),1))</f>
        <v/>
      </c>
    </row>
    <row r="2201">
      <c r="A2201" s="92" t="n"/>
      <c r="B2201" s="55" t="n"/>
      <c r="C2201" s="55" t="n"/>
      <c r="D2201" s="55" t="n"/>
      <c r="E2201" s="93" t="n"/>
      <c r="F2201" s="94" t="n"/>
      <c r="G2201" s="94" t="n"/>
      <c r="H2201" s="94" t="n"/>
      <c r="I2201" s="94" t="n"/>
      <c r="J2201" s="55" t="n"/>
      <c r="K2201" s="95" t="n"/>
      <c r="L2201" s="116">
        <f>IF($A2201="","",DATE(YEAR($A2201),MONTH($A2201)+IF(AND(IFERROR(N(INDEX(Übersicht!$M$15:$M$22,MATCH($B2201,Übersicht!$A$15:$A$22,0))),0)&gt;1,DAY($A2201)&gt;=IFERROR(N(INDEX(Übersicht!$M$15:$M$22,MATCH($B2201,Übersicht!$A$15:$A$22,0))),0)),1,0),1))</f>
        <v/>
      </c>
    </row>
    <row r="2202">
      <c r="A2202" s="92" t="n"/>
      <c r="B2202" s="55" t="n"/>
      <c r="C2202" s="55" t="n"/>
      <c r="D2202" s="55" t="n"/>
      <c r="E2202" s="93" t="n"/>
      <c r="F2202" s="94" t="n"/>
      <c r="G2202" s="94" t="n"/>
      <c r="H2202" s="94" t="n"/>
      <c r="I2202" s="94" t="n"/>
      <c r="J2202" s="55" t="n"/>
      <c r="K2202" s="95" t="n"/>
      <c r="L2202" s="116">
        <f>IF($A2202="","",DATE(YEAR($A2202),MONTH($A2202)+IF(AND(IFERROR(N(INDEX(Übersicht!$M$15:$M$22,MATCH($B2202,Übersicht!$A$15:$A$22,0))),0)&gt;1,DAY($A2202)&gt;=IFERROR(N(INDEX(Übersicht!$M$15:$M$22,MATCH($B2202,Übersicht!$A$15:$A$22,0))),0)),1,0),1))</f>
        <v/>
      </c>
    </row>
    <row r="2203">
      <c r="A2203" s="92" t="n"/>
      <c r="B2203" s="55" t="n"/>
      <c r="C2203" s="55" t="n"/>
      <c r="D2203" s="55" t="n"/>
      <c r="E2203" s="93" t="n"/>
      <c r="F2203" s="94" t="n"/>
      <c r="G2203" s="94" t="n"/>
      <c r="H2203" s="94" t="n"/>
      <c r="I2203" s="94" t="n"/>
      <c r="J2203" s="55" t="n"/>
      <c r="K2203" s="95" t="n"/>
      <c r="L2203" s="116">
        <f>IF($A2203="","",DATE(YEAR($A2203),MONTH($A2203)+IF(AND(IFERROR(N(INDEX(Übersicht!$M$15:$M$22,MATCH($B2203,Übersicht!$A$15:$A$22,0))),0)&gt;1,DAY($A2203)&gt;=IFERROR(N(INDEX(Übersicht!$M$15:$M$22,MATCH($B2203,Übersicht!$A$15:$A$22,0))),0)),1,0),1))</f>
        <v/>
      </c>
    </row>
    <row r="2204">
      <c r="A2204" s="92" t="n"/>
      <c r="B2204" s="55" t="n"/>
      <c r="C2204" s="55" t="n"/>
      <c r="D2204" s="55" t="n"/>
      <c r="E2204" s="93" t="n"/>
      <c r="F2204" s="94" t="n"/>
      <c r="G2204" s="94" t="n"/>
      <c r="H2204" s="94" t="n"/>
      <c r="I2204" s="94" t="n"/>
      <c r="J2204" s="55" t="n"/>
      <c r="K2204" s="95" t="n"/>
      <c r="L2204" s="116">
        <f>IF($A2204="","",DATE(YEAR($A2204),MONTH($A2204)+IF(AND(IFERROR(N(INDEX(Übersicht!$M$15:$M$22,MATCH($B2204,Übersicht!$A$15:$A$22,0))),0)&gt;1,DAY($A2204)&gt;=IFERROR(N(INDEX(Übersicht!$M$15:$M$22,MATCH($B2204,Übersicht!$A$15:$A$22,0))),0)),1,0),1))</f>
        <v/>
      </c>
    </row>
    <row r="2205">
      <c r="A2205" s="92" t="n"/>
      <c r="B2205" s="55" t="n"/>
      <c r="C2205" s="55" t="n"/>
      <c r="D2205" s="55" t="n"/>
      <c r="E2205" s="93" t="n"/>
      <c r="F2205" s="94" t="n"/>
      <c r="G2205" s="94" t="n"/>
      <c r="H2205" s="94" t="n"/>
      <c r="I2205" s="94" t="n"/>
      <c r="J2205" s="55" t="n"/>
      <c r="K2205" s="95" t="n"/>
      <c r="L2205" s="116">
        <f>IF($A2205="","",DATE(YEAR($A2205),MONTH($A2205)+IF(AND(IFERROR(N(INDEX(Übersicht!$M$15:$M$22,MATCH($B2205,Übersicht!$A$15:$A$22,0))),0)&gt;1,DAY($A2205)&gt;=IFERROR(N(INDEX(Übersicht!$M$15:$M$22,MATCH($B2205,Übersicht!$A$15:$A$22,0))),0)),1,0),1))</f>
        <v/>
      </c>
    </row>
    <row r="2206">
      <c r="A2206" s="92" t="n"/>
      <c r="B2206" s="55" t="n"/>
      <c r="C2206" s="55" t="n"/>
      <c r="D2206" s="55" t="n"/>
      <c r="E2206" s="93" t="n"/>
      <c r="F2206" s="94" t="n"/>
      <c r="G2206" s="94" t="n"/>
      <c r="H2206" s="94" t="n"/>
      <c r="I2206" s="94" t="n"/>
      <c r="J2206" s="55" t="n"/>
      <c r="K2206" s="95" t="n"/>
      <c r="L2206" s="116">
        <f>IF($A2206="","",DATE(YEAR($A2206),MONTH($A2206)+IF(AND(IFERROR(N(INDEX(Übersicht!$M$15:$M$22,MATCH($B2206,Übersicht!$A$15:$A$22,0))),0)&gt;1,DAY($A2206)&gt;=IFERROR(N(INDEX(Übersicht!$M$15:$M$22,MATCH($B2206,Übersicht!$A$15:$A$22,0))),0)),1,0),1))</f>
        <v/>
      </c>
    </row>
    <row r="2207">
      <c r="A2207" s="92" t="n"/>
      <c r="B2207" s="55" t="n"/>
      <c r="C2207" s="55" t="n"/>
      <c r="D2207" s="55" t="n"/>
      <c r="E2207" s="93" t="n"/>
      <c r="F2207" s="94" t="n"/>
      <c r="G2207" s="94" t="n"/>
      <c r="H2207" s="94" t="n"/>
      <c r="I2207" s="94" t="n"/>
      <c r="J2207" s="55" t="n"/>
      <c r="K2207" s="95" t="n"/>
      <c r="L2207" s="116">
        <f>IF($A2207="","",DATE(YEAR($A2207),MONTH($A2207)+IF(AND(IFERROR(N(INDEX(Übersicht!$M$15:$M$22,MATCH($B2207,Übersicht!$A$15:$A$22,0))),0)&gt;1,DAY($A2207)&gt;=IFERROR(N(INDEX(Übersicht!$M$15:$M$22,MATCH($B2207,Übersicht!$A$15:$A$22,0))),0)),1,0),1))</f>
        <v/>
      </c>
    </row>
    <row r="2208">
      <c r="A2208" s="92" t="n"/>
      <c r="B2208" s="55" t="n"/>
      <c r="C2208" s="55" t="n"/>
      <c r="D2208" s="55" t="n"/>
      <c r="E2208" s="93" t="n"/>
      <c r="F2208" s="94" t="n"/>
      <c r="G2208" s="94" t="n"/>
      <c r="H2208" s="94" t="n"/>
      <c r="I2208" s="94" t="n"/>
      <c r="J2208" s="55" t="n"/>
      <c r="K2208" s="95" t="n"/>
      <c r="L2208" s="116">
        <f>IF($A2208="","",DATE(YEAR($A2208),MONTH($A2208)+IF(AND(IFERROR(N(INDEX(Übersicht!$M$15:$M$22,MATCH($B2208,Übersicht!$A$15:$A$22,0))),0)&gt;1,DAY($A2208)&gt;=IFERROR(N(INDEX(Übersicht!$M$15:$M$22,MATCH($B2208,Übersicht!$A$15:$A$22,0))),0)),1,0),1))</f>
        <v/>
      </c>
    </row>
    <row r="2209">
      <c r="A2209" s="92" t="n"/>
      <c r="B2209" s="55" t="n"/>
      <c r="C2209" s="55" t="n"/>
      <c r="D2209" s="55" t="n"/>
      <c r="E2209" s="93" t="n"/>
      <c r="F2209" s="94" t="n"/>
      <c r="G2209" s="94" t="n"/>
      <c r="H2209" s="94" t="n"/>
      <c r="I2209" s="94" t="n"/>
      <c r="J2209" s="55" t="n"/>
      <c r="K2209" s="95" t="n"/>
      <c r="L2209" s="116">
        <f>IF($A2209="","",DATE(YEAR($A2209),MONTH($A2209)+IF(AND(IFERROR(N(INDEX(Übersicht!$M$15:$M$22,MATCH($B2209,Übersicht!$A$15:$A$22,0))),0)&gt;1,DAY($A2209)&gt;=IFERROR(N(INDEX(Übersicht!$M$15:$M$22,MATCH($B2209,Übersicht!$A$15:$A$22,0))),0)),1,0),1))</f>
        <v/>
      </c>
    </row>
    <row r="2210">
      <c r="A2210" s="92" t="n"/>
      <c r="B2210" s="55" t="n"/>
      <c r="C2210" s="55" t="n"/>
      <c r="D2210" s="55" t="n"/>
      <c r="E2210" s="93" t="n"/>
      <c r="F2210" s="94" t="n"/>
      <c r="G2210" s="94" t="n"/>
      <c r="H2210" s="94" t="n"/>
      <c r="I2210" s="94" t="n"/>
      <c r="J2210" s="55" t="n"/>
      <c r="K2210" s="95" t="n"/>
      <c r="L2210" s="116">
        <f>IF($A2210="","",DATE(YEAR($A2210),MONTH($A2210)+IF(AND(IFERROR(N(INDEX(Übersicht!$M$15:$M$22,MATCH($B2210,Übersicht!$A$15:$A$22,0))),0)&gt;1,DAY($A2210)&gt;=IFERROR(N(INDEX(Übersicht!$M$15:$M$22,MATCH($B2210,Übersicht!$A$15:$A$22,0))),0)),1,0),1))</f>
        <v/>
      </c>
    </row>
    <row r="2211">
      <c r="A2211" s="92" t="n"/>
      <c r="B2211" s="55" t="n"/>
      <c r="C2211" s="55" t="n"/>
      <c r="D2211" s="55" t="n"/>
      <c r="E2211" s="93" t="n"/>
      <c r="F2211" s="94" t="n"/>
      <c r="G2211" s="94" t="n"/>
      <c r="H2211" s="94" t="n"/>
      <c r="I2211" s="94" t="n"/>
      <c r="J2211" s="55" t="n"/>
      <c r="K2211" s="95" t="n"/>
      <c r="L2211" s="116">
        <f>IF($A2211="","",DATE(YEAR($A2211),MONTH($A2211)+IF(AND(IFERROR(N(INDEX(Übersicht!$M$15:$M$22,MATCH($B2211,Übersicht!$A$15:$A$22,0))),0)&gt;1,DAY($A2211)&gt;=IFERROR(N(INDEX(Übersicht!$M$15:$M$22,MATCH($B2211,Übersicht!$A$15:$A$22,0))),0)),1,0),1))</f>
        <v/>
      </c>
    </row>
    <row r="2212">
      <c r="A2212" s="92" t="n"/>
      <c r="B2212" s="55" t="n"/>
      <c r="C2212" s="55" t="n"/>
      <c r="D2212" s="55" t="n"/>
      <c r="E2212" s="93" t="n"/>
      <c r="F2212" s="94" t="n"/>
      <c r="G2212" s="94" t="n"/>
      <c r="H2212" s="94" t="n"/>
      <c r="I2212" s="94" t="n"/>
      <c r="J2212" s="55" t="n"/>
      <c r="K2212" s="95" t="n"/>
      <c r="L2212" s="116">
        <f>IF($A2212="","",DATE(YEAR($A2212),MONTH($A2212)+IF(AND(IFERROR(N(INDEX(Übersicht!$M$15:$M$22,MATCH($B2212,Übersicht!$A$15:$A$22,0))),0)&gt;1,DAY($A2212)&gt;=IFERROR(N(INDEX(Übersicht!$M$15:$M$22,MATCH($B2212,Übersicht!$A$15:$A$22,0))),0)),1,0),1))</f>
        <v/>
      </c>
    </row>
    <row r="2213">
      <c r="A2213" s="92" t="n"/>
      <c r="B2213" s="55" t="n"/>
      <c r="C2213" s="55" t="n"/>
      <c r="D2213" s="55" t="n"/>
      <c r="E2213" s="93" t="n"/>
      <c r="F2213" s="94" t="n"/>
      <c r="G2213" s="94" t="n"/>
      <c r="H2213" s="94" t="n"/>
      <c r="I2213" s="94" t="n"/>
      <c r="J2213" s="55" t="n"/>
      <c r="K2213" s="95" t="n"/>
      <c r="L2213" s="116">
        <f>IF($A2213="","",DATE(YEAR($A2213),MONTH($A2213)+IF(AND(IFERROR(N(INDEX(Übersicht!$M$15:$M$22,MATCH($B2213,Übersicht!$A$15:$A$22,0))),0)&gt;1,DAY($A2213)&gt;=IFERROR(N(INDEX(Übersicht!$M$15:$M$22,MATCH($B2213,Übersicht!$A$15:$A$22,0))),0)),1,0),1))</f>
        <v/>
      </c>
    </row>
    <row r="2214">
      <c r="A2214" s="92" t="n"/>
      <c r="B2214" s="55" t="n"/>
      <c r="C2214" s="55" t="n"/>
      <c r="D2214" s="55" t="n"/>
      <c r="E2214" s="93" t="n"/>
      <c r="F2214" s="94" t="n"/>
      <c r="G2214" s="94" t="n"/>
      <c r="H2214" s="94" t="n"/>
      <c r="I2214" s="94" t="n"/>
      <c r="J2214" s="55" t="n"/>
      <c r="K2214" s="95" t="n"/>
      <c r="L2214" s="116">
        <f>IF($A2214="","",DATE(YEAR($A2214),MONTH($A2214)+IF(AND(IFERROR(N(INDEX(Übersicht!$M$15:$M$22,MATCH($B2214,Übersicht!$A$15:$A$22,0))),0)&gt;1,DAY($A2214)&gt;=IFERROR(N(INDEX(Übersicht!$M$15:$M$22,MATCH($B2214,Übersicht!$A$15:$A$22,0))),0)),1,0),1))</f>
        <v/>
      </c>
    </row>
    <row r="2215">
      <c r="A2215" s="92" t="n"/>
      <c r="B2215" s="55" t="n"/>
      <c r="C2215" s="55" t="n"/>
      <c r="D2215" s="55" t="n"/>
      <c r="E2215" s="93" t="n"/>
      <c r="F2215" s="94" t="n"/>
      <c r="G2215" s="94" t="n"/>
      <c r="H2215" s="94" t="n"/>
      <c r="I2215" s="94" t="n"/>
      <c r="J2215" s="55" t="n"/>
      <c r="K2215" s="95" t="n"/>
      <c r="L2215" s="116">
        <f>IF($A2215="","",DATE(YEAR($A2215),MONTH($A2215)+IF(AND(IFERROR(N(INDEX(Übersicht!$M$15:$M$22,MATCH($B2215,Übersicht!$A$15:$A$22,0))),0)&gt;1,DAY($A2215)&gt;=IFERROR(N(INDEX(Übersicht!$M$15:$M$22,MATCH($B2215,Übersicht!$A$15:$A$22,0))),0)),1,0),1))</f>
        <v/>
      </c>
    </row>
    <row r="2216">
      <c r="A2216" s="92" t="n"/>
      <c r="B2216" s="55" t="n"/>
      <c r="C2216" s="55" t="n"/>
      <c r="D2216" s="55" t="n"/>
      <c r="E2216" s="93" t="n"/>
      <c r="F2216" s="94" t="n"/>
      <c r="G2216" s="94" t="n"/>
      <c r="H2216" s="94" t="n"/>
      <c r="I2216" s="94" t="n"/>
      <c r="J2216" s="55" t="n"/>
      <c r="K2216" s="95" t="n"/>
      <c r="L2216" s="116">
        <f>IF($A2216="","",DATE(YEAR($A2216),MONTH($A2216)+IF(AND(IFERROR(N(INDEX(Übersicht!$M$15:$M$22,MATCH($B2216,Übersicht!$A$15:$A$22,0))),0)&gt;1,DAY($A2216)&gt;=IFERROR(N(INDEX(Übersicht!$M$15:$M$22,MATCH($B2216,Übersicht!$A$15:$A$22,0))),0)),1,0),1))</f>
        <v/>
      </c>
    </row>
    <row r="2217">
      <c r="A2217" s="92" t="n"/>
      <c r="B2217" s="55" t="n"/>
      <c r="C2217" s="55" t="n"/>
      <c r="D2217" s="55" t="n"/>
      <c r="E2217" s="93" t="n"/>
      <c r="F2217" s="94" t="n"/>
      <c r="G2217" s="94" t="n"/>
      <c r="H2217" s="94" t="n"/>
      <c r="I2217" s="94" t="n"/>
      <c r="J2217" s="55" t="n"/>
      <c r="K2217" s="95" t="n"/>
      <c r="L2217" s="116">
        <f>IF($A2217="","",DATE(YEAR($A2217),MONTH($A2217)+IF(AND(IFERROR(N(INDEX(Übersicht!$M$15:$M$22,MATCH($B2217,Übersicht!$A$15:$A$22,0))),0)&gt;1,DAY($A2217)&gt;=IFERROR(N(INDEX(Übersicht!$M$15:$M$22,MATCH($B2217,Übersicht!$A$15:$A$22,0))),0)),1,0),1))</f>
        <v/>
      </c>
    </row>
    <row r="2218">
      <c r="A2218" s="92" t="n"/>
      <c r="B2218" s="55" t="n"/>
      <c r="C2218" s="55" t="n"/>
      <c r="D2218" s="55" t="n"/>
      <c r="E2218" s="93" t="n"/>
      <c r="F2218" s="94" t="n"/>
      <c r="G2218" s="94" t="n"/>
      <c r="H2218" s="94" t="n"/>
      <c r="I2218" s="94" t="n"/>
      <c r="J2218" s="55" t="n"/>
      <c r="K2218" s="95" t="n"/>
      <c r="L2218" s="116">
        <f>IF($A2218="","",DATE(YEAR($A2218),MONTH($A2218)+IF(AND(IFERROR(N(INDEX(Übersicht!$M$15:$M$22,MATCH($B2218,Übersicht!$A$15:$A$22,0))),0)&gt;1,DAY($A2218)&gt;=IFERROR(N(INDEX(Übersicht!$M$15:$M$22,MATCH($B2218,Übersicht!$A$15:$A$22,0))),0)),1,0),1))</f>
        <v/>
      </c>
    </row>
    <row r="2219">
      <c r="A2219" s="92" t="n"/>
      <c r="B2219" s="55" t="n"/>
      <c r="C2219" s="55" t="n"/>
      <c r="D2219" s="55" t="n"/>
      <c r="E2219" s="93" t="n"/>
      <c r="F2219" s="94" t="n"/>
      <c r="G2219" s="94" t="n"/>
      <c r="H2219" s="94" t="n"/>
      <c r="I2219" s="94" t="n"/>
      <c r="J2219" s="55" t="n"/>
      <c r="K2219" s="95" t="n"/>
      <c r="L2219" s="116">
        <f>IF($A2219="","",DATE(YEAR($A2219),MONTH($A2219)+IF(AND(IFERROR(N(INDEX(Übersicht!$M$15:$M$22,MATCH($B2219,Übersicht!$A$15:$A$22,0))),0)&gt;1,DAY($A2219)&gt;=IFERROR(N(INDEX(Übersicht!$M$15:$M$22,MATCH($B2219,Übersicht!$A$15:$A$22,0))),0)),1,0),1))</f>
        <v/>
      </c>
    </row>
    <row r="2220">
      <c r="A2220" s="92" t="n"/>
      <c r="B2220" s="55" t="n"/>
      <c r="C2220" s="55" t="n"/>
      <c r="D2220" s="55" t="n"/>
      <c r="E2220" s="93" t="n"/>
      <c r="F2220" s="94" t="n"/>
      <c r="G2220" s="94" t="n"/>
      <c r="H2220" s="94" t="n"/>
      <c r="I2220" s="94" t="n"/>
      <c r="J2220" s="55" t="n"/>
      <c r="K2220" s="95" t="n"/>
      <c r="L2220" s="116">
        <f>IF($A2220="","",DATE(YEAR($A2220),MONTH($A2220)+IF(AND(IFERROR(N(INDEX(Übersicht!$M$15:$M$22,MATCH($B2220,Übersicht!$A$15:$A$22,0))),0)&gt;1,DAY($A2220)&gt;=IFERROR(N(INDEX(Übersicht!$M$15:$M$22,MATCH($B2220,Übersicht!$A$15:$A$22,0))),0)),1,0),1))</f>
        <v/>
      </c>
    </row>
    <row r="2221">
      <c r="A2221" s="92" t="n"/>
      <c r="B2221" s="55" t="n"/>
      <c r="C2221" s="55" t="n"/>
      <c r="D2221" s="55" t="n"/>
      <c r="E2221" s="93" t="n"/>
      <c r="F2221" s="94" t="n"/>
      <c r="G2221" s="94" t="n"/>
      <c r="H2221" s="94" t="n"/>
      <c r="I2221" s="94" t="n"/>
      <c r="J2221" s="55" t="n"/>
      <c r="K2221" s="95" t="n"/>
      <c r="L2221" s="116">
        <f>IF($A2221="","",DATE(YEAR($A2221),MONTH($A2221)+IF(AND(IFERROR(N(INDEX(Übersicht!$M$15:$M$22,MATCH($B2221,Übersicht!$A$15:$A$22,0))),0)&gt;1,DAY($A2221)&gt;=IFERROR(N(INDEX(Übersicht!$M$15:$M$22,MATCH($B2221,Übersicht!$A$15:$A$22,0))),0)),1,0),1))</f>
        <v/>
      </c>
    </row>
    <row r="2222">
      <c r="A2222" s="92" t="n"/>
      <c r="B2222" s="55" t="n"/>
      <c r="C2222" s="55" t="n"/>
      <c r="D2222" s="55" t="n"/>
      <c r="E2222" s="93" t="n"/>
      <c r="F2222" s="94" t="n"/>
      <c r="G2222" s="94" t="n"/>
      <c r="H2222" s="94" t="n"/>
      <c r="I2222" s="94" t="n"/>
      <c r="J2222" s="55" t="n"/>
      <c r="K2222" s="95" t="n"/>
      <c r="L2222" s="116">
        <f>IF($A2222="","",DATE(YEAR($A2222),MONTH($A2222)+IF(AND(IFERROR(N(INDEX(Übersicht!$M$15:$M$22,MATCH($B2222,Übersicht!$A$15:$A$22,0))),0)&gt;1,DAY($A2222)&gt;=IFERROR(N(INDEX(Übersicht!$M$15:$M$22,MATCH($B2222,Übersicht!$A$15:$A$22,0))),0)),1,0),1))</f>
        <v/>
      </c>
    </row>
    <row r="2223">
      <c r="A2223" s="92" t="n"/>
      <c r="B2223" s="55" t="n"/>
      <c r="C2223" s="55" t="n"/>
      <c r="D2223" s="55" t="n"/>
      <c r="E2223" s="93" t="n"/>
      <c r="F2223" s="94" t="n"/>
      <c r="G2223" s="94" t="n"/>
      <c r="H2223" s="94" t="n"/>
      <c r="I2223" s="94" t="n"/>
      <c r="J2223" s="55" t="n"/>
      <c r="K2223" s="95" t="n"/>
      <c r="L2223" s="116">
        <f>IF($A2223="","",DATE(YEAR($A2223),MONTH($A2223)+IF(AND(IFERROR(N(INDEX(Übersicht!$M$15:$M$22,MATCH($B2223,Übersicht!$A$15:$A$22,0))),0)&gt;1,DAY($A2223)&gt;=IFERROR(N(INDEX(Übersicht!$M$15:$M$22,MATCH($B2223,Übersicht!$A$15:$A$22,0))),0)),1,0),1))</f>
        <v/>
      </c>
    </row>
    <row r="2224">
      <c r="A2224" s="92" t="n"/>
      <c r="B2224" s="55" t="n"/>
      <c r="C2224" s="55" t="n"/>
      <c r="D2224" s="55" t="n"/>
      <c r="E2224" s="93" t="n"/>
      <c r="F2224" s="94" t="n"/>
      <c r="G2224" s="94" t="n"/>
      <c r="H2224" s="94" t="n"/>
      <c r="I2224" s="94" t="n"/>
      <c r="J2224" s="55" t="n"/>
      <c r="K2224" s="95" t="n"/>
      <c r="L2224" s="116">
        <f>IF($A2224="","",DATE(YEAR($A2224),MONTH($A2224)+IF(AND(IFERROR(N(INDEX(Übersicht!$M$15:$M$22,MATCH($B2224,Übersicht!$A$15:$A$22,0))),0)&gt;1,DAY($A2224)&gt;=IFERROR(N(INDEX(Übersicht!$M$15:$M$22,MATCH($B2224,Übersicht!$A$15:$A$22,0))),0)),1,0),1))</f>
        <v/>
      </c>
    </row>
    <row r="2225">
      <c r="A2225" s="92" t="n"/>
      <c r="B2225" s="55" t="n"/>
      <c r="C2225" s="55" t="n"/>
      <c r="D2225" s="55" t="n"/>
      <c r="E2225" s="93" t="n"/>
      <c r="F2225" s="94" t="n"/>
      <c r="G2225" s="94" t="n"/>
      <c r="H2225" s="94" t="n"/>
      <c r="I2225" s="94" t="n"/>
      <c r="J2225" s="55" t="n"/>
      <c r="K2225" s="95" t="n"/>
      <c r="L2225" s="116">
        <f>IF($A2225="","",DATE(YEAR($A2225),MONTH($A2225)+IF(AND(IFERROR(N(INDEX(Übersicht!$M$15:$M$22,MATCH($B2225,Übersicht!$A$15:$A$22,0))),0)&gt;1,DAY($A2225)&gt;=IFERROR(N(INDEX(Übersicht!$M$15:$M$22,MATCH($B2225,Übersicht!$A$15:$A$22,0))),0)),1,0),1))</f>
        <v/>
      </c>
    </row>
    <row r="2226">
      <c r="A2226" s="92" t="n"/>
      <c r="B2226" s="55" t="n"/>
      <c r="C2226" s="55" t="n"/>
      <c r="D2226" s="55" t="n"/>
      <c r="E2226" s="93" t="n"/>
      <c r="F2226" s="94" t="n"/>
      <c r="G2226" s="94" t="n"/>
      <c r="H2226" s="94" t="n"/>
      <c r="I2226" s="94" t="n"/>
      <c r="J2226" s="55" t="n"/>
      <c r="K2226" s="95" t="n"/>
      <c r="L2226" s="116">
        <f>IF($A2226="","",DATE(YEAR($A2226),MONTH($A2226)+IF(AND(IFERROR(N(INDEX(Übersicht!$M$15:$M$22,MATCH($B2226,Übersicht!$A$15:$A$22,0))),0)&gt;1,DAY($A2226)&gt;=IFERROR(N(INDEX(Übersicht!$M$15:$M$22,MATCH($B2226,Übersicht!$A$15:$A$22,0))),0)),1,0),1))</f>
        <v/>
      </c>
    </row>
    <row r="2227">
      <c r="A2227" s="92" t="n"/>
      <c r="B2227" s="55" t="n"/>
      <c r="C2227" s="55" t="n"/>
      <c r="D2227" s="55" t="n"/>
      <c r="E2227" s="93" t="n"/>
      <c r="F2227" s="94" t="n"/>
      <c r="G2227" s="94" t="n"/>
      <c r="H2227" s="94" t="n"/>
      <c r="I2227" s="94" t="n"/>
      <c r="J2227" s="55" t="n"/>
      <c r="K2227" s="95" t="n"/>
      <c r="L2227" s="116">
        <f>IF($A2227="","",DATE(YEAR($A2227),MONTH($A2227)+IF(AND(IFERROR(N(INDEX(Übersicht!$M$15:$M$22,MATCH($B2227,Übersicht!$A$15:$A$22,0))),0)&gt;1,DAY($A2227)&gt;=IFERROR(N(INDEX(Übersicht!$M$15:$M$22,MATCH($B2227,Übersicht!$A$15:$A$22,0))),0)),1,0),1))</f>
        <v/>
      </c>
    </row>
    <row r="2228">
      <c r="A2228" s="92" t="n"/>
      <c r="B2228" s="55" t="n"/>
      <c r="C2228" s="55" t="n"/>
      <c r="D2228" s="55" t="n"/>
      <c r="E2228" s="93" t="n"/>
      <c r="F2228" s="94" t="n"/>
      <c r="G2228" s="94" t="n"/>
      <c r="H2228" s="94" t="n"/>
      <c r="I2228" s="94" t="n"/>
      <c r="J2228" s="55" t="n"/>
      <c r="K2228" s="95" t="n"/>
      <c r="L2228" s="116">
        <f>IF($A2228="","",DATE(YEAR($A2228),MONTH($A2228)+IF(AND(IFERROR(N(INDEX(Übersicht!$M$15:$M$22,MATCH($B2228,Übersicht!$A$15:$A$22,0))),0)&gt;1,DAY($A2228)&gt;=IFERROR(N(INDEX(Übersicht!$M$15:$M$22,MATCH($B2228,Übersicht!$A$15:$A$22,0))),0)),1,0),1))</f>
        <v/>
      </c>
    </row>
    <row r="2229">
      <c r="A2229" s="92" t="n"/>
      <c r="B2229" s="55" t="n"/>
      <c r="C2229" s="55" t="n"/>
      <c r="D2229" s="55" t="n"/>
      <c r="E2229" s="93" t="n"/>
      <c r="F2229" s="94" t="n"/>
      <c r="G2229" s="94" t="n"/>
      <c r="H2229" s="94" t="n"/>
      <c r="I2229" s="94" t="n"/>
      <c r="J2229" s="55" t="n"/>
      <c r="K2229" s="95" t="n"/>
      <c r="L2229" s="116">
        <f>IF($A2229="","",DATE(YEAR($A2229),MONTH($A2229)+IF(AND(IFERROR(N(INDEX(Übersicht!$M$15:$M$22,MATCH($B2229,Übersicht!$A$15:$A$22,0))),0)&gt;1,DAY($A2229)&gt;=IFERROR(N(INDEX(Übersicht!$M$15:$M$22,MATCH($B2229,Übersicht!$A$15:$A$22,0))),0)),1,0),1))</f>
        <v/>
      </c>
    </row>
    <row r="2230">
      <c r="A2230" s="92" t="n"/>
      <c r="B2230" s="55" t="n"/>
      <c r="C2230" s="55" t="n"/>
      <c r="D2230" s="55" t="n"/>
      <c r="E2230" s="93" t="n"/>
      <c r="F2230" s="94" t="n"/>
      <c r="G2230" s="94" t="n"/>
      <c r="H2230" s="94" t="n"/>
      <c r="I2230" s="94" t="n"/>
      <c r="J2230" s="55" t="n"/>
      <c r="K2230" s="95" t="n"/>
      <c r="L2230" s="116">
        <f>IF($A2230="","",DATE(YEAR($A2230),MONTH($A2230)+IF(AND(IFERROR(N(INDEX(Übersicht!$M$15:$M$22,MATCH($B2230,Übersicht!$A$15:$A$22,0))),0)&gt;1,DAY($A2230)&gt;=IFERROR(N(INDEX(Übersicht!$M$15:$M$22,MATCH($B2230,Übersicht!$A$15:$A$22,0))),0)),1,0),1))</f>
        <v/>
      </c>
    </row>
    <row r="2231">
      <c r="A2231" s="92" t="n"/>
      <c r="B2231" s="55" t="n"/>
      <c r="C2231" s="55" t="n"/>
      <c r="D2231" s="55" t="n"/>
      <c r="E2231" s="93" t="n"/>
      <c r="F2231" s="94" t="n"/>
      <c r="G2231" s="94" t="n"/>
      <c r="H2231" s="94" t="n"/>
      <c r="I2231" s="94" t="n"/>
      <c r="J2231" s="55" t="n"/>
      <c r="K2231" s="95" t="n"/>
      <c r="L2231" s="116">
        <f>IF($A2231="","",DATE(YEAR($A2231),MONTH($A2231)+IF(AND(IFERROR(N(INDEX(Übersicht!$M$15:$M$22,MATCH($B2231,Übersicht!$A$15:$A$22,0))),0)&gt;1,DAY($A2231)&gt;=IFERROR(N(INDEX(Übersicht!$M$15:$M$22,MATCH($B2231,Übersicht!$A$15:$A$22,0))),0)),1,0),1))</f>
        <v/>
      </c>
    </row>
    <row r="2232">
      <c r="A2232" s="92" t="n"/>
      <c r="B2232" s="55" t="n"/>
      <c r="C2232" s="55" t="n"/>
      <c r="D2232" s="55" t="n"/>
      <c r="E2232" s="93" t="n"/>
      <c r="F2232" s="94" t="n"/>
      <c r="G2232" s="94" t="n"/>
      <c r="H2232" s="94" t="n"/>
      <c r="I2232" s="94" t="n"/>
      <c r="J2232" s="55" t="n"/>
      <c r="K2232" s="95" t="n"/>
      <c r="L2232" s="116">
        <f>IF($A2232="","",DATE(YEAR($A2232),MONTH($A2232)+IF(AND(IFERROR(N(INDEX(Übersicht!$M$15:$M$22,MATCH($B2232,Übersicht!$A$15:$A$22,0))),0)&gt;1,DAY($A2232)&gt;=IFERROR(N(INDEX(Übersicht!$M$15:$M$22,MATCH($B2232,Übersicht!$A$15:$A$22,0))),0)),1,0),1))</f>
        <v/>
      </c>
    </row>
    <row r="2233">
      <c r="A2233" s="92" t="n"/>
      <c r="B2233" s="55" t="n"/>
      <c r="C2233" s="55" t="n"/>
      <c r="D2233" s="55" t="n"/>
      <c r="E2233" s="93" t="n"/>
      <c r="F2233" s="94" t="n"/>
      <c r="G2233" s="94" t="n"/>
      <c r="H2233" s="94" t="n"/>
      <c r="I2233" s="94" t="n"/>
      <c r="J2233" s="55" t="n"/>
      <c r="K2233" s="95" t="n"/>
      <c r="L2233" s="116">
        <f>IF($A2233="","",DATE(YEAR($A2233),MONTH($A2233)+IF(AND(IFERROR(N(INDEX(Übersicht!$M$15:$M$22,MATCH($B2233,Übersicht!$A$15:$A$22,0))),0)&gt;1,DAY($A2233)&gt;=IFERROR(N(INDEX(Übersicht!$M$15:$M$22,MATCH($B2233,Übersicht!$A$15:$A$22,0))),0)),1,0),1))</f>
        <v/>
      </c>
    </row>
    <row r="2234">
      <c r="A2234" s="92" t="n"/>
      <c r="B2234" s="55" t="n"/>
      <c r="C2234" s="55" t="n"/>
      <c r="D2234" s="55" t="n"/>
      <c r="E2234" s="93" t="n"/>
      <c r="F2234" s="94" t="n"/>
      <c r="G2234" s="94" t="n"/>
      <c r="H2234" s="94" t="n"/>
      <c r="I2234" s="94" t="n"/>
      <c r="J2234" s="55" t="n"/>
      <c r="K2234" s="95" t="n"/>
      <c r="L2234" s="116">
        <f>IF($A2234="","",DATE(YEAR($A2234),MONTH($A2234)+IF(AND(IFERROR(N(INDEX(Übersicht!$M$15:$M$22,MATCH($B2234,Übersicht!$A$15:$A$22,0))),0)&gt;1,DAY($A2234)&gt;=IFERROR(N(INDEX(Übersicht!$M$15:$M$22,MATCH($B2234,Übersicht!$A$15:$A$22,0))),0)),1,0),1))</f>
        <v/>
      </c>
    </row>
    <row r="2235">
      <c r="A2235" s="92" t="n"/>
      <c r="B2235" s="55" t="n"/>
      <c r="C2235" s="55" t="n"/>
      <c r="D2235" s="55" t="n"/>
      <c r="E2235" s="93" t="n"/>
      <c r="F2235" s="94" t="n"/>
      <c r="G2235" s="94" t="n"/>
      <c r="H2235" s="94" t="n"/>
      <c r="I2235" s="94" t="n"/>
      <c r="J2235" s="55" t="n"/>
      <c r="K2235" s="95" t="n"/>
      <c r="L2235" s="116">
        <f>IF($A2235="","",DATE(YEAR($A2235),MONTH($A2235)+IF(AND(IFERROR(N(INDEX(Übersicht!$M$15:$M$22,MATCH($B2235,Übersicht!$A$15:$A$22,0))),0)&gt;1,DAY($A2235)&gt;=IFERROR(N(INDEX(Übersicht!$M$15:$M$22,MATCH($B2235,Übersicht!$A$15:$A$22,0))),0)),1,0),1))</f>
        <v/>
      </c>
    </row>
    <row r="2236">
      <c r="A2236" s="92" t="n"/>
      <c r="B2236" s="55" t="n"/>
      <c r="C2236" s="55" t="n"/>
      <c r="D2236" s="55" t="n"/>
      <c r="E2236" s="93" t="n"/>
      <c r="F2236" s="94" t="n"/>
      <c r="G2236" s="94" t="n"/>
      <c r="H2236" s="94" t="n"/>
      <c r="I2236" s="94" t="n"/>
      <c r="J2236" s="55" t="n"/>
      <c r="K2236" s="95" t="n"/>
      <c r="L2236" s="116">
        <f>IF($A2236="","",DATE(YEAR($A2236),MONTH($A2236)+IF(AND(IFERROR(N(INDEX(Übersicht!$M$15:$M$22,MATCH($B2236,Übersicht!$A$15:$A$22,0))),0)&gt;1,DAY($A2236)&gt;=IFERROR(N(INDEX(Übersicht!$M$15:$M$22,MATCH($B2236,Übersicht!$A$15:$A$22,0))),0)),1,0),1))</f>
        <v/>
      </c>
    </row>
    <row r="2237">
      <c r="A2237" s="92" t="n"/>
      <c r="B2237" s="55" t="n"/>
      <c r="C2237" s="55" t="n"/>
      <c r="D2237" s="55" t="n"/>
      <c r="E2237" s="93" t="n"/>
      <c r="F2237" s="94" t="n"/>
      <c r="G2237" s="94" t="n"/>
      <c r="H2237" s="94" t="n"/>
      <c r="I2237" s="94" t="n"/>
      <c r="J2237" s="55" t="n"/>
      <c r="K2237" s="95" t="n"/>
      <c r="L2237" s="116">
        <f>IF($A2237="","",DATE(YEAR($A2237),MONTH($A2237)+IF(AND(IFERROR(N(INDEX(Übersicht!$M$15:$M$22,MATCH($B2237,Übersicht!$A$15:$A$22,0))),0)&gt;1,DAY($A2237)&gt;=IFERROR(N(INDEX(Übersicht!$M$15:$M$22,MATCH($B2237,Übersicht!$A$15:$A$22,0))),0)),1,0),1))</f>
        <v/>
      </c>
    </row>
    <row r="2238">
      <c r="A2238" s="92" t="n"/>
      <c r="B2238" s="55" t="n"/>
      <c r="C2238" s="55" t="n"/>
      <c r="D2238" s="55" t="n"/>
      <c r="E2238" s="93" t="n"/>
      <c r="F2238" s="94" t="n"/>
      <c r="G2238" s="94" t="n"/>
      <c r="H2238" s="94" t="n"/>
      <c r="I2238" s="94" t="n"/>
      <c r="J2238" s="55" t="n"/>
      <c r="K2238" s="95" t="n"/>
      <c r="L2238" s="116">
        <f>IF($A2238="","",DATE(YEAR($A2238),MONTH($A2238)+IF(AND(IFERROR(N(INDEX(Übersicht!$M$15:$M$22,MATCH($B2238,Übersicht!$A$15:$A$22,0))),0)&gt;1,DAY($A2238)&gt;=IFERROR(N(INDEX(Übersicht!$M$15:$M$22,MATCH($B2238,Übersicht!$A$15:$A$22,0))),0)),1,0),1))</f>
        <v/>
      </c>
    </row>
    <row r="2239">
      <c r="A2239" s="92" t="n"/>
      <c r="B2239" s="55" t="n"/>
      <c r="C2239" s="55" t="n"/>
      <c r="D2239" s="55" t="n"/>
      <c r="E2239" s="93" t="n"/>
      <c r="F2239" s="94" t="n"/>
      <c r="G2239" s="94" t="n"/>
      <c r="H2239" s="94" t="n"/>
      <c r="I2239" s="94" t="n"/>
      <c r="J2239" s="55" t="n"/>
      <c r="K2239" s="95" t="n"/>
      <c r="L2239" s="116">
        <f>IF($A2239="","",DATE(YEAR($A2239),MONTH($A2239)+IF(AND(IFERROR(N(INDEX(Übersicht!$M$15:$M$22,MATCH($B2239,Übersicht!$A$15:$A$22,0))),0)&gt;1,DAY($A2239)&gt;=IFERROR(N(INDEX(Übersicht!$M$15:$M$22,MATCH($B2239,Übersicht!$A$15:$A$22,0))),0)),1,0),1))</f>
        <v/>
      </c>
    </row>
    <row r="2240">
      <c r="A2240" s="92" t="n"/>
      <c r="B2240" s="55" t="n"/>
      <c r="C2240" s="55" t="n"/>
      <c r="D2240" s="55" t="n"/>
      <c r="E2240" s="93" t="n"/>
      <c r="F2240" s="94" t="n"/>
      <c r="G2240" s="94" t="n"/>
      <c r="H2240" s="94" t="n"/>
      <c r="I2240" s="94" t="n"/>
      <c r="J2240" s="55" t="n"/>
      <c r="K2240" s="95" t="n"/>
      <c r="L2240" s="116">
        <f>IF($A2240="","",DATE(YEAR($A2240),MONTH($A2240)+IF(AND(IFERROR(N(INDEX(Übersicht!$M$15:$M$22,MATCH($B2240,Übersicht!$A$15:$A$22,0))),0)&gt;1,DAY($A2240)&gt;=IFERROR(N(INDEX(Übersicht!$M$15:$M$22,MATCH($B2240,Übersicht!$A$15:$A$22,0))),0)),1,0),1))</f>
        <v/>
      </c>
    </row>
    <row r="2241">
      <c r="A2241" s="92" t="n"/>
      <c r="B2241" s="55" t="n"/>
      <c r="C2241" s="55" t="n"/>
      <c r="D2241" s="55" t="n"/>
      <c r="E2241" s="93" t="n"/>
      <c r="F2241" s="94" t="n"/>
      <c r="G2241" s="94" t="n"/>
      <c r="H2241" s="94" t="n"/>
      <c r="I2241" s="94" t="n"/>
      <c r="J2241" s="55" t="n"/>
      <c r="K2241" s="95" t="n"/>
      <c r="L2241" s="116">
        <f>IF($A2241="","",DATE(YEAR($A2241),MONTH($A2241)+IF(AND(IFERROR(N(INDEX(Übersicht!$M$15:$M$22,MATCH($B2241,Übersicht!$A$15:$A$22,0))),0)&gt;1,DAY($A2241)&gt;=IFERROR(N(INDEX(Übersicht!$M$15:$M$22,MATCH($B2241,Übersicht!$A$15:$A$22,0))),0)),1,0),1))</f>
        <v/>
      </c>
    </row>
    <row r="2242">
      <c r="A2242" s="92" t="n"/>
      <c r="B2242" s="55" t="n"/>
      <c r="C2242" s="55" t="n"/>
      <c r="D2242" s="55" t="n"/>
      <c r="E2242" s="93" t="n"/>
      <c r="F2242" s="94" t="n"/>
      <c r="G2242" s="94" t="n"/>
      <c r="H2242" s="94" t="n"/>
      <c r="I2242" s="94" t="n"/>
      <c r="J2242" s="55" t="n"/>
      <c r="K2242" s="95" t="n"/>
      <c r="L2242" s="116">
        <f>IF($A2242="","",DATE(YEAR($A2242),MONTH($A2242)+IF(AND(IFERROR(N(INDEX(Übersicht!$M$15:$M$22,MATCH($B2242,Übersicht!$A$15:$A$22,0))),0)&gt;1,DAY($A2242)&gt;=IFERROR(N(INDEX(Übersicht!$M$15:$M$22,MATCH($B2242,Übersicht!$A$15:$A$22,0))),0)),1,0),1))</f>
        <v/>
      </c>
    </row>
    <row r="2243">
      <c r="A2243" s="92" t="n"/>
      <c r="B2243" s="55" t="n"/>
      <c r="C2243" s="55" t="n"/>
      <c r="D2243" s="55" t="n"/>
      <c r="E2243" s="93" t="n"/>
      <c r="F2243" s="94" t="n"/>
      <c r="G2243" s="94" t="n"/>
      <c r="H2243" s="94" t="n"/>
      <c r="I2243" s="94" t="n"/>
      <c r="J2243" s="55" t="n"/>
      <c r="K2243" s="95" t="n"/>
      <c r="L2243" s="116">
        <f>IF($A2243="","",DATE(YEAR($A2243),MONTH($A2243)+IF(AND(IFERROR(N(INDEX(Übersicht!$M$15:$M$22,MATCH($B2243,Übersicht!$A$15:$A$22,0))),0)&gt;1,DAY($A2243)&gt;=IFERROR(N(INDEX(Übersicht!$M$15:$M$22,MATCH($B2243,Übersicht!$A$15:$A$22,0))),0)),1,0),1))</f>
        <v/>
      </c>
    </row>
    <row r="2244">
      <c r="A2244" s="92" t="n"/>
      <c r="B2244" s="55" t="n"/>
      <c r="C2244" s="55" t="n"/>
      <c r="D2244" s="55" t="n"/>
      <c r="E2244" s="93" t="n"/>
      <c r="F2244" s="94" t="n"/>
      <c r="G2244" s="94" t="n"/>
      <c r="H2244" s="94" t="n"/>
      <c r="I2244" s="94" t="n"/>
      <c r="J2244" s="55" t="n"/>
      <c r="K2244" s="95" t="n"/>
      <c r="L2244" s="116">
        <f>IF($A2244="","",DATE(YEAR($A2244),MONTH($A2244)+IF(AND(IFERROR(N(INDEX(Übersicht!$M$15:$M$22,MATCH($B2244,Übersicht!$A$15:$A$22,0))),0)&gt;1,DAY($A2244)&gt;=IFERROR(N(INDEX(Übersicht!$M$15:$M$22,MATCH($B2244,Übersicht!$A$15:$A$22,0))),0)),1,0),1))</f>
        <v/>
      </c>
    </row>
    <row r="2245">
      <c r="A2245" s="92" t="n"/>
      <c r="B2245" s="55" t="n"/>
      <c r="C2245" s="55" t="n"/>
      <c r="D2245" s="55" t="n"/>
      <c r="E2245" s="93" t="n"/>
      <c r="F2245" s="94" t="n"/>
      <c r="G2245" s="94" t="n"/>
      <c r="H2245" s="94" t="n"/>
      <c r="I2245" s="94" t="n"/>
      <c r="J2245" s="55" t="n"/>
      <c r="K2245" s="95" t="n"/>
      <c r="L2245" s="116">
        <f>IF($A2245="","",DATE(YEAR($A2245),MONTH($A2245)+IF(AND(IFERROR(N(INDEX(Übersicht!$M$15:$M$22,MATCH($B2245,Übersicht!$A$15:$A$22,0))),0)&gt;1,DAY($A2245)&gt;=IFERROR(N(INDEX(Übersicht!$M$15:$M$22,MATCH($B2245,Übersicht!$A$15:$A$22,0))),0)),1,0),1))</f>
        <v/>
      </c>
    </row>
    <row r="2246">
      <c r="A2246" s="92" t="n"/>
      <c r="B2246" s="55" t="n"/>
      <c r="C2246" s="55" t="n"/>
      <c r="D2246" s="55" t="n"/>
      <c r="E2246" s="93" t="n"/>
      <c r="F2246" s="94" t="n"/>
      <c r="G2246" s="94" t="n"/>
      <c r="H2246" s="94" t="n"/>
      <c r="I2246" s="94" t="n"/>
      <c r="J2246" s="55" t="n"/>
      <c r="K2246" s="95" t="n"/>
      <c r="L2246" s="116">
        <f>IF($A2246="","",DATE(YEAR($A2246),MONTH($A2246)+IF(AND(IFERROR(N(INDEX(Übersicht!$M$15:$M$22,MATCH($B2246,Übersicht!$A$15:$A$22,0))),0)&gt;1,DAY($A2246)&gt;=IFERROR(N(INDEX(Übersicht!$M$15:$M$22,MATCH($B2246,Übersicht!$A$15:$A$22,0))),0)),1,0),1))</f>
        <v/>
      </c>
    </row>
    <row r="2247">
      <c r="A2247" s="92" t="n"/>
      <c r="B2247" s="55" t="n"/>
      <c r="C2247" s="55" t="n"/>
      <c r="D2247" s="55" t="n"/>
      <c r="E2247" s="93" t="n"/>
      <c r="F2247" s="94" t="n"/>
      <c r="G2247" s="94" t="n"/>
      <c r="H2247" s="94" t="n"/>
      <c r="I2247" s="94" t="n"/>
      <c r="J2247" s="55" t="n"/>
      <c r="K2247" s="95" t="n"/>
      <c r="L2247" s="116">
        <f>IF($A2247="","",DATE(YEAR($A2247),MONTH($A2247)+IF(AND(IFERROR(N(INDEX(Übersicht!$M$15:$M$22,MATCH($B2247,Übersicht!$A$15:$A$22,0))),0)&gt;1,DAY($A2247)&gt;=IFERROR(N(INDEX(Übersicht!$M$15:$M$22,MATCH($B2247,Übersicht!$A$15:$A$22,0))),0)),1,0),1))</f>
        <v/>
      </c>
    </row>
    <row r="2248">
      <c r="A2248" s="92" t="n"/>
      <c r="B2248" s="55" t="n"/>
      <c r="C2248" s="55" t="n"/>
      <c r="D2248" s="55" t="n"/>
      <c r="E2248" s="93" t="n"/>
      <c r="F2248" s="94" t="n"/>
      <c r="G2248" s="94" t="n"/>
      <c r="H2248" s="94" t="n"/>
      <c r="I2248" s="94" t="n"/>
      <c r="J2248" s="55" t="n"/>
      <c r="K2248" s="95" t="n"/>
      <c r="L2248" s="116">
        <f>IF($A2248="","",DATE(YEAR($A2248),MONTH($A2248)+IF(AND(IFERROR(N(INDEX(Übersicht!$M$15:$M$22,MATCH($B2248,Übersicht!$A$15:$A$22,0))),0)&gt;1,DAY($A2248)&gt;=IFERROR(N(INDEX(Übersicht!$M$15:$M$22,MATCH($B2248,Übersicht!$A$15:$A$22,0))),0)),1,0),1))</f>
        <v/>
      </c>
    </row>
    <row r="2249">
      <c r="A2249" s="92" t="n"/>
      <c r="B2249" s="55" t="n"/>
      <c r="C2249" s="55" t="n"/>
      <c r="D2249" s="55" t="n"/>
      <c r="E2249" s="93" t="n"/>
      <c r="F2249" s="94" t="n"/>
      <c r="G2249" s="94" t="n"/>
      <c r="H2249" s="94" t="n"/>
      <c r="I2249" s="94" t="n"/>
      <c r="J2249" s="55" t="n"/>
      <c r="K2249" s="95" t="n"/>
      <c r="L2249" s="116">
        <f>IF($A2249="","",DATE(YEAR($A2249),MONTH($A2249)+IF(AND(IFERROR(N(INDEX(Übersicht!$M$15:$M$22,MATCH($B2249,Übersicht!$A$15:$A$22,0))),0)&gt;1,DAY($A2249)&gt;=IFERROR(N(INDEX(Übersicht!$M$15:$M$22,MATCH($B2249,Übersicht!$A$15:$A$22,0))),0)),1,0),1))</f>
        <v/>
      </c>
    </row>
    <row r="2250">
      <c r="A2250" s="92" t="n"/>
      <c r="B2250" s="55" t="n"/>
      <c r="C2250" s="55" t="n"/>
      <c r="D2250" s="55" t="n"/>
      <c r="E2250" s="93" t="n"/>
      <c r="F2250" s="94" t="n"/>
      <c r="G2250" s="94" t="n"/>
      <c r="H2250" s="94" t="n"/>
      <c r="I2250" s="94" t="n"/>
      <c r="J2250" s="55" t="n"/>
      <c r="K2250" s="95" t="n"/>
      <c r="L2250" s="116">
        <f>IF($A2250="","",DATE(YEAR($A2250),MONTH($A2250)+IF(AND(IFERROR(N(INDEX(Übersicht!$M$15:$M$22,MATCH($B2250,Übersicht!$A$15:$A$22,0))),0)&gt;1,DAY($A2250)&gt;=IFERROR(N(INDEX(Übersicht!$M$15:$M$22,MATCH($B2250,Übersicht!$A$15:$A$22,0))),0)),1,0),1))</f>
        <v/>
      </c>
    </row>
    <row r="2251">
      <c r="A2251" s="92" t="n"/>
      <c r="B2251" s="55" t="n"/>
      <c r="C2251" s="55" t="n"/>
      <c r="D2251" s="55" t="n"/>
      <c r="E2251" s="93" t="n"/>
      <c r="F2251" s="94" t="n"/>
      <c r="G2251" s="94" t="n"/>
      <c r="H2251" s="94" t="n"/>
      <c r="I2251" s="94" t="n"/>
      <c r="J2251" s="55" t="n"/>
      <c r="K2251" s="95" t="n"/>
      <c r="L2251" s="116">
        <f>IF($A2251="","",DATE(YEAR($A2251),MONTH($A2251)+IF(AND(IFERROR(N(INDEX(Übersicht!$M$15:$M$22,MATCH($B2251,Übersicht!$A$15:$A$22,0))),0)&gt;1,DAY($A2251)&gt;=IFERROR(N(INDEX(Übersicht!$M$15:$M$22,MATCH($B2251,Übersicht!$A$15:$A$22,0))),0)),1,0),1))</f>
        <v/>
      </c>
    </row>
    <row r="2252">
      <c r="A2252" s="92" t="n"/>
      <c r="B2252" s="55" t="n"/>
      <c r="C2252" s="55" t="n"/>
      <c r="D2252" s="55" t="n"/>
      <c r="E2252" s="93" t="n"/>
      <c r="F2252" s="94" t="n"/>
      <c r="G2252" s="94" t="n"/>
      <c r="H2252" s="94" t="n"/>
      <c r="I2252" s="94" t="n"/>
      <c r="J2252" s="55" t="n"/>
      <c r="K2252" s="95" t="n"/>
      <c r="L2252" s="116">
        <f>IF($A2252="","",DATE(YEAR($A2252),MONTH($A2252)+IF(AND(IFERROR(N(INDEX(Übersicht!$M$15:$M$22,MATCH($B2252,Übersicht!$A$15:$A$22,0))),0)&gt;1,DAY($A2252)&gt;=IFERROR(N(INDEX(Übersicht!$M$15:$M$22,MATCH($B2252,Übersicht!$A$15:$A$22,0))),0)),1,0),1))</f>
        <v/>
      </c>
    </row>
    <row r="2253">
      <c r="A2253" s="92" t="n"/>
      <c r="B2253" s="55" t="n"/>
      <c r="C2253" s="55" t="n"/>
      <c r="D2253" s="55" t="n"/>
      <c r="E2253" s="93" t="n"/>
      <c r="F2253" s="94" t="n"/>
      <c r="G2253" s="94" t="n"/>
      <c r="H2253" s="94" t="n"/>
      <c r="I2253" s="94" t="n"/>
      <c r="J2253" s="55" t="n"/>
      <c r="K2253" s="95" t="n"/>
      <c r="L2253" s="116">
        <f>IF($A2253="","",DATE(YEAR($A2253),MONTH($A2253)+IF(AND(IFERROR(N(INDEX(Übersicht!$M$15:$M$22,MATCH($B2253,Übersicht!$A$15:$A$22,0))),0)&gt;1,DAY($A2253)&gt;=IFERROR(N(INDEX(Übersicht!$M$15:$M$22,MATCH($B2253,Übersicht!$A$15:$A$22,0))),0)),1,0),1))</f>
        <v/>
      </c>
    </row>
    <row r="2254">
      <c r="A2254" s="92" t="n"/>
      <c r="B2254" s="55" t="n"/>
      <c r="C2254" s="55" t="n"/>
      <c r="D2254" s="55" t="n"/>
      <c r="E2254" s="93" t="n"/>
      <c r="F2254" s="94" t="n"/>
      <c r="G2254" s="94" t="n"/>
      <c r="H2254" s="94" t="n"/>
      <c r="I2254" s="94" t="n"/>
      <c r="J2254" s="55" t="n"/>
      <c r="K2254" s="95" t="n"/>
      <c r="L2254" s="116">
        <f>IF($A2254="","",DATE(YEAR($A2254),MONTH($A2254)+IF(AND(IFERROR(N(INDEX(Übersicht!$M$15:$M$22,MATCH($B2254,Übersicht!$A$15:$A$22,0))),0)&gt;1,DAY($A2254)&gt;=IFERROR(N(INDEX(Übersicht!$M$15:$M$22,MATCH($B2254,Übersicht!$A$15:$A$22,0))),0)),1,0),1))</f>
        <v/>
      </c>
    </row>
    <row r="2255">
      <c r="A2255" s="92" t="n"/>
      <c r="B2255" s="55" t="n"/>
      <c r="C2255" s="55" t="n"/>
      <c r="D2255" s="55" t="n"/>
      <c r="E2255" s="93" t="n"/>
      <c r="F2255" s="94" t="n"/>
      <c r="G2255" s="94" t="n"/>
      <c r="H2255" s="94" t="n"/>
      <c r="I2255" s="94" t="n"/>
      <c r="J2255" s="55" t="n"/>
      <c r="K2255" s="95" t="n"/>
      <c r="L2255" s="116">
        <f>IF($A2255="","",DATE(YEAR($A2255),MONTH($A2255)+IF(AND(IFERROR(N(INDEX(Übersicht!$M$15:$M$22,MATCH($B2255,Übersicht!$A$15:$A$22,0))),0)&gt;1,DAY($A2255)&gt;=IFERROR(N(INDEX(Übersicht!$M$15:$M$22,MATCH($B2255,Übersicht!$A$15:$A$22,0))),0)),1,0),1))</f>
        <v/>
      </c>
    </row>
    <row r="2256">
      <c r="A2256" s="92" t="n"/>
      <c r="B2256" s="55" t="n"/>
      <c r="C2256" s="55" t="n"/>
      <c r="D2256" s="55" t="n"/>
      <c r="E2256" s="93" t="n"/>
      <c r="F2256" s="94" t="n"/>
      <c r="G2256" s="94" t="n"/>
      <c r="H2256" s="94" t="n"/>
      <c r="I2256" s="94" t="n"/>
      <c r="J2256" s="55" t="n"/>
      <c r="K2256" s="95" t="n"/>
      <c r="L2256" s="116">
        <f>IF($A2256="","",DATE(YEAR($A2256),MONTH($A2256)+IF(AND(IFERROR(N(INDEX(Übersicht!$M$15:$M$22,MATCH($B2256,Übersicht!$A$15:$A$22,0))),0)&gt;1,DAY($A2256)&gt;=IFERROR(N(INDEX(Übersicht!$M$15:$M$22,MATCH($B2256,Übersicht!$A$15:$A$22,0))),0)),1,0),1))</f>
        <v/>
      </c>
    </row>
    <row r="2257">
      <c r="A2257" s="92" t="n"/>
      <c r="B2257" s="55" t="n"/>
      <c r="C2257" s="55" t="n"/>
      <c r="D2257" s="55" t="n"/>
      <c r="E2257" s="93" t="n"/>
      <c r="F2257" s="94" t="n"/>
      <c r="G2257" s="94" t="n"/>
      <c r="H2257" s="94" t="n"/>
      <c r="I2257" s="94" t="n"/>
      <c r="J2257" s="55" t="n"/>
      <c r="K2257" s="95" t="n"/>
      <c r="L2257" s="116">
        <f>IF($A2257="","",DATE(YEAR($A2257),MONTH($A2257)+IF(AND(IFERROR(N(INDEX(Übersicht!$M$15:$M$22,MATCH($B2257,Übersicht!$A$15:$A$22,0))),0)&gt;1,DAY($A2257)&gt;=IFERROR(N(INDEX(Übersicht!$M$15:$M$22,MATCH($B2257,Übersicht!$A$15:$A$22,0))),0)),1,0),1))</f>
        <v/>
      </c>
    </row>
    <row r="2258">
      <c r="A2258" s="92" t="n"/>
      <c r="B2258" s="55" t="n"/>
      <c r="C2258" s="55" t="n"/>
      <c r="D2258" s="55" t="n"/>
      <c r="E2258" s="93" t="n"/>
      <c r="F2258" s="94" t="n"/>
      <c r="G2258" s="94" t="n"/>
      <c r="H2258" s="94" t="n"/>
      <c r="I2258" s="94" t="n"/>
      <c r="J2258" s="55" t="n"/>
      <c r="K2258" s="95" t="n"/>
      <c r="L2258" s="116">
        <f>IF($A2258="","",DATE(YEAR($A2258),MONTH($A2258)+IF(AND(IFERROR(N(INDEX(Übersicht!$M$15:$M$22,MATCH($B2258,Übersicht!$A$15:$A$22,0))),0)&gt;1,DAY($A2258)&gt;=IFERROR(N(INDEX(Übersicht!$M$15:$M$22,MATCH($B2258,Übersicht!$A$15:$A$22,0))),0)),1,0),1))</f>
        <v/>
      </c>
    </row>
    <row r="2259">
      <c r="A2259" s="92" t="n"/>
      <c r="B2259" s="55" t="n"/>
      <c r="C2259" s="55" t="n"/>
      <c r="D2259" s="55" t="n"/>
      <c r="E2259" s="93" t="n"/>
      <c r="F2259" s="94" t="n"/>
      <c r="G2259" s="94" t="n"/>
      <c r="H2259" s="94" t="n"/>
      <c r="I2259" s="94" t="n"/>
      <c r="J2259" s="55" t="n"/>
      <c r="K2259" s="95" t="n"/>
      <c r="L2259" s="116">
        <f>IF($A2259="","",DATE(YEAR($A2259),MONTH($A2259)+IF(AND(IFERROR(N(INDEX(Übersicht!$M$15:$M$22,MATCH($B2259,Übersicht!$A$15:$A$22,0))),0)&gt;1,DAY($A2259)&gt;=IFERROR(N(INDEX(Übersicht!$M$15:$M$22,MATCH($B2259,Übersicht!$A$15:$A$22,0))),0)),1,0),1))</f>
        <v/>
      </c>
    </row>
    <row r="2260">
      <c r="A2260" s="92" t="n"/>
      <c r="B2260" s="55" t="n"/>
      <c r="C2260" s="55" t="n"/>
      <c r="D2260" s="55" t="n"/>
      <c r="E2260" s="93" t="n"/>
      <c r="F2260" s="94" t="n"/>
      <c r="G2260" s="94" t="n"/>
      <c r="H2260" s="94" t="n"/>
      <c r="I2260" s="94" t="n"/>
      <c r="J2260" s="55" t="n"/>
      <c r="K2260" s="95" t="n"/>
      <c r="L2260" s="116">
        <f>IF($A2260="","",DATE(YEAR($A2260),MONTH($A2260)+IF(AND(IFERROR(N(INDEX(Übersicht!$M$15:$M$22,MATCH($B2260,Übersicht!$A$15:$A$22,0))),0)&gt;1,DAY($A2260)&gt;=IFERROR(N(INDEX(Übersicht!$M$15:$M$22,MATCH($B2260,Übersicht!$A$15:$A$22,0))),0)),1,0),1))</f>
        <v/>
      </c>
    </row>
    <row r="2261">
      <c r="A2261" s="92" t="n"/>
      <c r="B2261" s="55" t="n"/>
      <c r="C2261" s="55" t="n"/>
      <c r="D2261" s="55" t="n"/>
      <c r="E2261" s="93" t="n"/>
      <c r="F2261" s="94" t="n"/>
      <c r="G2261" s="94" t="n"/>
      <c r="H2261" s="94" t="n"/>
      <c r="I2261" s="94" t="n"/>
      <c r="J2261" s="55" t="n"/>
      <c r="K2261" s="95" t="n"/>
      <c r="L2261" s="116">
        <f>IF($A2261="","",DATE(YEAR($A2261),MONTH($A2261)+IF(AND(IFERROR(N(INDEX(Übersicht!$M$15:$M$22,MATCH($B2261,Übersicht!$A$15:$A$22,0))),0)&gt;1,DAY($A2261)&gt;=IFERROR(N(INDEX(Übersicht!$M$15:$M$22,MATCH($B2261,Übersicht!$A$15:$A$22,0))),0)),1,0),1))</f>
        <v/>
      </c>
    </row>
    <row r="2262">
      <c r="A2262" s="92" t="n"/>
      <c r="B2262" s="55" t="n"/>
      <c r="C2262" s="55" t="n"/>
      <c r="D2262" s="55" t="n"/>
      <c r="E2262" s="93" t="n"/>
      <c r="F2262" s="94" t="n"/>
      <c r="G2262" s="94" t="n"/>
      <c r="H2262" s="94" t="n"/>
      <c r="I2262" s="94" t="n"/>
      <c r="J2262" s="55" t="n"/>
      <c r="K2262" s="95" t="n"/>
      <c r="L2262" s="116">
        <f>IF($A2262="","",DATE(YEAR($A2262),MONTH($A2262)+IF(AND(IFERROR(N(INDEX(Übersicht!$M$15:$M$22,MATCH($B2262,Übersicht!$A$15:$A$22,0))),0)&gt;1,DAY($A2262)&gt;=IFERROR(N(INDEX(Übersicht!$M$15:$M$22,MATCH($B2262,Übersicht!$A$15:$A$22,0))),0)),1,0),1))</f>
        <v/>
      </c>
    </row>
    <row r="2263">
      <c r="A2263" s="92" t="n"/>
      <c r="B2263" s="55" t="n"/>
      <c r="C2263" s="55" t="n"/>
      <c r="D2263" s="55" t="n"/>
      <c r="E2263" s="93" t="n"/>
      <c r="F2263" s="94" t="n"/>
      <c r="G2263" s="94" t="n"/>
      <c r="H2263" s="94" t="n"/>
      <c r="I2263" s="94" t="n"/>
      <c r="J2263" s="55" t="n"/>
      <c r="K2263" s="95" t="n"/>
      <c r="L2263" s="116">
        <f>IF($A2263="","",DATE(YEAR($A2263),MONTH($A2263)+IF(AND(IFERROR(N(INDEX(Übersicht!$M$15:$M$22,MATCH($B2263,Übersicht!$A$15:$A$22,0))),0)&gt;1,DAY($A2263)&gt;=IFERROR(N(INDEX(Übersicht!$M$15:$M$22,MATCH($B2263,Übersicht!$A$15:$A$22,0))),0)),1,0),1))</f>
        <v/>
      </c>
    </row>
    <row r="2264">
      <c r="A2264" s="92" t="n"/>
      <c r="B2264" s="55" t="n"/>
      <c r="C2264" s="55" t="n"/>
      <c r="D2264" s="55" t="n"/>
      <c r="E2264" s="93" t="n"/>
      <c r="F2264" s="94" t="n"/>
      <c r="G2264" s="94" t="n"/>
      <c r="H2264" s="94" t="n"/>
      <c r="I2264" s="94" t="n"/>
      <c r="J2264" s="55" t="n"/>
      <c r="K2264" s="95" t="n"/>
      <c r="L2264" s="116">
        <f>IF($A2264="","",DATE(YEAR($A2264),MONTH($A2264)+IF(AND(IFERROR(N(INDEX(Übersicht!$M$15:$M$22,MATCH($B2264,Übersicht!$A$15:$A$22,0))),0)&gt;1,DAY($A2264)&gt;=IFERROR(N(INDEX(Übersicht!$M$15:$M$22,MATCH($B2264,Übersicht!$A$15:$A$22,0))),0)),1,0),1))</f>
        <v/>
      </c>
    </row>
    <row r="2265">
      <c r="A2265" s="92" t="n"/>
      <c r="B2265" s="55" t="n"/>
      <c r="C2265" s="55" t="n"/>
      <c r="D2265" s="55" t="n"/>
      <c r="E2265" s="93" t="n"/>
      <c r="F2265" s="94" t="n"/>
      <c r="G2265" s="94" t="n"/>
      <c r="H2265" s="94" t="n"/>
      <c r="I2265" s="94" t="n"/>
      <c r="J2265" s="55" t="n"/>
      <c r="K2265" s="95" t="n"/>
      <c r="L2265" s="116">
        <f>IF($A2265="","",DATE(YEAR($A2265),MONTH($A2265)+IF(AND(IFERROR(N(INDEX(Übersicht!$M$15:$M$22,MATCH($B2265,Übersicht!$A$15:$A$22,0))),0)&gt;1,DAY($A2265)&gt;=IFERROR(N(INDEX(Übersicht!$M$15:$M$22,MATCH($B2265,Übersicht!$A$15:$A$22,0))),0)),1,0),1))</f>
        <v/>
      </c>
    </row>
    <row r="2266">
      <c r="A2266" s="92" t="n"/>
      <c r="B2266" s="55" t="n"/>
      <c r="C2266" s="55" t="n"/>
      <c r="D2266" s="55" t="n"/>
      <c r="E2266" s="93" t="n"/>
      <c r="F2266" s="94" t="n"/>
      <c r="G2266" s="94" t="n"/>
      <c r="H2266" s="94" t="n"/>
      <c r="I2266" s="94" t="n"/>
      <c r="J2266" s="55" t="n"/>
      <c r="K2266" s="95" t="n"/>
      <c r="L2266" s="116">
        <f>IF($A2266="","",DATE(YEAR($A2266),MONTH($A2266)+IF(AND(IFERROR(N(INDEX(Übersicht!$M$15:$M$22,MATCH($B2266,Übersicht!$A$15:$A$22,0))),0)&gt;1,DAY($A2266)&gt;=IFERROR(N(INDEX(Übersicht!$M$15:$M$22,MATCH($B2266,Übersicht!$A$15:$A$22,0))),0)),1,0),1))</f>
        <v/>
      </c>
    </row>
    <row r="2267">
      <c r="A2267" s="92" t="n"/>
      <c r="B2267" s="55" t="n"/>
      <c r="C2267" s="55" t="n"/>
      <c r="D2267" s="55" t="n"/>
      <c r="E2267" s="93" t="n"/>
      <c r="F2267" s="94" t="n"/>
      <c r="G2267" s="94" t="n"/>
      <c r="H2267" s="94" t="n"/>
      <c r="I2267" s="94" t="n"/>
      <c r="J2267" s="55" t="n"/>
      <c r="K2267" s="95" t="n"/>
      <c r="L2267" s="116">
        <f>IF($A2267="","",DATE(YEAR($A2267),MONTH($A2267)+IF(AND(IFERROR(N(INDEX(Übersicht!$M$15:$M$22,MATCH($B2267,Übersicht!$A$15:$A$22,0))),0)&gt;1,DAY($A2267)&gt;=IFERROR(N(INDEX(Übersicht!$M$15:$M$22,MATCH($B2267,Übersicht!$A$15:$A$22,0))),0)),1,0),1))</f>
        <v/>
      </c>
    </row>
    <row r="2268">
      <c r="A2268" s="92" t="n"/>
      <c r="B2268" s="55" t="n"/>
      <c r="C2268" s="55" t="n"/>
      <c r="D2268" s="55" t="n"/>
      <c r="E2268" s="93" t="n"/>
      <c r="F2268" s="94" t="n"/>
      <c r="G2268" s="94" t="n"/>
      <c r="H2268" s="94" t="n"/>
      <c r="I2268" s="94" t="n"/>
      <c r="J2268" s="55" t="n"/>
      <c r="K2268" s="95" t="n"/>
      <c r="L2268" s="116">
        <f>IF($A2268="","",DATE(YEAR($A2268),MONTH($A2268)+IF(AND(IFERROR(N(INDEX(Übersicht!$M$15:$M$22,MATCH($B2268,Übersicht!$A$15:$A$22,0))),0)&gt;1,DAY($A2268)&gt;=IFERROR(N(INDEX(Übersicht!$M$15:$M$22,MATCH($B2268,Übersicht!$A$15:$A$22,0))),0)),1,0),1))</f>
        <v/>
      </c>
    </row>
    <row r="2269">
      <c r="A2269" s="92" t="n"/>
      <c r="B2269" s="55" t="n"/>
      <c r="C2269" s="55" t="n"/>
      <c r="D2269" s="55" t="n"/>
      <c r="E2269" s="93" t="n"/>
      <c r="F2269" s="94" t="n"/>
      <c r="G2269" s="94" t="n"/>
      <c r="H2269" s="94" t="n"/>
      <c r="I2269" s="94" t="n"/>
      <c r="J2269" s="55" t="n"/>
      <c r="K2269" s="95" t="n"/>
      <c r="L2269" s="116">
        <f>IF($A2269="","",DATE(YEAR($A2269),MONTH($A2269)+IF(AND(IFERROR(N(INDEX(Übersicht!$M$15:$M$22,MATCH($B2269,Übersicht!$A$15:$A$22,0))),0)&gt;1,DAY($A2269)&gt;=IFERROR(N(INDEX(Übersicht!$M$15:$M$22,MATCH($B2269,Übersicht!$A$15:$A$22,0))),0)),1,0),1))</f>
        <v/>
      </c>
    </row>
    <row r="2270">
      <c r="A2270" s="92" t="n"/>
      <c r="B2270" s="55" t="n"/>
      <c r="C2270" s="55" t="n"/>
      <c r="D2270" s="55" t="n"/>
      <c r="E2270" s="93" t="n"/>
      <c r="F2270" s="94" t="n"/>
      <c r="G2270" s="94" t="n"/>
      <c r="H2270" s="94" t="n"/>
      <c r="I2270" s="94" t="n"/>
      <c r="J2270" s="55" t="n"/>
      <c r="K2270" s="95" t="n"/>
      <c r="L2270" s="116">
        <f>IF($A2270="","",DATE(YEAR($A2270),MONTH($A2270)+IF(AND(IFERROR(N(INDEX(Übersicht!$M$15:$M$22,MATCH($B2270,Übersicht!$A$15:$A$22,0))),0)&gt;1,DAY($A2270)&gt;=IFERROR(N(INDEX(Übersicht!$M$15:$M$22,MATCH($B2270,Übersicht!$A$15:$A$22,0))),0)),1,0),1))</f>
        <v/>
      </c>
    </row>
    <row r="2271">
      <c r="A2271" s="92" t="n"/>
      <c r="B2271" s="55" t="n"/>
      <c r="C2271" s="55" t="n"/>
      <c r="D2271" s="55" t="n"/>
      <c r="E2271" s="93" t="n"/>
      <c r="F2271" s="94" t="n"/>
      <c r="G2271" s="94" t="n"/>
      <c r="H2271" s="94" t="n"/>
      <c r="I2271" s="94" t="n"/>
      <c r="J2271" s="55" t="n"/>
      <c r="K2271" s="95" t="n"/>
      <c r="L2271" s="116">
        <f>IF($A2271="","",DATE(YEAR($A2271),MONTH($A2271)+IF(AND(IFERROR(N(INDEX(Übersicht!$M$15:$M$22,MATCH($B2271,Übersicht!$A$15:$A$22,0))),0)&gt;1,DAY($A2271)&gt;=IFERROR(N(INDEX(Übersicht!$M$15:$M$22,MATCH($B2271,Übersicht!$A$15:$A$22,0))),0)),1,0),1))</f>
        <v/>
      </c>
    </row>
    <row r="2272">
      <c r="A2272" s="92" t="n"/>
      <c r="B2272" s="55" t="n"/>
      <c r="C2272" s="55" t="n"/>
      <c r="D2272" s="55" t="n"/>
      <c r="E2272" s="93" t="n"/>
      <c r="F2272" s="94" t="n"/>
      <c r="G2272" s="94" t="n"/>
      <c r="H2272" s="94" t="n"/>
      <c r="I2272" s="94" t="n"/>
      <c r="J2272" s="55" t="n"/>
      <c r="K2272" s="95" t="n"/>
      <c r="L2272" s="116">
        <f>IF($A2272="","",DATE(YEAR($A2272),MONTH($A2272)+IF(AND(IFERROR(N(INDEX(Übersicht!$M$15:$M$22,MATCH($B2272,Übersicht!$A$15:$A$22,0))),0)&gt;1,DAY($A2272)&gt;=IFERROR(N(INDEX(Übersicht!$M$15:$M$22,MATCH($B2272,Übersicht!$A$15:$A$22,0))),0)),1,0),1))</f>
        <v/>
      </c>
    </row>
    <row r="2273">
      <c r="A2273" s="92" t="n"/>
      <c r="B2273" s="55" t="n"/>
      <c r="C2273" s="55" t="n"/>
      <c r="D2273" s="55" t="n"/>
      <c r="E2273" s="93" t="n"/>
      <c r="F2273" s="94" t="n"/>
      <c r="G2273" s="94" t="n"/>
      <c r="H2273" s="94" t="n"/>
      <c r="I2273" s="94" t="n"/>
      <c r="J2273" s="55" t="n"/>
      <c r="K2273" s="95" t="n"/>
      <c r="L2273" s="116">
        <f>IF($A2273="","",DATE(YEAR($A2273),MONTH($A2273)+IF(AND(IFERROR(N(INDEX(Übersicht!$M$15:$M$22,MATCH($B2273,Übersicht!$A$15:$A$22,0))),0)&gt;1,DAY($A2273)&gt;=IFERROR(N(INDEX(Übersicht!$M$15:$M$22,MATCH($B2273,Übersicht!$A$15:$A$22,0))),0)),1,0),1))</f>
        <v/>
      </c>
    </row>
    <row r="2274">
      <c r="A2274" s="92" t="n"/>
      <c r="B2274" s="55" t="n"/>
      <c r="C2274" s="55" t="n"/>
      <c r="D2274" s="55" t="n"/>
      <c r="E2274" s="93" t="n"/>
      <c r="F2274" s="94" t="n"/>
      <c r="G2274" s="94" t="n"/>
      <c r="H2274" s="94" t="n"/>
      <c r="I2274" s="94" t="n"/>
      <c r="J2274" s="55" t="n"/>
      <c r="K2274" s="95" t="n"/>
      <c r="L2274" s="116">
        <f>IF($A2274="","",DATE(YEAR($A2274),MONTH($A2274)+IF(AND(IFERROR(N(INDEX(Übersicht!$M$15:$M$22,MATCH($B2274,Übersicht!$A$15:$A$22,0))),0)&gt;1,DAY($A2274)&gt;=IFERROR(N(INDEX(Übersicht!$M$15:$M$22,MATCH($B2274,Übersicht!$A$15:$A$22,0))),0)),1,0),1))</f>
        <v/>
      </c>
    </row>
    <row r="2275">
      <c r="A2275" s="92" t="n"/>
      <c r="B2275" s="55" t="n"/>
      <c r="C2275" s="55" t="n"/>
      <c r="D2275" s="55" t="n"/>
      <c r="E2275" s="93" t="n"/>
      <c r="F2275" s="94" t="n"/>
      <c r="G2275" s="94" t="n"/>
      <c r="H2275" s="94" t="n"/>
      <c r="I2275" s="94" t="n"/>
      <c r="J2275" s="55" t="n"/>
      <c r="K2275" s="95" t="n"/>
      <c r="L2275" s="116">
        <f>IF($A2275="","",DATE(YEAR($A2275),MONTH($A2275)+IF(AND(IFERROR(N(INDEX(Übersicht!$M$15:$M$22,MATCH($B2275,Übersicht!$A$15:$A$22,0))),0)&gt;1,DAY($A2275)&gt;=IFERROR(N(INDEX(Übersicht!$M$15:$M$22,MATCH($B2275,Übersicht!$A$15:$A$22,0))),0)),1,0),1))</f>
        <v/>
      </c>
    </row>
    <row r="2276">
      <c r="A2276" s="92" t="n"/>
      <c r="B2276" s="55" t="n"/>
      <c r="C2276" s="55" t="n"/>
      <c r="D2276" s="55" t="n"/>
      <c r="E2276" s="93" t="n"/>
      <c r="F2276" s="94" t="n"/>
      <c r="G2276" s="94" t="n"/>
      <c r="H2276" s="94" t="n"/>
      <c r="I2276" s="94" t="n"/>
      <c r="J2276" s="55" t="n"/>
      <c r="K2276" s="95" t="n"/>
      <c r="L2276" s="116">
        <f>IF($A2276="","",DATE(YEAR($A2276),MONTH($A2276)+IF(AND(IFERROR(N(INDEX(Übersicht!$M$15:$M$22,MATCH($B2276,Übersicht!$A$15:$A$22,0))),0)&gt;1,DAY($A2276)&gt;=IFERROR(N(INDEX(Übersicht!$M$15:$M$22,MATCH($B2276,Übersicht!$A$15:$A$22,0))),0)),1,0),1))</f>
        <v/>
      </c>
    </row>
    <row r="2277">
      <c r="A2277" s="92" t="n"/>
      <c r="B2277" s="55" t="n"/>
      <c r="C2277" s="55" t="n"/>
      <c r="D2277" s="55" t="n"/>
      <c r="E2277" s="93" t="n"/>
      <c r="F2277" s="94" t="n"/>
      <c r="G2277" s="94" t="n"/>
      <c r="H2277" s="94" t="n"/>
      <c r="I2277" s="94" t="n"/>
      <c r="J2277" s="55" t="n"/>
      <c r="K2277" s="95" t="n"/>
      <c r="L2277" s="116">
        <f>IF($A2277="","",DATE(YEAR($A2277),MONTH($A2277)+IF(AND(IFERROR(N(INDEX(Übersicht!$M$15:$M$22,MATCH($B2277,Übersicht!$A$15:$A$22,0))),0)&gt;1,DAY($A2277)&gt;=IFERROR(N(INDEX(Übersicht!$M$15:$M$22,MATCH($B2277,Übersicht!$A$15:$A$22,0))),0)),1,0),1))</f>
        <v/>
      </c>
    </row>
    <row r="2278">
      <c r="A2278" s="92" t="n"/>
      <c r="B2278" s="55" t="n"/>
      <c r="C2278" s="55" t="n"/>
      <c r="D2278" s="55" t="n"/>
      <c r="E2278" s="93" t="n"/>
      <c r="F2278" s="94" t="n"/>
      <c r="G2278" s="94" t="n"/>
      <c r="H2278" s="94" t="n"/>
      <c r="I2278" s="94" t="n"/>
      <c r="J2278" s="55" t="n"/>
      <c r="K2278" s="95" t="n"/>
      <c r="L2278" s="116">
        <f>IF($A2278="","",DATE(YEAR($A2278),MONTH($A2278)+IF(AND(IFERROR(N(INDEX(Übersicht!$M$15:$M$22,MATCH($B2278,Übersicht!$A$15:$A$22,0))),0)&gt;1,DAY($A2278)&gt;=IFERROR(N(INDEX(Übersicht!$M$15:$M$22,MATCH($B2278,Übersicht!$A$15:$A$22,0))),0)),1,0),1))</f>
        <v/>
      </c>
    </row>
    <row r="2279">
      <c r="A2279" s="92" t="n"/>
      <c r="B2279" s="55" t="n"/>
      <c r="C2279" s="55" t="n"/>
      <c r="D2279" s="55" t="n"/>
      <c r="E2279" s="93" t="n"/>
      <c r="F2279" s="94" t="n"/>
      <c r="G2279" s="94" t="n"/>
      <c r="H2279" s="94" t="n"/>
      <c r="I2279" s="94" t="n"/>
      <c r="J2279" s="55" t="n"/>
      <c r="K2279" s="95" t="n"/>
      <c r="L2279" s="116">
        <f>IF($A2279="","",DATE(YEAR($A2279),MONTH($A2279)+IF(AND(IFERROR(N(INDEX(Übersicht!$M$15:$M$22,MATCH($B2279,Übersicht!$A$15:$A$22,0))),0)&gt;1,DAY($A2279)&gt;=IFERROR(N(INDEX(Übersicht!$M$15:$M$22,MATCH($B2279,Übersicht!$A$15:$A$22,0))),0)),1,0),1))</f>
        <v/>
      </c>
    </row>
    <row r="2280">
      <c r="A2280" s="92" t="n"/>
      <c r="B2280" s="55" t="n"/>
      <c r="C2280" s="55" t="n"/>
      <c r="D2280" s="55" t="n"/>
      <c r="E2280" s="93" t="n"/>
      <c r="F2280" s="94" t="n"/>
      <c r="G2280" s="94" t="n"/>
      <c r="H2280" s="94" t="n"/>
      <c r="I2280" s="94" t="n"/>
      <c r="J2280" s="55" t="n"/>
      <c r="K2280" s="95" t="n"/>
      <c r="L2280" s="116">
        <f>IF($A2280="","",DATE(YEAR($A2280),MONTH($A2280)+IF(AND(IFERROR(N(INDEX(Übersicht!$M$15:$M$22,MATCH($B2280,Übersicht!$A$15:$A$22,0))),0)&gt;1,DAY($A2280)&gt;=IFERROR(N(INDEX(Übersicht!$M$15:$M$22,MATCH($B2280,Übersicht!$A$15:$A$22,0))),0)),1,0),1))</f>
        <v/>
      </c>
    </row>
    <row r="2281">
      <c r="A2281" s="92" t="n"/>
      <c r="B2281" s="55" t="n"/>
      <c r="C2281" s="55" t="n"/>
      <c r="D2281" s="55" t="n"/>
      <c r="E2281" s="93" t="n"/>
      <c r="F2281" s="94" t="n"/>
      <c r="G2281" s="94" t="n"/>
      <c r="H2281" s="94" t="n"/>
      <c r="I2281" s="94" t="n"/>
      <c r="J2281" s="55" t="n"/>
      <c r="K2281" s="95" t="n"/>
      <c r="L2281" s="116">
        <f>IF($A2281="","",DATE(YEAR($A2281),MONTH($A2281)+IF(AND(IFERROR(N(INDEX(Übersicht!$M$15:$M$22,MATCH($B2281,Übersicht!$A$15:$A$22,0))),0)&gt;1,DAY($A2281)&gt;=IFERROR(N(INDEX(Übersicht!$M$15:$M$22,MATCH($B2281,Übersicht!$A$15:$A$22,0))),0)),1,0),1))</f>
        <v/>
      </c>
    </row>
    <row r="2282">
      <c r="A2282" s="92" t="n"/>
      <c r="B2282" s="55" t="n"/>
      <c r="C2282" s="55" t="n"/>
      <c r="D2282" s="55" t="n"/>
      <c r="E2282" s="93" t="n"/>
      <c r="F2282" s="94" t="n"/>
      <c r="G2282" s="94" t="n"/>
      <c r="H2282" s="94" t="n"/>
      <c r="I2282" s="94" t="n"/>
      <c r="J2282" s="55" t="n"/>
      <c r="K2282" s="95" t="n"/>
      <c r="L2282" s="116">
        <f>IF($A2282="","",DATE(YEAR($A2282),MONTH($A2282)+IF(AND(IFERROR(N(INDEX(Übersicht!$M$15:$M$22,MATCH($B2282,Übersicht!$A$15:$A$22,0))),0)&gt;1,DAY($A2282)&gt;=IFERROR(N(INDEX(Übersicht!$M$15:$M$22,MATCH($B2282,Übersicht!$A$15:$A$22,0))),0)),1,0),1))</f>
        <v/>
      </c>
    </row>
    <row r="2283">
      <c r="A2283" s="92" t="n"/>
      <c r="B2283" s="55" t="n"/>
      <c r="C2283" s="55" t="n"/>
      <c r="D2283" s="55" t="n"/>
      <c r="E2283" s="93" t="n"/>
      <c r="F2283" s="94" t="n"/>
      <c r="G2283" s="94" t="n"/>
      <c r="H2283" s="94" t="n"/>
      <c r="I2283" s="94" t="n"/>
      <c r="J2283" s="55" t="n"/>
      <c r="K2283" s="95" t="n"/>
      <c r="L2283" s="116">
        <f>IF($A2283="","",DATE(YEAR($A2283),MONTH($A2283)+IF(AND(IFERROR(N(INDEX(Übersicht!$M$15:$M$22,MATCH($B2283,Übersicht!$A$15:$A$22,0))),0)&gt;1,DAY($A2283)&gt;=IFERROR(N(INDEX(Übersicht!$M$15:$M$22,MATCH($B2283,Übersicht!$A$15:$A$22,0))),0)),1,0),1))</f>
        <v/>
      </c>
    </row>
    <row r="2284">
      <c r="A2284" s="92" t="n"/>
      <c r="B2284" s="55" t="n"/>
      <c r="C2284" s="55" t="n"/>
      <c r="D2284" s="55" t="n"/>
      <c r="E2284" s="93" t="n"/>
      <c r="F2284" s="94" t="n"/>
      <c r="G2284" s="94" t="n"/>
      <c r="H2284" s="94" t="n"/>
      <c r="I2284" s="94" t="n"/>
      <c r="J2284" s="55" t="n"/>
      <c r="K2284" s="95" t="n"/>
      <c r="L2284" s="116">
        <f>IF($A2284="","",DATE(YEAR($A2284),MONTH($A2284)+IF(AND(IFERROR(N(INDEX(Übersicht!$M$15:$M$22,MATCH($B2284,Übersicht!$A$15:$A$22,0))),0)&gt;1,DAY($A2284)&gt;=IFERROR(N(INDEX(Übersicht!$M$15:$M$22,MATCH($B2284,Übersicht!$A$15:$A$22,0))),0)),1,0),1))</f>
        <v/>
      </c>
    </row>
    <row r="2285">
      <c r="A2285" s="92" t="n"/>
      <c r="B2285" s="55" t="n"/>
      <c r="C2285" s="55" t="n"/>
      <c r="D2285" s="55" t="n"/>
      <c r="E2285" s="93" t="n"/>
      <c r="F2285" s="94" t="n"/>
      <c r="G2285" s="94" t="n"/>
      <c r="H2285" s="94" t="n"/>
      <c r="I2285" s="94" t="n"/>
      <c r="J2285" s="55" t="n"/>
      <c r="K2285" s="95" t="n"/>
      <c r="L2285" s="116">
        <f>IF($A2285="","",DATE(YEAR($A2285),MONTH($A2285)+IF(AND(IFERROR(N(INDEX(Übersicht!$M$15:$M$22,MATCH($B2285,Übersicht!$A$15:$A$22,0))),0)&gt;1,DAY($A2285)&gt;=IFERROR(N(INDEX(Übersicht!$M$15:$M$22,MATCH($B2285,Übersicht!$A$15:$A$22,0))),0)),1,0),1))</f>
        <v/>
      </c>
    </row>
    <row r="2286">
      <c r="A2286" s="92" t="n"/>
      <c r="B2286" s="55" t="n"/>
      <c r="C2286" s="55" t="n"/>
      <c r="D2286" s="55" t="n"/>
      <c r="E2286" s="93" t="n"/>
      <c r="F2286" s="94" t="n"/>
      <c r="G2286" s="94" t="n"/>
      <c r="H2286" s="94" t="n"/>
      <c r="I2286" s="94" t="n"/>
      <c r="J2286" s="55" t="n"/>
      <c r="K2286" s="95" t="n"/>
      <c r="L2286" s="116">
        <f>IF($A2286="","",DATE(YEAR($A2286),MONTH($A2286)+IF(AND(IFERROR(N(INDEX(Übersicht!$M$15:$M$22,MATCH($B2286,Übersicht!$A$15:$A$22,0))),0)&gt;1,DAY($A2286)&gt;=IFERROR(N(INDEX(Übersicht!$M$15:$M$22,MATCH($B2286,Übersicht!$A$15:$A$22,0))),0)),1,0),1))</f>
        <v/>
      </c>
    </row>
    <row r="2287">
      <c r="A2287" s="92" t="n"/>
      <c r="B2287" s="55" t="n"/>
      <c r="C2287" s="55" t="n"/>
      <c r="D2287" s="55" t="n"/>
      <c r="E2287" s="93" t="n"/>
      <c r="F2287" s="94" t="n"/>
      <c r="G2287" s="94" t="n"/>
      <c r="H2287" s="94" t="n"/>
      <c r="I2287" s="94" t="n"/>
      <c r="J2287" s="55" t="n"/>
      <c r="K2287" s="95" t="n"/>
      <c r="L2287" s="116">
        <f>IF($A2287="","",DATE(YEAR($A2287),MONTH($A2287)+IF(AND(IFERROR(N(INDEX(Übersicht!$M$15:$M$22,MATCH($B2287,Übersicht!$A$15:$A$22,0))),0)&gt;1,DAY($A2287)&gt;=IFERROR(N(INDEX(Übersicht!$M$15:$M$22,MATCH($B2287,Übersicht!$A$15:$A$22,0))),0)),1,0),1))</f>
        <v/>
      </c>
    </row>
    <row r="2288">
      <c r="A2288" s="92" t="n"/>
      <c r="B2288" s="55" t="n"/>
      <c r="C2288" s="55" t="n"/>
      <c r="D2288" s="55" t="n"/>
      <c r="E2288" s="93" t="n"/>
      <c r="F2288" s="94" t="n"/>
      <c r="G2288" s="94" t="n"/>
      <c r="H2288" s="94" t="n"/>
      <c r="I2288" s="94" t="n"/>
      <c r="J2288" s="55" t="n"/>
      <c r="K2288" s="95" t="n"/>
      <c r="L2288" s="116">
        <f>IF($A2288="","",DATE(YEAR($A2288),MONTH($A2288)+IF(AND(IFERROR(N(INDEX(Übersicht!$M$15:$M$22,MATCH($B2288,Übersicht!$A$15:$A$22,0))),0)&gt;1,DAY($A2288)&gt;=IFERROR(N(INDEX(Übersicht!$M$15:$M$22,MATCH($B2288,Übersicht!$A$15:$A$22,0))),0)),1,0),1))</f>
        <v/>
      </c>
    </row>
    <row r="2289">
      <c r="A2289" s="92" t="n"/>
      <c r="B2289" s="55" t="n"/>
      <c r="C2289" s="55" t="n"/>
      <c r="D2289" s="55" t="n"/>
      <c r="E2289" s="93" t="n"/>
      <c r="F2289" s="94" t="n"/>
      <c r="G2289" s="94" t="n"/>
      <c r="H2289" s="94" t="n"/>
      <c r="I2289" s="94" t="n"/>
      <c r="J2289" s="55" t="n"/>
      <c r="K2289" s="95" t="n"/>
      <c r="L2289" s="116">
        <f>IF($A2289="","",DATE(YEAR($A2289),MONTH($A2289)+IF(AND(IFERROR(N(INDEX(Übersicht!$M$15:$M$22,MATCH($B2289,Übersicht!$A$15:$A$22,0))),0)&gt;1,DAY($A2289)&gt;=IFERROR(N(INDEX(Übersicht!$M$15:$M$22,MATCH($B2289,Übersicht!$A$15:$A$22,0))),0)),1,0),1))</f>
        <v/>
      </c>
    </row>
    <row r="2290">
      <c r="A2290" s="92" t="n"/>
      <c r="B2290" s="55" t="n"/>
      <c r="C2290" s="55" t="n"/>
      <c r="D2290" s="55" t="n"/>
      <c r="E2290" s="93" t="n"/>
      <c r="F2290" s="94" t="n"/>
      <c r="G2290" s="94" t="n"/>
      <c r="H2290" s="94" t="n"/>
      <c r="I2290" s="94" t="n"/>
      <c r="J2290" s="55" t="n"/>
      <c r="K2290" s="95" t="n"/>
      <c r="L2290" s="116">
        <f>IF($A2290="","",DATE(YEAR($A2290),MONTH($A2290)+IF(AND(IFERROR(N(INDEX(Übersicht!$M$15:$M$22,MATCH($B2290,Übersicht!$A$15:$A$22,0))),0)&gt;1,DAY($A2290)&gt;=IFERROR(N(INDEX(Übersicht!$M$15:$M$22,MATCH($B2290,Übersicht!$A$15:$A$22,0))),0)),1,0),1))</f>
        <v/>
      </c>
    </row>
    <row r="2291">
      <c r="A2291" s="92" t="n"/>
      <c r="B2291" s="55" t="n"/>
      <c r="C2291" s="55" t="n"/>
      <c r="D2291" s="55" t="n"/>
      <c r="E2291" s="93" t="n"/>
      <c r="F2291" s="94" t="n"/>
      <c r="G2291" s="94" t="n"/>
      <c r="H2291" s="94" t="n"/>
      <c r="I2291" s="94" t="n"/>
      <c r="J2291" s="55" t="n"/>
      <c r="K2291" s="95" t="n"/>
      <c r="L2291" s="116">
        <f>IF($A2291="","",DATE(YEAR($A2291),MONTH($A2291)+IF(AND(IFERROR(N(INDEX(Übersicht!$M$15:$M$22,MATCH($B2291,Übersicht!$A$15:$A$22,0))),0)&gt;1,DAY($A2291)&gt;=IFERROR(N(INDEX(Übersicht!$M$15:$M$22,MATCH($B2291,Übersicht!$A$15:$A$22,0))),0)),1,0),1))</f>
        <v/>
      </c>
    </row>
    <row r="2292">
      <c r="A2292" s="92" t="n"/>
      <c r="B2292" s="55" t="n"/>
      <c r="C2292" s="55" t="n"/>
      <c r="D2292" s="55" t="n"/>
      <c r="E2292" s="93" t="n"/>
      <c r="F2292" s="94" t="n"/>
      <c r="G2292" s="94" t="n"/>
      <c r="H2292" s="94" t="n"/>
      <c r="I2292" s="94" t="n"/>
      <c r="J2292" s="55" t="n"/>
      <c r="K2292" s="95" t="n"/>
      <c r="L2292" s="116">
        <f>IF($A2292="","",DATE(YEAR($A2292),MONTH($A2292)+IF(AND(IFERROR(N(INDEX(Übersicht!$M$15:$M$22,MATCH($B2292,Übersicht!$A$15:$A$22,0))),0)&gt;1,DAY($A2292)&gt;=IFERROR(N(INDEX(Übersicht!$M$15:$M$22,MATCH($B2292,Übersicht!$A$15:$A$22,0))),0)),1,0),1))</f>
        <v/>
      </c>
    </row>
    <row r="2293">
      <c r="A2293" s="92" t="n"/>
      <c r="B2293" s="55" t="n"/>
      <c r="C2293" s="55" t="n"/>
      <c r="D2293" s="55" t="n"/>
      <c r="E2293" s="93" t="n"/>
      <c r="F2293" s="94" t="n"/>
      <c r="G2293" s="94" t="n"/>
      <c r="H2293" s="94" t="n"/>
      <c r="I2293" s="94" t="n"/>
      <c r="J2293" s="55" t="n"/>
      <c r="K2293" s="95" t="n"/>
      <c r="L2293" s="116">
        <f>IF($A2293="","",DATE(YEAR($A2293),MONTH($A2293)+IF(AND(IFERROR(N(INDEX(Übersicht!$M$15:$M$22,MATCH($B2293,Übersicht!$A$15:$A$22,0))),0)&gt;1,DAY($A2293)&gt;=IFERROR(N(INDEX(Übersicht!$M$15:$M$22,MATCH($B2293,Übersicht!$A$15:$A$22,0))),0)),1,0),1))</f>
        <v/>
      </c>
    </row>
    <row r="2294">
      <c r="A2294" s="92" t="n"/>
      <c r="B2294" s="55" t="n"/>
      <c r="C2294" s="55" t="n"/>
      <c r="D2294" s="55" t="n"/>
      <c r="E2294" s="93" t="n"/>
      <c r="F2294" s="94" t="n"/>
      <c r="G2294" s="94" t="n"/>
      <c r="H2294" s="94" t="n"/>
      <c r="I2294" s="94" t="n"/>
      <c r="J2294" s="55" t="n"/>
      <c r="K2294" s="95" t="n"/>
      <c r="L2294" s="116">
        <f>IF($A2294="","",DATE(YEAR($A2294),MONTH($A2294)+IF(AND(IFERROR(N(INDEX(Übersicht!$M$15:$M$22,MATCH($B2294,Übersicht!$A$15:$A$22,0))),0)&gt;1,DAY($A2294)&gt;=IFERROR(N(INDEX(Übersicht!$M$15:$M$22,MATCH($B2294,Übersicht!$A$15:$A$22,0))),0)),1,0),1))</f>
        <v/>
      </c>
    </row>
    <row r="2295">
      <c r="A2295" s="92" t="n"/>
      <c r="B2295" s="55" t="n"/>
      <c r="C2295" s="55" t="n"/>
      <c r="D2295" s="55" t="n"/>
      <c r="E2295" s="93" t="n"/>
      <c r="F2295" s="94" t="n"/>
      <c r="G2295" s="94" t="n"/>
      <c r="H2295" s="94" t="n"/>
      <c r="I2295" s="94" t="n"/>
      <c r="J2295" s="55" t="n"/>
      <c r="K2295" s="95" t="n"/>
      <c r="L2295" s="116">
        <f>IF($A2295="","",DATE(YEAR($A2295),MONTH($A2295)+IF(AND(IFERROR(N(INDEX(Übersicht!$M$15:$M$22,MATCH($B2295,Übersicht!$A$15:$A$22,0))),0)&gt;1,DAY($A2295)&gt;=IFERROR(N(INDEX(Übersicht!$M$15:$M$22,MATCH($B2295,Übersicht!$A$15:$A$22,0))),0)),1,0),1))</f>
        <v/>
      </c>
    </row>
    <row r="2296">
      <c r="A2296" s="92" t="n"/>
      <c r="B2296" s="55" t="n"/>
      <c r="C2296" s="55" t="n"/>
      <c r="D2296" s="55" t="n"/>
      <c r="E2296" s="93" t="n"/>
      <c r="F2296" s="94" t="n"/>
      <c r="G2296" s="94" t="n"/>
      <c r="H2296" s="94" t="n"/>
      <c r="I2296" s="94" t="n"/>
      <c r="J2296" s="55" t="n"/>
      <c r="K2296" s="95" t="n"/>
      <c r="L2296" s="116">
        <f>IF($A2296="","",DATE(YEAR($A2296),MONTH($A2296)+IF(AND(IFERROR(N(INDEX(Übersicht!$M$15:$M$22,MATCH($B2296,Übersicht!$A$15:$A$22,0))),0)&gt;1,DAY($A2296)&gt;=IFERROR(N(INDEX(Übersicht!$M$15:$M$22,MATCH($B2296,Übersicht!$A$15:$A$22,0))),0)),1,0),1))</f>
        <v/>
      </c>
    </row>
    <row r="2297">
      <c r="A2297" s="92" t="n"/>
      <c r="B2297" s="55" t="n"/>
      <c r="C2297" s="55" t="n"/>
      <c r="D2297" s="55" t="n"/>
      <c r="E2297" s="93" t="n"/>
      <c r="F2297" s="94" t="n"/>
      <c r="G2297" s="94" t="n"/>
      <c r="H2297" s="94" t="n"/>
      <c r="I2297" s="94" t="n"/>
      <c r="J2297" s="55" t="n"/>
      <c r="K2297" s="95" t="n"/>
      <c r="L2297" s="116">
        <f>IF($A2297="","",DATE(YEAR($A2297),MONTH($A2297)+IF(AND(IFERROR(N(INDEX(Übersicht!$M$15:$M$22,MATCH($B2297,Übersicht!$A$15:$A$22,0))),0)&gt;1,DAY($A2297)&gt;=IFERROR(N(INDEX(Übersicht!$M$15:$M$22,MATCH($B2297,Übersicht!$A$15:$A$22,0))),0)),1,0),1))</f>
        <v/>
      </c>
    </row>
    <row r="2298">
      <c r="A2298" s="92" t="n"/>
      <c r="B2298" s="55" t="n"/>
      <c r="C2298" s="55" t="n"/>
      <c r="D2298" s="55" t="n"/>
      <c r="E2298" s="93" t="n"/>
      <c r="F2298" s="94" t="n"/>
      <c r="G2298" s="94" t="n"/>
      <c r="H2298" s="94" t="n"/>
      <c r="I2298" s="94" t="n"/>
      <c r="J2298" s="55" t="n"/>
      <c r="K2298" s="95" t="n"/>
      <c r="L2298" s="116">
        <f>IF($A2298="","",DATE(YEAR($A2298),MONTH($A2298)+IF(AND(IFERROR(N(INDEX(Übersicht!$M$15:$M$22,MATCH($B2298,Übersicht!$A$15:$A$22,0))),0)&gt;1,DAY($A2298)&gt;=IFERROR(N(INDEX(Übersicht!$M$15:$M$22,MATCH($B2298,Übersicht!$A$15:$A$22,0))),0)),1,0),1))</f>
        <v/>
      </c>
    </row>
    <row r="2299">
      <c r="A2299" s="92" t="n"/>
      <c r="B2299" s="55" t="n"/>
      <c r="C2299" s="55" t="n"/>
      <c r="D2299" s="55" t="n"/>
      <c r="E2299" s="93" t="n"/>
      <c r="F2299" s="94" t="n"/>
      <c r="G2299" s="94" t="n"/>
      <c r="H2299" s="94" t="n"/>
      <c r="I2299" s="94" t="n"/>
      <c r="J2299" s="55" t="n"/>
      <c r="K2299" s="95" t="n"/>
      <c r="L2299" s="116">
        <f>IF($A2299="","",DATE(YEAR($A2299),MONTH($A2299)+IF(AND(IFERROR(N(INDEX(Übersicht!$M$15:$M$22,MATCH($B2299,Übersicht!$A$15:$A$22,0))),0)&gt;1,DAY($A2299)&gt;=IFERROR(N(INDEX(Übersicht!$M$15:$M$22,MATCH($B2299,Übersicht!$A$15:$A$22,0))),0)),1,0),1))</f>
        <v/>
      </c>
    </row>
    <row r="2300">
      <c r="A2300" s="92" t="n"/>
      <c r="B2300" s="55" t="n"/>
      <c r="C2300" s="55" t="n"/>
      <c r="D2300" s="55" t="n"/>
      <c r="E2300" s="93" t="n"/>
      <c r="F2300" s="94" t="n"/>
      <c r="G2300" s="94" t="n"/>
      <c r="H2300" s="94" t="n"/>
      <c r="I2300" s="94" t="n"/>
      <c r="J2300" s="55" t="n"/>
      <c r="K2300" s="95" t="n"/>
      <c r="L2300" s="116">
        <f>IF($A2300="","",DATE(YEAR($A2300),MONTH($A2300)+IF(AND(IFERROR(N(INDEX(Übersicht!$M$15:$M$22,MATCH($B2300,Übersicht!$A$15:$A$22,0))),0)&gt;1,DAY($A2300)&gt;=IFERROR(N(INDEX(Übersicht!$M$15:$M$22,MATCH($B2300,Übersicht!$A$15:$A$22,0))),0)),1,0),1))</f>
        <v/>
      </c>
    </row>
    <row r="2301">
      <c r="A2301" s="92" t="n"/>
      <c r="B2301" s="55" t="n"/>
      <c r="C2301" s="55" t="n"/>
      <c r="D2301" s="55" t="n"/>
      <c r="E2301" s="93" t="n"/>
      <c r="F2301" s="94" t="n"/>
      <c r="G2301" s="94" t="n"/>
      <c r="H2301" s="94" t="n"/>
      <c r="I2301" s="94" t="n"/>
      <c r="J2301" s="55" t="n"/>
      <c r="K2301" s="95" t="n"/>
      <c r="L2301" s="116">
        <f>IF($A2301="","",DATE(YEAR($A2301),MONTH($A2301)+IF(AND(IFERROR(N(INDEX(Übersicht!$M$15:$M$22,MATCH($B2301,Übersicht!$A$15:$A$22,0))),0)&gt;1,DAY($A2301)&gt;=IFERROR(N(INDEX(Übersicht!$M$15:$M$22,MATCH($B2301,Übersicht!$A$15:$A$22,0))),0)),1,0),1))</f>
        <v/>
      </c>
    </row>
    <row r="2302">
      <c r="A2302" s="92" t="n"/>
      <c r="B2302" s="55" t="n"/>
      <c r="C2302" s="55" t="n"/>
      <c r="D2302" s="55" t="n"/>
      <c r="E2302" s="93" t="n"/>
      <c r="F2302" s="94" t="n"/>
      <c r="G2302" s="94" t="n"/>
      <c r="H2302" s="94" t="n"/>
      <c r="I2302" s="94" t="n"/>
      <c r="J2302" s="55" t="n"/>
      <c r="K2302" s="95" t="n"/>
      <c r="L2302" s="116">
        <f>IF($A2302="","",DATE(YEAR($A2302),MONTH($A2302)+IF(AND(IFERROR(N(INDEX(Übersicht!$M$15:$M$22,MATCH($B2302,Übersicht!$A$15:$A$22,0))),0)&gt;1,DAY($A2302)&gt;=IFERROR(N(INDEX(Übersicht!$M$15:$M$22,MATCH($B2302,Übersicht!$A$15:$A$22,0))),0)),1,0),1))</f>
        <v/>
      </c>
    </row>
    <row r="2303">
      <c r="A2303" s="92" t="n"/>
      <c r="B2303" s="55" t="n"/>
      <c r="C2303" s="55" t="n"/>
      <c r="D2303" s="55" t="n"/>
      <c r="E2303" s="93" t="n"/>
      <c r="F2303" s="94" t="n"/>
      <c r="G2303" s="94" t="n"/>
      <c r="H2303" s="94" t="n"/>
      <c r="I2303" s="94" t="n"/>
      <c r="J2303" s="55" t="n"/>
      <c r="K2303" s="95" t="n"/>
      <c r="L2303" s="116">
        <f>IF($A2303="","",DATE(YEAR($A2303),MONTH($A2303)+IF(AND(IFERROR(N(INDEX(Übersicht!$M$15:$M$22,MATCH($B2303,Übersicht!$A$15:$A$22,0))),0)&gt;1,DAY($A2303)&gt;=IFERROR(N(INDEX(Übersicht!$M$15:$M$22,MATCH($B2303,Übersicht!$A$15:$A$22,0))),0)),1,0),1))</f>
        <v/>
      </c>
    </row>
    <row r="2304">
      <c r="A2304" s="92" t="n"/>
      <c r="B2304" s="55" t="n"/>
      <c r="C2304" s="55" t="n"/>
      <c r="D2304" s="55" t="n"/>
      <c r="E2304" s="93" t="n"/>
      <c r="F2304" s="94" t="n"/>
      <c r="G2304" s="94" t="n"/>
      <c r="H2304" s="94" t="n"/>
      <c r="I2304" s="94" t="n"/>
      <c r="J2304" s="55" t="n"/>
      <c r="K2304" s="95" t="n"/>
      <c r="L2304" s="116">
        <f>IF($A2304="","",DATE(YEAR($A2304),MONTH($A2304)+IF(AND(IFERROR(N(INDEX(Übersicht!$M$15:$M$22,MATCH($B2304,Übersicht!$A$15:$A$22,0))),0)&gt;1,DAY($A2304)&gt;=IFERROR(N(INDEX(Übersicht!$M$15:$M$22,MATCH($B2304,Übersicht!$A$15:$A$22,0))),0)),1,0),1))</f>
        <v/>
      </c>
    </row>
    <row r="2305">
      <c r="A2305" s="92" t="n"/>
      <c r="B2305" s="55" t="n"/>
      <c r="C2305" s="55" t="n"/>
      <c r="D2305" s="55" t="n"/>
      <c r="E2305" s="93" t="n"/>
      <c r="F2305" s="94" t="n"/>
      <c r="G2305" s="94" t="n"/>
      <c r="H2305" s="94" t="n"/>
      <c r="I2305" s="94" t="n"/>
      <c r="J2305" s="55" t="n"/>
      <c r="K2305" s="95" t="n"/>
      <c r="L2305" s="116">
        <f>IF($A2305="","",DATE(YEAR($A2305),MONTH($A2305)+IF(AND(IFERROR(N(INDEX(Übersicht!$M$15:$M$22,MATCH($B2305,Übersicht!$A$15:$A$22,0))),0)&gt;1,DAY($A2305)&gt;=IFERROR(N(INDEX(Übersicht!$M$15:$M$22,MATCH($B2305,Übersicht!$A$15:$A$22,0))),0)),1,0),1))</f>
        <v/>
      </c>
    </row>
    <row r="2306">
      <c r="A2306" s="92" t="n"/>
      <c r="B2306" s="55" t="n"/>
      <c r="C2306" s="55" t="n"/>
      <c r="D2306" s="55" t="n"/>
      <c r="E2306" s="93" t="n"/>
      <c r="F2306" s="94" t="n"/>
      <c r="G2306" s="94" t="n"/>
      <c r="H2306" s="94" t="n"/>
      <c r="I2306" s="94" t="n"/>
      <c r="J2306" s="55" t="n"/>
      <c r="K2306" s="95" t="n"/>
      <c r="L2306" s="116">
        <f>IF($A2306="","",DATE(YEAR($A2306),MONTH($A2306)+IF(AND(IFERROR(N(INDEX(Übersicht!$M$15:$M$22,MATCH($B2306,Übersicht!$A$15:$A$22,0))),0)&gt;1,DAY($A2306)&gt;=IFERROR(N(INDEX(Übersicht!$M$15:$M$22,MATCH($B2306,Übersicht!$A$15:$A$22,0))),0)),1,0),1))</f>
        <v/>
      </c>
    </row>
    <row r="2307">
      <c r="A2307" s="92" t="n"/>
      <c r="B2307" s="55" t="n"/>
      <c r="C2307" s="55" t="n"/>
      <c r="D2307" s="55" t="n"/>
      <c r="E2307" s="93" t="n"/>
      <c r="F2307" s="94" t="n"/>
      <c r="G2307" s="94" t="n"/>
      <c r="H2307" s="94" t="n"/>
      <c r="I2307" s="94" t="n"/>
      <c r="J2307" s="55" t="n"/>
      <c r="K2307" s="95" t="n"/>
      <c r="L2307" s="116">
        <f>IF($A2307="","",DATE(YEAR($A2307),MONTH($A2307)+IF(AND(IFERROR(N(INDEX(Übersicht!$M$15:$M$22,MATCH($B2307,Übersicht!$A$15:$A$22,0))),0)&gt;1,DAY($A2307)&gt;=IFERROR(N(INDEX(Übersicht!$M$15:$M$22,MATCH($B2307,Übersicht!$A$15:$A$22,0))),0)),1,0),1))</f>
        <v/>
      </c>
    </row>
    <row r="2308">
      <c r="A2308" s="92" t="n"/>
      <c r="B2308" s="55" t="n"/>
      <c r="C2308" s="55" t="n"/>
      <c r="D2308" s="55" t="n"/>
      <c r="E2308" s="93" t="n"/>
      <c r="F2308" s="94" t="n"/>
      <c r="G2308" s="94" t="n"/>
      <c r="H2308" s="94" t="n"/>
      <c r="I2308" s="94" t="n"/>
      <c r="J2308" s="55" t="n"/>
      <c r="K2308" s="95" t="n"/>
      <c r="L2308" s="116">
        <f>IF($A2308="","",DATE(YEAR($A2308),MONTH($A2308)+IF(AND(IFERROR(N(INDEX(Übersicht!$M$15:$M$22,MATCH($B2308,Übersicht!$A$15:$A$22,0))),0)&gt;1,DAY($A2308)&gt;=IFERROR(N(INDEX(Übersicht!$M$15:$M$22,MATCH($B2308,Übersicht!$A$15:$A$22,0))),0)),1,0),1))</f>
        <v/>
      </c>
    </row>
    <row r="2309">
      <c r="A2309" s="92" t="n"/>
      <c r="B2309" s="55" t="n"/>
      <c r="C2309" s="55" t="n"/>
      <c r="D2309" s="55" t="n"/>
      <c r="E2309" s="93" t="n"/>
      <c r="F2309" s="94" t="n"/>
      <c r="G2309" s="94" t="n"/>
      <c r="H2309" s="94" t="n"/>
      <c r="I2309" s="94" t="n"/>
      <c r="J2309" s="55" t="n"/>
      <c r="K2309" s="95" t="n"/>
      <c r="L2309" s="116">
        <f>IF($A2309="","",DATE(YEAR($A2309),MONTH($A2309)+IF(AND(IFERROR(N(INDEX(Übersicht!$M$15:$M$22,MATCH($B2309,Übersicht!$A$15:$A$22,0))),0)&gt;1,DAY($A2309)&gt;=IFERROR(N(INDEX(Übersicht!$M$15:$M$22,MATCH($B2309,Übersicht!$A$15:$A$22,0))),0)),1,0),1))</f>
        <v/>
      </c>
    </row>
    <row r="2310">
      <c r="A2310" s="92" t="n"/>
      <c r="B2310" s="55" t="n"/>
      <c r="C2310" s="55" t="n"/>
      <c r="D2310" s="55" t="n"/>
      <c r="E2310" s="93" t="n"/>
      <c r="F2310" s="94" t="n"/>
      <c r="G2310" s="94" t="n"/>
      <c r="H2310" s="94" t="n"/>
      <c r="I2310" s="94" t="n"/>
      <c r="J2310" s="55" t="n"/>
      <c r="K2310" s="95" t="n"/>
      <c r="L2310" s="116">
        <f>IF($A2310="","",DATE(YEAR($A2310),MONTH($A2310)+IF(AND(IFERROR(N(INDEX(Übersicht!$M$15:$M$22,MATCH($B2310,Übersicht!$A$15:$A$22,0))),0)&gt;1,DAY($A2310)&gt;=IFERROR(N(INDEX(Übersicht!$M$15:$M$22,MATCH($B2310,Übersicht!$A$15:$A$22,0))),0)),1,0),1))</f>
        <v/>
      </c>
    </row>
    <row r="2311">
      <c r="A2311" s="92" t="n"/>
      <c r="B2311" s="55" t="n"/>
      <c r="C2311" s="55" t="n"/>
      <c r="D2311" s="55" t="n"/>
      <c r="E2311" s="93" t="n"/>
      <c r="F2311" s="94" t="n"/>
      <c r="G2311" s="94" t="n"/>
      <c r="H2311" s="94" t="n"/>
      <c r="I2311" s="94" t="n"/>
      <c r="J2311" s="55" t="n"/>
      <c r="K2311" s="95" t="n"/>
      <c r="L2311" s="116">
        <f>IF($A2311="","",DATE(YEAR($A2311),MONTH($A2311)+IF(AND(IFERROR(N(INDEX(Übersicht!$M$15:$M$22,MATCH($B2311,Übersicht!$A$15:$A$22,0))),0)&gt;1,DAY($A2311)&gt;=IFERROR(N(INDEX(Übersicht!$M$15:$M$22,MATCH($B2311,Übersicht!$A$15:$A$22,0))),0)),1,0),1))</f>
        <v/>
      </c>
    </row>
    <row r="2312">
      <c r="A2312" s="92" t="n"/>
      <c r="B2312" s="55" t="n"/>
      <c r="C2312" s="55" t="n"/>
      <c r="D2312" s="55" t="n"/>
      <c r="E2312" s="93" t="n"/>
      <c r="F2312" s="94" t="n"/>
      <c r="G2312" s="94" t="n"/>
      <c r="H2312" s="94" t="n"/>
      <c r="I2312" s="94" t="n"/>
      <c r="J2312" s="55" t="n"/>
      <c r="K2312" s="95" t="n"/>
      <c r="L2312" s="116">
        <f>IF($A2312="","",DATE(YEAR($A2312),MONTH($A2312)+IF(AND(IFERROR(N(INDEX(Übersicht!$M$15:$M$22,MATCH($B2312,Übersicht!$A$15:$A$22,0))),0)&gt;1,DAY($A2312)&gt;=IFERROR(N(INDEX(Übersicht!$M$15:$M$22,MATCH($B2312,Übersicht!$A$15:$A$22,0))),0)),1,0),1))</f>
        <v/>
      </c>
    </row>
    <row r="2313">
      <c r="A2313" s="92" t="n"/>
      <c r="B2313" s="55" t="n"/>
      <c r="C2313" s="55" t="n"/>
      <c r="D2313" s="55" t="n"/>
      <c r="E2313" s="93" t="n"/>
      <c r="F2313" s="94" t="n"/>
      <c r="G2313" s="94" t="n"/>
      <c r="H2313" s="94" t="n"/>
      <c r="I2313" s="94" t="n"/>
      <c r="J2313" s="55" t="n"/>
      <c r="K2313" s="95" t="n"/>
      <c r="L2313" s="116">
        <f>IF($A2313="","",DATE(YEAR($A2313),MONTH($A2313)+IF(AND(IFERROR(N(INDEX(Übersicht!$M$15:$M$22,MATCH($B2313,Übersicht!$A$15:$A$22,0))),0)&gt;1,DAY($A2313)&gt;=IFERROR(N(INDEX(Übersicht!$M$15:$M$22,MATCH($B2313,Übersicht!$A$15:$A$22,0))),0)),1,0),1))</f>
        <v/>
      </c>
    </row>
    <row r="2314">
      <c r="A2314" s="92" t="n"/>
      <c r="B2314" s="55" t="n"/>
      <c r="C2314" s="55" t="n"/>
      <c r="D2314" s="55" t="n"/>
      <c r="E2314" s="93" t="n"/>
      <c r="F2314" s="94" t="n"/>
      <c r="G2314" s="94" t="n"/>
      <c r="H2314" s="94" t="n"/>
      <c r="I2314" s="94" t="n"/>
      <c r="J2314" s="55" t="n"/>
      <c r="K2314" s="95" t="n"/>
      <c r="L2314" s="116">
        <f>IF($A2314="","",DATE(YEAR($A2314),MONTH($A2314)+IF(AND(IFERROR(N(INDEX(Übersicht!$M$15:$M$22,MATCH($B2314,Übersicht!$A$15:$A$22,0))),0)&gt;1,DAY($A2314)&gt;=IFERROR(N(INDEX(Übersicht!$M$15:$M$22,MATCH($B2314,Übersicht!$A$15:$A$22,0))),0)),1,0),1))</f>
        <v/>
      </c>
    </row>
    <row r="2315">
      <c r="A2315" s="92" t="n"/>
      <c r="B2315" s="55" t="n"/>
      <c r="C2315" s="55" t="n"/>
      <c r="D2315" s="55" t="n"/>
      <c r="E2315" s="93" t="n"/>
      <c r="F2315" s="94" t="n"/>
      <c r="G2315" s="94" t="n"/>
      <c r="H2315" s="94" t="n"/>
      <c r="I2315" s="94" t="n"/>
      <c r="J2315" s="55" t="n"/>
      <c r="K2315" s="95" t="n"/>
      <c r="L2315" s="116">
        <f>IF($A2315="","",DATE(YEAR($A2315),MONTH($A2315)+IF(AND(IFERROR(N(INDEX(Übersicht!$M$15:$M$22,MATCH($B2315,Übersicht!$A$15:$A$22,0))),0)&gt;1,DAY($A2315)&gt;=IFERROR(N(INDEX(Übersicht!$M$15:$M$22,MATCH($B2315,Übersicht!$A$15:$A$22,0))),0)),1,0),1))</f>
        <v/>
      </c>
    </row>
    <row r="2316">
      <c r="A2316" s="92" t="n"/>
      <c r="B2316" s="55" t="n"/>
      <c r="C2316" s="55" t="n"/>
      <c r="D2316" s="55" t="n"/>
      <c r="E2316" s="93" t="n"/>
      <c r="F2316" s="94" t="n"/>
      <c r="G2316" s="94" t="n"/>
      <c r="H2316" s="94" t="n"/>
      <c r="I2316" s="94" t="n"/>
      <c r="J2316" s="55" t="n"/>
      <c r="K2316" s="95" t="n"/>
      <c r="L2316" s="116">
        <f>IF($A2316="","",DATE(YEAR($A2316),MONTH($A2316)+IF(AND(IFERROR(N(INDEX(Übersicht!$M$15:$M$22,MATCH($B2316,Übersicht!$A$15:$A$22,0))),0)&gt;1,DAY($A2316)&gt;=IFERROR(N(INDEX(Übersicht!$M$15:$M$22,MATCH($B2316,Übersicht!$A$15:$A$22,0))),0)),1,0),1))</f>
        <v/>
      </c>
    </row>
    <row r="2317">
      <c r="A2317" s="92" t="n"/>
      <c r="B2317" s="55" t="n"/>
      <c r="C2317" s="55" t="n"/>
      <c r="D2317" s="55" t="n"/>
      <c r="E2317" s="93" t="n"/>
      <c r="F2317" s="94" t="n"/>
      <c r="G2317" s="94" t="n"/>
      <c r="H2317" s="94" t="n"/>
      <c r="I2317" s="94" t="n"/>
      <c r="J2317" s="55" t="n"/>
      <c r="K2317" s="95" t="n"/>
      <c r="L2317" s="116">
        <f>IF($A2317="","",DATE(YEAR($A2317),MONTH($A2317)+IF(AND(IFERROR(N(INDEX(Übersicht!$M$15:$M$22,MATCH($B2317,Übersicht!$A$15:$A$22,0))),0)&gt;1,DAY($A2317)&gt;=IFERROR(N(INDEX(Übersicht!$M$15:$M$22,MATCH($B2317,Übersicht!$A$15:$A$22,0))),0)),1,0),1))</f>
        <v/>
      </c>
    </row>
    <row r="2318">
      <c r="A2318" s="92" t="n"/>
      <c r="B2318" s="55" t="n"/>
      <c r="C2318" s="55" t="n"/>
      <c r="D2318" s="55" t="n"/>
      <c r="E2318" s="93" t="n"/>
      <c r="F2318" s="94" t="n"/>
      <c r="G2318" s="94" t="n"/>
      <c r="H2318" s="94" t="n"/>
      <c r="I2318" s="94" t="n"/>
      <c r="J2318" s="55" t="n"/>
      <c r="K2318" s="95" t="n"/>
      <c r="L2318" s="116">
        <f>IF($A2318="","",DATE(YEAR($A2318),MONTH($A2318)+IF(AND(IFERROR(N(INDEX(Übersicht!$M$15:$M$22,MATCH($B2318,Übersicht!$A$15:$A$22,0))),0)&gt;1,DAY($A2318)&gt;=IFERROR(N(INDEX(Übersicht!$M$15:$M$22,MATCH($B2318,Übersicht!$A$15:$A$22,0))),0)),1,0),1))</f>
        <v/>
      </c>
    </row>
    <row r="2319">
      <c r="A2319" s="92" t="n"/>
      <c r="B2319" s="55" t="n"/>
      <c r="C2319" s="55" t="n"/>
      <c r="D2319" s="55" t="n"/>
      <c r="E2319" s="93" t="n"/>
      <c r="F2319" s="94" t="n"/>
      <c r="G2319" s="94" t="n"/>
      <c r="H2319" s="94" t="n"/>
      <c r="I2319" s="94" t="n"/>
      <c r="J2319" s="55" t="n"/>
      <c r="K2319" s="95" t="n"/>
      <c r="L2319" s="116">
        <f>IF($A2319="","",DATE(YEAR($A2319),MONTH($A2319)+IF(AND(IFERROR(N(INDEX(Übersicht!$M$15:$M$22,MATCH($B2319,Übersicht!$A$15:$A$22,0))),0)&gt;1,DAY($A2319)&gt;=IFERROR(N(INDEX(Übersicht!$M$15:$M$22,MATCH($B2319,Übersicht!$A$15:$A$22,0))),0)),1,0),1))</f>
        <v/>
      </c>
    </row>
    <row r="2320">
      <c r="A2320" s="92" t="n"/>
      <c r="B2320" s="55" t="n"/>
      <c r="C2320" s="55" t="n"/>
      <c r="D2320" s="55" t="n"/>
      <c r="E2320" s="93" t="n"/>
      <c r="F2320" s="94" t="n"/>
      <c r="G2320" s="94" t="n"/>
      <c r="H2320" s="94" t="n"/>
      <c r="I2320" s="94" t="n"/>
      <c r="J2320" s="55" t="n"/>
      <c r="K2320" s="95" t="n"/>
      <c r="L2320" s="116">
        <f>IF($A2320="","",DATE(YEAR($A2320),MONTH($A2320)+IF(AND(IFERROR(N(INDEX(Übersicht!$M$15:$M$22,MATCH($B2320,Übersicht!$A$15:$A$22,0))),0)&gt;1,DAY($A2320)&gt;=IFERROR(N(INDEX(Übersicht!$M$15:$M$22,MATCH($B2320,Übersicht!$A$15:$A$22,0))),0)),1,0),1))</f>
        <v/>
      </c>
    </row>
    <row r="2321">
      <c r="A2321" s="92" t="n"/>
      <c r="B2321" s="55" t="n"/>
      <c r="C2321" s="55" t="n"/>
      <c r="D2321" s="55" t="n"/>
      <c r="E2321" s="93" t="n"/>
      <c r="F2321" s="94" t="n"/>
      <c r="G2321" s="94" t="n"/>
      <c r="H2321" s="94" t="n"/>
      <c r="I2321" s="94" t="n"/>
      <c r="J2321" s="55" t="n"/>
      <c r="K2321" s="95" t="n"/>
      <c r="L2321" s="116">
        <f>IF($A2321="","",DATE(YEAR($A2321),MONTH($A2321)+IF(AND(IFERROR(N(INDEX(Übersicht!$M$15:$M$22,MATCH($B2321,Übersicht!$A$15:$A$22,0))),0)&gt;1,DAY($A2321)&gt;=IFERROR(N(INDEX(Übersicht!$M$15:$M$22,MATCH($B2321,Übersicht!$A$15:$A$22,0))),0)),1,0),1))</f>
        <v/>
      </c>
    </row>
    <row r="2322">
      <c r="A2322" s="92" t="n"/>
      <c r="B2322" s="55" t="n"/>
      <c r="C2322" s="55" t="n"/>
      <c r="D2322" s="55" t="n"/>
      <c r="E2322" s="93" t="n"/>
      <c r="F2322" s="94" t="n"/>
      <c r="G2322" s="94" t="n"/>
      <c r="H2322" s="94" t="n"/>
      <c r="I2322" s="94" t="n"/>
      <c r="J2322" s="55" t="n"/>
      <c r="K2322" s="95" t="n"/>
      <c r="L2322" s="116">
        <f>IF($A2322="","",DATE(YEAR($A2322),MONTH($A2322)+IF(AND(IFERROR(N(INDEX(Übersicht!$M$15:$M$22,MATCH($B2322,Übersicht!$A$15:$A$22,0))),0)&gt;1,DAY($A2322)&gt;=IFERROR(N(INDEX(Übersicht!$M$15:$M$22,MATCH($B2322,Übersicht!$A$15:$A$22,0))),0)),1,0),1))</f>
        <v/>
      </c>
    </row>
    <row r="2323">
      <c r="A2323" s="92" t="n"/>
      <c r="B2323" s="55" t="n"/>
      <c r="C2323" s="55" t="n"/>
      <c r="D2323" s="55" t="n"/>
      <c r="E2323" s="93" t="n"/>
      <c r="F2323" s="94" t="n"/>
      <c r="G2323" s="94" t="n"/>
      <c r="H2323" s="94" t="n"/>
      <c r="I2323" s="94" t="n"/>
      <c r="J2323" s="55" t="n"/>
      <c r="K2323" s="95" t="n"/>
      <c r="L2323" s="116">
        <f>IF($A2323="","",DATE(YEAR($A2323),MONTH($A2323)+IF(AND(IFERROR(N(INDEX(Übersicht!$M$15:$M$22,MATCH($B2323,Übersicht!$A$15:$A$22,0))),0)&gt;1,DAY($A2323)&gt;=IFERROR(N(INDEX(Übersicht!$M$15:$M$22,MATCH($B2323,Übersicht!$A$15:$A$22,0))),0)),1,0),1))</f>
        <v/>
      </c>
    </row>
    <row r="2324">
      <c r="A2324" s="92" t="n"/>
      <c r="B2324" s="55" t="n"/>
      <c r="C2324" s="55" t="n"/>
      <c r="D2324" s="55" t="n"/>
      <c r="E2324" s="93" t="n"/>
      <c r="F2324" s="94" t="n"/>
      <c r="G2324" s="94" t="n"/>
      <c r="H2324" s="94" t="n"/>
      <c r="I2324" s="94" t="n"/>
      <c r="J2324" s="55" t="n"/>
      <c r="K2324" s="95" t="n"/>
      <c r="L2324" s="116">
        <f>IF($A2324="","",DATE(YEAR($A2324),MONTH($A2324)+IF(AND(IFERROR(N(INDEX(Übersicht!$M$15:$M$22,MATCH($B2324,Übersicht!$A$15:$A$22,0))),0)&gt;1,DAY($A2324)&gt;=IFERROR(N(INDEX(Übersicht!$M$15:$M$22,MATCH($B2324,Übersicht!$A$15:$A$22,0))),0)),1,0),1))</f>
        <v/>
      </c>
    </row>
    <row r="2325">
      <c r="A2325" s="92" t="n"/>
      <c r="B2325" s="55" t="n"/>
      <c r="C2325" s="55" t="n"/>
      <c r="D2325" s="55" t="n"/>
      <c r="E2325" s="93" t="n"/>
      <c r="F2325" s="94" t="n"/>
      <c r="G2325" s="94" t="n"/>
      <c r="H2325" s="94" t="n"/>
      <c r="I2325" s="94" t="n"/>
      <c r="J2325" s="55" t="n"/>
      <c r="K2325" s="95" t="n"/>
      <c r="L2325" s="116">
        <f>IF($A2325="","",DATE(YEAR($A2325),MONTH($A2325)+IF(AND(IFERROR(N(INDEX(Übersicht!$M$15:$M$22,MATCH($B2325,Übersicht!$A$15:$A$22,0))),0)&gt;1,DAY($A2325)&gt;=IFERROR(N(INDEX(Übersicht!$M$15:$M$22,MATCH($B2325,Übersicht!$A$15:$A$22,0))),0)),1,0),1))</f>
        <v/>
      </c>
    </row>
    <row r="2326">
      <c r="A2326" s="92" t="n"/>
      <c r="B2326" s="55" t="n"/>
      <c r="C2326" s="55" t="n"/>
      <c r="D2326" s="55" t="n"/>
      <c r="E2326" s="93" t="n"/>
      <c r="F2326" s="94" t="n"/>
      <c r="G2326" s="94" t="n"/>
      <c r="H2326" s="94" t="n"/>
      <c r="I2326" s="94" t="n"/>
      <c r="J2326" s="55" t="n"/>
      <c r="K2326" s="95" t="n"/>
      <c r="L2326" s="116">
        <f>IF($A2326="","",DATE(YEAR($A2326),MONTH($A2326)+IF(AND(IFERROR(N(INDEX(Übersicht!$M$15:$M$22,MATCH($B2326,Übersicht!$A$15:$A$22,0))),0)&gt;1,DAY($A2326)&gt;=IFERROR(N(INDEX(Übersicht!$M$15:$M$22,MATCH($B2326,Übersicht!$A$15:$A$22,0))),0)),1,0),1))</f>
        <v/>
      </c>
    </row>
    <row r="2327">
      <c r="A2327" s="92" t="n"/>
      <c r="B2327" s="55" t="n"/>
      <c r="C2327" s="55" t="n"/>
      <c r="D2327" s="55" t="n"/>
      <c r="E2327" s="93" t="n"/>
      <c r="F2327" s="94" t="n"/>
      <c r="G2327" s="94" t="n"/>
      <c r="H2327" s="94" t="n"/>
      <c r="I2327" s="94" t="n"/>
      <c r="J2327" s="55" t="n"/>
      <c r="K2327" s="95" t="n"/>
      <c r="L2327" s="116">
        <f>IF($A2327="","",DATE(YEAR($A2327),MONTH($A2327)+IF(AND(IFERROR(N(INDEX(Übersicht!$M$15:$M$22,MATCH($B2327,Übersicht!$A$15:$A$22,0))),0)&gt;1,DAY($A2327)&gt;=IFERROR(N(INDEX(Übersicht!$M$15:$M$22,MATCH($B2327,Übersicht!$A$15:$A$22,0))),0)),1,0),1))</f>
        <v/>
      </c>
    </row>
    <row r="2328">
      <c r="A2328" s="92" t="n"/>
      <c r="B2328" s="55" t="n"/>
      <c r="C2328" s="55" t="n"/>
      <c r="D2328" s="55" t="n"/>
      <c r="E2328" s="93" t="n"/>
      <c r="F2328" s="94" t="n"/>
      <c r="G2328" s="94" t="n"/>
      <c r="H2328" s="94" t="n"/>
      <c r="I2328" s="94" t="n"/>
      <c r="J2328" s="55" t="n"/>
      <c r="K2328" s="95" t="n"/>
      <c r="L2328" s="116">
        <f>IF($A2328="","",DATE(YEAR($A2328),MONTH($A2328)+IF(AND(IFERROR(N(INDEX(Übersicht!$M$15:$M$22,MATCH($B2328,Übersicht!$A$15:$A$22,0))),0)&gt;1,DAY($A2328)&gt;=IFERROR(N(INDEX(Übersicht!$M$15:$M$22,MATCH($B2328,Übersicht!$A$15:$A$22,0))),0)),1,0),1))</f>
        <v/>
      </c>
    </row>
    <row r="2329">
      <c r="A2329" s="92" t="n"/>
      <c r="B2329" s="55" t="n"/>
      <c r="C2329" s="55" t="n"/>
      <c r="D2329" s="55" t="n"/>
      <c r="E2329" s="93" t="n"/>
      <c r="F2329" s="94" t="n"/>
      <c r="G2329" s="94" t="n"/>
      <c r="H2329" s="94" t="n"/>
      <c r="I2329" s="94" t="n"/>
      <c r="J2329" s="55" t="n"/>
      <c r="K2329" s="95" t="n"/>
      <c r="L2329" s="116">
        <f>IF($A2329="","",DATE(YEAR($A2329),MONTH($A2329)+IF(AND(IFERROR(N(INDEX(Übersicht!$M$15:$M$22,MATCH($B2329,Übersicht!$A$15:$A$22,0))),0)&gt;1,DAY($A2329)&gt;=IFERROR(N(INDEX(Übersicht!$M$15:$M$22,MATCH($B2329,Übersicht!$A$15:$A$22,0))),0)),1,0),1))</f>
        <v/>
      </c>
    </row>
    <row r="2330">
      <c r="A2330" s="92" t="n"/>
      <c r="B2330" s="55" t="n"/>
      <c r="C2330" s="55" t="n"/>
      <c r="D2330" s="55" t="n"/>
      <c r="E2330" s="93" t="n"/>
      <c r="F2330" s="94" t="n"/>
      <c r="G2330" s="94" t="n"/>
      <c r="H2330" s="94" t="n"/>
      <c r="I2330" s="94" t="n"/>
      <c r="J2330" s="55" t="n"/>
      <c r="K2330" s="95" t="n"/>
      <c r="L2330" s="116">
        <f>IF($A2330="","",DATE(YEAR($A2330),MONTH($A2330)+IF(AND(IFERROR(N(INDEX(Übersicht!$M$15:$M$22,MATCH($B2330,Übersicht!$A$15:$A$22,0))),0)&gt;1,DAY($A2330)&gt;=IFERROR(N(INDEX(Übersicht!$M$15:$M$22,MATCH($B2330,Übersicht!$A$15:$A$22,0))),0)),1,0),1))</f>
        <v/>
      </c>
    </row>
    <row r="2331">
      <c r="A2331" s="92" t="n"/>
      <c r="B2331" s="55" t="n"/>
      <c r="C2331" s="55" t="n"/>
      <c r="D2331" s="55" t="n"/>
      <c r="E2331" s="93" t="n"/>
      <c r="F2331" s="94" t="n"/>
      <c r="G2331" s="94" t="n"/>
      <c r="H2331" s="94" t="n"/>
      <c r="I2331" s="94" t="n"/>
      <c r="J2331" s="55" t="n"/>
      <c r="K2331" s="95" t="n"/>
      <c r="L2331" s="116">
        <f>IF($A2331="","",DATE(YEAR($A2331),MONTH($A2331)+IF(AND(IFERROR(N(INDEX(Übersicht!$M$15:$M$22,MATCH($B2331,Übersicht!$A$15:$A$22,0))),0)&gt;1,DAY($A2331)&gt;=IFERROR(N(INDEX(Übersicht!$M$15:$M$22,MATCH($B2331,Übersicht!$A$15:$A$22,0))),0)),1,0),1))</f>
        <v/>
      </c>
    </row>
    <row r="2332">
      <c r="A2332" s="92" t="n"/>
      <c r="B2332" s="55" t="n"/>
      <c r="C2332" s="55" t="n"/>
      <c r="D2332" s="55" t="n"/>
      <c r="E2332" s="93" t="n"/>
      <c r="F2332" s="94" t="n"/>
      <c r="G2332" s="94" t="n"/>
      <c r="H2332" s="94" t="n"/>
      <c r="I2332" s="94" t="n"/>
      <c r="J2332" s="55" t="n"/>
      <c r="K2332" s="95" t="n"/>
      <c r="L2332" s="116">
        <f>IF($A2332="","",DATE(YEAR($A2332),MONTH($A2332)+IF(AND(IFERROR(N(INDEX(Übersicht!$M$15:$M$22,MATCH($B2332,Übersicht!$A$15:$A$22,0))),0)&gt;1,DAY($A2332)&gt;=IFERROR(N(INDEX(Übersicht!$M$15:$M$22,MATCH($B2332,Übersicht!$A$15:$A$22,0))),0)),1,0),1))</f>
        <v/>
      </c>
    </row>
    <row r="2333">
      <c r="A2333" s="92" t="n"/>
      <c r="B2333" s="55" t="n"/>
      <c r="C2333" s="55" t="n"/>
      <c r="D2333" s="55" t="n"/>
      <c r="E2333" s="93" t="n"/>
      <c r="F2333" s="94" t="n"/>
      <c r="G2333" s="94" t="n"/>
      <c r="H2333" s="94" t="n"/>
      <c r="I2333" s="94" t="n"/>
      <c r="J2333" s="55" t="n"/>
      <c r="K2333" s="95" t="n"/>
      <c r="L2333" s="116">
        <f>IF($A2333="","",DATE(YEAR($A2333),MONTH($A2333)+IF(AND(IFERROR(N(INDEX(Übersicht!$M$15:$M$22,MATCH($B2333,Übersicht!$A$15:$A$22,0))),0)&gt;1,DAY($A2333)&gt;=IFERROR(N(INDEX(Übersicht!$M$15:$M$22,MATCH($B2333,Übersicht!$A$15:$A$22,0))),0)),1,0),1))</f>
        <v/>
      </c>
    </row>
    <row r="2334">
      <c r="A2334" s="92" t="n"/>
      <c r="B2334" s="55" t="n"/>
      <c r="C2334" s="55" t="n"/>
      <c r="D2334" s="55" t="n"/>
      <c r="E2334" s="93" t="n"/>
      <c r="F2334" s="94" t="n"/>
      <c r="G2334" s="94" t="n"/>
      <c r="H2334" s="94" t="n"/>
      <c r="I2334" s="94" t="n"/>
      <c r="J2334" s="55" t="n"/>
      <c r="K2334" s="95" t="n"/>
      <c r="L2334" s="116">
        <f>IF($A2334="","",DATE(YEAR($A2334),MONTH($A2334)+IF(AND(IFERROR(N(INDEX(Übersicht!$M$15:$M$22,MATCH($B2334,Übersicht!$A$15:$A$22,0))),0)&gt;1,DAY($A2334)&gt;=IFERROR(N(INDEX(Übersicht!$M$15:$M$22,MATCH($B2334,Übersicht!$A$15:$A$22,0))),0)),1,0),1))</f>
        <v/>
      </c>
    </row>
    <row r="2335">
      <c r="A2335" s="92" t="n"/>
      <c r="B2335" s="55" t="n"/>
      <c r="C2335" s="55" t="n"/>
      <c r="D2335" s="55" t="n"/>
      <c r="E2335" s="93" t="n"/>
      <c r="F2335" s="94" t="n"/>
      <c r="G2335" s="94" t="n"/>
      <c r="H2335" s="94" t="n"/>
      <c r="I2335" s="94" t="n"/>
      <c r="J2335" s="55" t="n"/>
      <c r="K2335" s="95" t="n"/>
      <c r="L2335" s="116">
        <f>IF($A2335="","",DATE(YEAR($A2335),MONTH($A2335)+IF(AND(IFERROR(N(INDEX(Übersicht!$M$15:$M$22,MATCH($B2335,Übersicht!$A$15:$A$22,0))),0)&gt;1,DAY($A2335)&gt;=IFERROR(N(INDEX(Übersicht!$M$15:$M$22,MATCH($B2335,Übersicht!$A$15:$A$22,0))),0)),1,0),1))</f>
        <v/>
      </c>
    </row>
    <row r="2336">
      <c r="A2336" s="92" t="n"/>
      <c r="B2336" s="55" t="n"/>
      <c r="C2336" s="55" t="n"/>
      <c r="D2336" s="55" t="n"/>
      <c r="E2336" s="93" t="n"/>
      <c r="F2336" s="94" t="n"/>
      <c r="G2336" s="94" t="n"/>
      <c r="H2336" s="94" t="n"/>
      <c r="I2336" s="94" t="n"/>
      <c r="J2336" s="55" t="n"/>
      <c r="K2336" s="95" t="n"/>
      <c r="L2336" s="116">
        <f>IF($A2336="","",DATE(YEAR($A2336),MONTH($A2336)+IF(AND(IFERROR(N(INDEX(Übersicht!$M$15:$M$22,MATCH($B2336,Übersicht!$A$15:$A$22,0))),0)&gt;1,DAY($A2336)&gt;=IFERROR(N(INDEX(Übersicht!$M$15:$M$22,MATCH($B2336,Übersicht!$A$15:$A$22,0))),0)),1,0),1))</f>
        <v/>
      </c>
    </row>
    <row r="2337">
      <c r="A2337" s="92" t="n"/>
      <c r="B2337" s="55" t="n"/>
      <c r="C2337" s="55" t="n"/>
      <c r="D2337" s="55" t="n"/>
      <c r="E2337" s="93" t="n"/>
      <c r="F2337" s="94" t="n"/>
      <c r="G2337" s="94" t="n"/>
      <c r="H2337" s="94" t="n"/>
      <c r="I2337" s="94" t="n"/>
      <c r="J2337" s="55" t="n"/>
      <c r="K2337" s="95" t="n"/>
      <c r="L2337" s="116">
        <f>IF($A2337="","",DATE(YEAR($A2337),MONTH($A2337)+IF(AND(IFERROR(N(INDEX(Übersicht!$M$15:$M$22,MATCH($B2337,Übersicht!$A$15:$A$22,0))),0)&gt;1,DAY($A2337)&gt;=IFERROR(N(INDEX(Übersicht!$M$15:$M$22,MATCH($B2337,Übersicht!$A$15:$A$22,0))),0)),1,0),1))</f>
        <v/>
      </c>
    </row>
    <row r="2338">
      <c r="A2338" s="92" t="n"/>
      <c r="B2338" s="55" t="n"/>
      <c r="C2338" s="55" t="n"/>
      <c r="D2338" s="55" t="n"/>
      <c r="E2338" s="93" t="n"/>
      <c r="F2338" s="94" t="n"/>
      <c r="G2338" s="94" t="n"/>
      <c r="H2338" s="94" t="n"/>
      <c r="I2338" s="94" t="n"/>
      <c r="J2338" s="55" t="n"/>
      <c r="K2338" s="95" t="n"/>
      <c r="L2338" s="116">
        <f>IF($A2338="","",DATE(YEAR($A2338),MONTH($A2338)+IF(AND(IFERROR(N(INDEX(Übersicht!$M$15:$M$22,MATCH($B2338,Übersicht!$A$15:$A$22,0))),0)&gt;1,DAY($A2338)&gt;=IFERROR(N(INDEX(Übersicht!$M$15:$M$22,MATCH($B2338,Übersicht!$A$15:$A$22,0))),0)),1,0),1))</f>
        <v/>
      </c>
    </row>
    <row r="2339">
      <c r="A2339" s="92" t="n"/>
      <c r="B2339" s="55" t="n"/>
      <c r="C2339" s="55" t="n"/>
      <c r="D2339" s="55" t="n"/>
      <c r="E2339" s="93" t="n"/>
      <c r="F2339" s="94" t="n"/>
      <c r="G2339" s="94" t="n"/>
      <c r="H2339" s="94" t="n"/>
      <c r="I2339" s="94" t="n"/>
      <c r="J2339" s="55" t="n"/>
      <c r="K2339" s="95" t="n"/>
      <c r="L2339" s="116">
        <f>IF($A2339="","",DATE(YEAR($A2339),MONTH($A2339)+IF(AND(IFERROR(N(INDEX(Übersicht!$M$15:$M$22,MATCH($B2339,Übersicht!$A$15:$A$22,0))),0)&gt;1,DAY($A2339)&gt;=IFERROR(N(INDEX(Übersicht!$M$15:$M$22,MATCH($B2339,Übersicht!$A$15:$A$22,0))),0)),1,0),1))</f>
        <v/>
      </c>
    </row>
    <row r="2340">
      <c r="A2340" s="92" t="n"/>
      <c r="B2340" s="55" t="n"/>
      <c r="C2340" s="55" t="n"/>
      <c r="D2340" s="55" t="n"/>
      <c r="E2340" s="93" t="n"/>
      <c r="F2340" s="94" t="n"/>
      <c r="G2340" s="94" t="n"/>
      <c r="H2340" s="94" t="n"/>
      <c r="I2340" s="94" t="n"/>
      <c r="J2340" s="55" t="n"/>
      <c r="K2340" s="95" t="n"/>
      <c r="L2340" s="116">
        <f>IF($A2340="","",DATE(YEAR($A2340),MONTH($A2340)+IF(AND(IFERROR(N(INDEX(Übersicht!$M$15:$M$22,MATCH($B2340,Übersicht!$A$15:$A$22,0))),0)&gt;1,DAY($A2340)&gt;=IFERROR(N(INDEX(Übersicht!$M$15:$M$22,MATCH($B2340,Übersicht!$A$15:$A$22,0))),0)),1,0),1))</f>
        <v/>
      </c>
    </row>
    <row r="2341">
      <c r="A2341" s="92" t="n"/>
      <c r="B2341" s="55" t="n"/>
      <c r="C2341" s="55" t="n"/>
      <c r="D2341" s="55" t="n"/>
      <c r="E2341" s="93" t="n"/>
      <c r="F2341" s="94" t="n"/>
      <c r="G2341" s="94" t="n"/>
      <c r="H2341" s="94" t="n"/>
      <c r="I2341" s="94" t="n"/>
      <c r="J2341" s="55" t="n"/>
      <c r="K2341" s="95" t="n"/>
      <c r="L2341" s="116">
        <f>IF($A2341="","",DATE(YEAR($A2341),MONTH($A2341)+IF(AND(IFERROR(N(INDEX(Übersicht!$M$15:$M$22,MATCH($B2341,Übersicht!$A$15:$A$22,0))),0)&gt;1,DAY($A2341)&gt;=IFERROR(N(INDEX(Übersicht!$M$15:$M$22,MATCH($B2341,Übersicht!$A$15:$A$22,0))),0)),1,0),1))</f>
        <v/>
      </c>
    </row>
    <row r="2342">
      <c r="A2342" s="92" t="n"/>
      <c r="B2342" s="55" t="n"/>
      <c r="C2342" s="55" t="n"/>
      <c r="D2342" s="55" t="n"/>
      <c r="E2342" s="93" t="n"/>
      <c r="F2342" s="94" t="n"/>
      <c r="G2342" s="94" t="n"/>
      <c r="H2342" s="94" t="n"/>
      <c r="I2342" s="94" t="n"/>
      <c r="J2342" s="55" t="n"/>
      <c r="K2342" s="95" t="n"/>
      <c r="L2342" s="116">
        <f>IF($A2342="","",DATE(YEAR($A2342),MONTH($A2342)+IF(AND(IFERROR(N(INDEX(Übersicht!$M$15:$M$22,MATCH($B2342,Übersicht!$A$15:$A$22,0))),0)&gt;1,DAY($A2342)&gt;=IFERROR(N(INDEX(Übersicht!$M$15:$M$22,MATCH($B2342,Übersicht!$A$15:$A$22,0))),0)),1,0),1))</f>
        <v/>
      </c>
    </row>
    <row r="2343">
      <c r="A2343" s="92" t="n"/>
      <c r="B2343" s="55" t="n"/>
      <c r="C2343" s="55" t="n"/>
      <c r="D2343" s="55" t="n"/>
      <c r="E2343" s="93" t="n"/>
      <c r="F2343" s="94" t="n"/>
      <c r="G2343" s="94" t="n"/>
      <c r="H2343" s="94" t="n"/>
      <c r="I2343" s="94" t="n"/>
      <c r="J2343" s="55" t="n"/>
      <c r="K2343" s="95" t="n"/>
      <c r="L2343" s="116">
        <f>IF($A2343="","",DATE(YEAR($A2343),MONTH($A2343)+IF(AND(IFERROR(N(INDEX(Übersicht!$M$15:$M$22,MATCH($B2343,Übersicht!$A$15:$A$22,0))),0)&gt;1,DAY($A2343)&gt;=IFERROR(N(INDEX(Übersicht!$M$15:$M$22,MATCH($B2343,Übersicht!$A$15:$A$22,0))),0)),1,0),1))</f>
        <v/>
      </c>
    </row>
    <row r="2344">
      <c r="A2344" s="92" t="n"/>
      <c r="B2344" s="55" t="n"/>
      <c r="C2344" s="55" t="n"/>
      <c r="D2344" s="55" t="n"/>
      <c r="E2344" s="93" t="n"/>
      <c r="F2344" s="94" t="n"/>
      <c r="G2344" s="94" t="n"/>
      <c r="H2344" s="94" t="n"/>
      <c r="I2344" s="94" t="n"/>
      <c r="J2344" s="55" t="n"/>
      <c r="K2344" s="95" t="n"/>
      <c r="L2344" s="116">
        <f>IF($A2344="","",DATE(YEAR($A2344),MONTH($A2344)+IF(AND(IFERROR(N(INDEX(Übersicht!$M$15:$M$22,MATCH($B2344,Übersicht!$A$15:$A$22,0))),0)&gt;1,DAY($A2344)&gt;=IFERROR(N(INDEX(Übersicht!$M$15:$M$22,MATCH($B2344,Übersicht!$A$15:$A$22,0))),0)),1,0),1))</f>
        <v/>
      </c>
    </row>
    <row r="2345">
      <c r="A2345" s="92" t="n"/>
      <c r="B2345" s="55" t="n"/>
      <c r="C2345" s="55" t="n"/>
      <c r="D2345" s="55" t="n"/>
      <c r="E2345" s="93" t="n"/>
      <c r="F2345" s="94" t="n"/>
      <c r="G2345" s="94" t="n"/>
      <c r="H2345" s="94" t="n"/>
      <c r="I2345" s="94" t="n"/>
      <c r="J2345" s="55" t="n"/>
      <c r="K2345" s="95" t="n"/>
      <c r="L2345" s="116">
        <f>IF($A2345="","",DATE(YEAR($A2345),MONTH($A2345)+IF(AND(IFERROR(N(INDEX(Übersicht!$M$15:$M$22,MATCH($B2345,Übersicht!$A$15:$A$22,0))),0)&gt;1,DAY($A2345)&gt;=IFERROR(N(INDEX(Übersicht!$M$15:$M$22,MATCH($B2345,Übersicht!$A$15:$A$22,0))),0)),1,0),1))</f>
        <v/>
      </c>
    </row>
    <row r="2346">
      <c r="A2346" s="92" t="n"/>
      <c r="B2346" s="55" t="n"/>
      <c r="C2346" s="55" t="n"/>
      <c r="D2346" s="55" t="n"/>
      <c r="E2346" s="93" t="n"/>
      <c r="F2346" s="94" t="n"/>
      <c r="G2346" s="94" t="n"/>
      <c r="H2346" s="94" t="n"/>
      <c r="I2346" s="94" t="n"/>
      <c r="J2346" s="55" t="n"/>
      <c r="K2346" s="95" t="n"/>
      <c r="L2346" s="116">
        <f>IF($A2346="","",DATE(YEAR($A2346),MONTH($A2346)+IF(AND(IFERROR(N(INDEX(Übersicht!$M$15:$M$22,MATCH($B2346,Übersicht!$A$15:$A$22,0))),0)&gt;1,DAY($A2346)&gt;=IFERROR(N(INDEX(Übersicht!$M$15:$M$22,MATCH($B2346,Übersicht!$A$15:$A$22,0))),0)),1,0),1))</f>
        <v/>
      </c>
    </row>
    <row r="2347">
      <c r="A2347" s="92" t="n"/>
      <c r="B2347" s="55" t="n"/>
      <c r="C2347" s="55" t="n"/>
      <c r="D2347" s="55" t="n"/>
      <c r="E2347" s="93" t="n"/>
      <c r="F2347" s="94" t="n"/>
      <c r="G2347" s="94" t="n"/>
      <c r="H2347" s="94" t="n"/>
      <c r="I2347" s="94" t="n"/>
      <c r="J2347" s="55" t="n"/>
      <c r="K2347" s="95" t="n"/>
      <c r="L2347" s="116">
        <f>IF($A2347="","",DATE(YEAR($A2347),MONTH($A2347)+IF(AND(IFERROR(N(INDEX(Übersicht!$M$15:$M$22,MATCH($B2347,Übersicht!$A$15:$A$22,0))),0)&gt;1,DAY($A2347)&gt;=IFERROR(N(INDEX(Übersicht!$M$15:$M$22,MATCH($B2347,Übersicht!$A$15:$A$22,0))),0)),1,0),1))</f>
        <v/>
      </c>
    </row>
    <row r="2348">
      <c r="A2348" s="92" t="n"/>
      <c r="B2348" s="55" t="n"/>
      <c r="C2348" s="55" t="n"/>
      <c r="D2348" s="55" t="n"/>
      <c r="E2348" s="93" t="n"/>
      <c r="F2348" s="94" t="n"/>
      <c r="G2348" s="94" t="n"/>
      <c r="H2348" s="94" t="n"/>
      <c r="I2348" s="94" t="n"/>
      <c r="J2348" s="55" t="n"/>
      <c r="K2348" s="95" t="n"/>
      <c r="L2348" s="116">
        <f>IF($A2348="","",DATE(YEAR($A2348),MONTH($A2348)+IF(AND(IFERROR(N(INDEX(Übersicht!$M$15:$M$22,MATCH($B2348,Übersicht!$A$15:$A$22,0))),0)&gt;1,DAY($A2348)&gt;=IFERROR(N(INDEX(Übersicht!$M$15:$M$22,MATCH($B2348,Übersicht!$A$15:$A$22,0))),0)),1,0),1))</f>
        <v/>
      </c>
    </row>
    <row r="2349">
      <c r="A2349" s="92" t="n"/>
      <c r="B2349" s="55" t="n"/>
      <c r="C2349" s="55" t="n"/>
      <c r="D2349" s="55" t="n"/>
      <c r="E2349" s="93" t="n"/>
      <c r="F2349" s="94" t="n"/>
      <c r="G2349" s="94" t="n"/>
      <c r="H2349" s="94" t="n"/>
      <c r="I2349" s="94" t="n"/>
      <c r="J2349" s="55" t="n"/>
      <c r="K2349" s="95" t="n"/>
      <c r="L2349" s="116">
        <f>IF($A2349="","",DATE(YEAR($A2349),MONTH($A2349)+IF(AND(IFERROR(N(INDEX(Übersicht!$M$15:$M$22,MATCH($B2349,Übersicht!$A$15:$A$22,0))),0)&gt;1,DAY($A2349)&gt;=IFERROR(N(INDEX(Übersicht!$M$15:$M$22,MATCH($B2349,Übersicht!$A$15:$A$22,0))),0)),1,0),1))</f>
        <v/>
      </c>
    </row>
    <row r="2350">
      <c r="A2350" s="92" t="n"/>
      <c r="B2350" s="55" t="n"/>
      <c r="C2350" s="55" t="n"/>
      <c r="D2350" s="55" t="n"/>
      <c r="E2350" s="93" t="n"/>
      <c r="F2350" s="94" t="n"/>
      <c r="G2350" s="94" t="n"/>
      <c r="H2350" s="94" t="n"/>
      <c r="I2350" s="94" t="n"/>
      <c r="J2350" s="55" t="n"/>
      <c r="K2350" s="95" t="n"/>
      <c r="L2350" s="116">
        <f>IF($A2350="","",DATE(YEAR($A2350),MONTH($A2350)+IF(AND(IFERROR(N(INDEX(Übersicht!$M$15:$M$22,MATCH($B2350,Übersicht!$A$15:$A$22,0))),0)&gt;1,DAY($A2350)&gt;=IFERROR(N(INDEX(Übersicht!$M$15:$M$22,MATCH($B2350,Übersicht!$A$15:$A$22,0))),0)),1,0),1))</f>
        <v/>
      </c>
    </row>
    <row r="2351">
      <c r="A2351" s="92" t="n"/>
      <c r="B2351" s="55" t="n"/>
      <c r="C2351" s="55" t="n"/>
      <c r="D2351" s="55" t="n"/>
      <c r="E2351" s="93" t="n"/>
      <c r="F2351" s="94" t="n"/>
      <c r="G2351" s="94" t="n"/>
      <c r="H2351" s="94" t="n"/>
      <c r="I2351" s="94" t="n"/>
      <c r="J2351" s="55" t="n"/>
      <c r="K2351" s="95" t="n"/>
      <c r="L2351" s="116">
        <f>IF($A2351="","",DATE(YEAR($A2351),MONTH($A2351)+IF(AND(IFERROR(N(INDEX(Übersicht!$M$15:$M$22,MATCH($B2351,Übersicht!$A$15:$A$22,0))),0)&gt;1,DAY($A2351)&gt;=IFERROR(N(INDEX(Übersicht!$M$15:$M$22,MATCH($B2351,Übersicht!$A$15:$A$22,0))),0)),1,0),1))</f>
        <v/>
      </c>
    </row>
    <row r="2352">
      <c r="A2352" s="92" t="n"/>
      <c r="B2352" s="55" t="n"/>
      <c r="C2352" s="55" t="n"/>
      <c r="D2352" s="55" t="n"/>
      <c r="E2352" s="93" t="n"/>
      <c r="F2352" s="94" t="n"/>
      <c r="G2352" s="94" t="n"/>
      <c r="H2352" s="94" t="n"/>
      <c r="I2352" s="94" t="n"/>
      <c r="J2352" s="55" t="n"/>
      <c r="K2352" s="95" t="n"/>
      <c r="L2352" s="116">
        <f>IF($A2352="","",DATE(YEAR($A2352),MONTH($A2352)+IF(AND(IFERROR(N(INDEX(Übersicht!$M$15:$M$22,MATCH($B2352,Übersicht!$A$15:$A$22,0))),0)&gt;1,DAY($A2352)&gt;=IFERROR(N(INDEX(Übersicht!$M$15:$M$22,MATCH($B2352,Übersicht!$A$15:$A$22,0))),0)),1,0),1))</f>
        <v/>
      </c>
    </row>
    <row r="2353">
      <c r="A2353" s="92" t="n"/>
      <c r="B2353" s="55" t="n"/>
      <c r="C2353" s="55" t="n"/>
      <c r="D2353" s="55" t="n"/>
      <c r="E2353" s="93" t="n"/>
      <c r="F2353" s="94" t="n"/>
      <c r="G2353" s="94" t="n"/>
      <c r="H2353" s="94" t="n"/>
      <c r="I2353" s="94" t="n"/>
      <c r="J2353" s="55" t="n"/>
      <c r="K2353" s="95" t="n"/>
      <c r="L2353" s="116">
        <f>IF($A2353="","",DATE(YEAR($A2353),MONTH($A2353)+IF(AND(IFERROR(N(INDEX(Übersicht!$M$15:$M$22,MATCH($B2353,Übersicht!$A$15:$A$22,0))),0)&gt;1,DAY($A2353)&gt;=IFERROR(N(INDEX(Übersicht!$M$15:$M$22,MATCH($B2353,Übersicht!$A$15:$A$22,0))),0)),1,0),1))</f>
        <v/>
      </c>
    </row>
    <row r="2354">
      <c r="A2354" s="92" t="n"/>
      <c r="B2354" s="55" t="n"/>
      <c r="C2354" s="55" t="n"/>
      <c r="D2354" s="55" t="n"/>
      <c r="E2354" s="93" t="n"/>
      <c r="F2354" s="94" t="n"/>
      <c r="G2354" s="94" t="n"/>
      <c r="H2354" s="94" t="n"/>
      <c r="I2354" s="94" t="n"/>
      <c r="J2354" s="55" t="n"/>
      <c r="K2354" s="95" t="n"/>
      <c r="L2354" s="116">
        <f>IF($A2354="","",DATE(YEAR($A2354),MONTH($A2354)+IF(AND(IFERROR(N(INDEX(Übersicht!$M$15:$M$22,MATCH($B2354,Übersicht!$A$15:$A$22,0))),0)&gt;1,DAY($A2354)&gt;=IFERROR(N(INDEX(Übersicht!$M$15:$M$22,MATCH($B2354,Übersicht!$A$15:$A$22,0))),0)),1,0),1))</f>
        <v/>
      </c>
    </row>
    <row r="2355">
      <c r="A2355" s="92" t="n"/>
      <c r="B2355" s="55" t="n"/>
      <c r="C2355" s="55" t="n"/>
      <c r="D2355" s="55" t="n"/>
      <c r="E2355" s="93" t="n"/>
      <c r="F2355" s="94" t="n"/>
      <c r="G2355" s="94" t="n"/>
      <c r="H2355" s="94" t="n"/>
      <c r="I2355" s="94" t="n"/>
      <c r="J2355" s="55" t="n"/>
      <c r="K2355" s="95" t="n"/>
      <c r="L2355" s="116">
        <f>IF($A2355="","",DATE(YEAR($A2355),MONTH($A2355)+IF(AND(IFERROR(N(INDEX(Übersicht!$M$15:$M$22,MATCH($B2355,Übersicht!$A$15:$A$22,0))),0)&gt;1,DAY($A2355)&gt;=IFERROR(N(INDEX(Übersicht!$M$15:$M$22,MATCH($B2355,Übersicht!$A$15:$A$22,0))),0)),1,0),1))</f>
        <v/>
      </c>
    </row>
    <row r="2356">
      <c r="A2356" s="92" t="n"/>
      <c r="B2356" s="55" t="n"/>
      <c r="C2356" s="55" t="n"/>
      <c r="D2356" s="55" t="n"/>
      <c r="E2356" s="93" t="n"/>
      <c r="F2356" s="94" t="n"/>
      <c r="G2356" s="94" t="n"/>
      <c r="H2356" s="94" t="n"/>
      <c r="I2356" s="94" t="n"/>
      <c r="J2356" s="55" t="n"/>
      <c r="K2356" s="95" t="n"/>
      <c r="L2356" s="116">
        <f>IF($A2356="","",DATE(YEAR($A2356),MONTH($A2356)+IF(AND(IFERROR(N(INDEX(Übersicht!$M$15:$M$22,MATCH($B2356,Übersicht!$A$15:$A$22,0))),0)&gt;1,DAY($A2356)&gt;=IFERROR(N(INDEX(Übersicht!$M$15:$M$22,MATCH($B2356,Übersicht!$A$15:$A$22,0))),0)),1,0),1))</f>
        <v/>
      </c>
    </row>
    <row r="2357">
      <c r="A2357" s="92" t="n"/>
      <c r="B2357" s="55" t="n"/>
      <c r="C2357" s="55" t="n"/>
      <c r="D2357" s="55" t="n"/>
      <c r="E2357" s="93" t="n"/>
      <c r="F2357" s="94" t="n"/>
      <c r="G2357" s="94" t="n"/>
      <c r="H2357" s="94" t="n"/>
      <c r="I2357" s="94" t="n"/>
      <c r="J2357" s="55" t="n"/>
      <c r="K2357" s="95" t="n"/>
      <c r="L2357" s="116">
        <f>IF($A2357="","",DATE(YEAR($A2357),MONTH($A2357)+IF(AND(IFERROR(N(INDEX(Übersicht!$M$15:$M$22,MATCH($B2357,Übersicht!$A$15:$A$22,0))),0)&gt;1,DAY($A2357)&gt;=IFERROR(N(INDEX(Übersicht!$M$15:$M$22,MATCH($B2357,Übersicht!$A$15:$A$22,0))),0)),1,0),1))</f>
        <v/>
      </c>
    </row>
    <row r="2358">
      <c r="A2358" s="92" t="n"/>
      <c r="B2358" s="55" t="n"/>
      <c r="C2358" s="55" t="n"/>
      <c r="D2358" s="55" t="n"/>
      <c r="E2358" s="93" t="n"/>
      <c r="F2358" s="94" t="n"/>
      <c r="G2358" s="94" t="n"/>
      <c r="H2358" s="94" t="n"/>
      <c r="I2358" s="94" t="n"/>
      <c r="J2358" s="55" t="n"/>
      <c r="K2358" s="95" t="n"/>
      <c r="L2358" s="116">
        <f>IF($A2358="","",DATE(YEAR($A2358),MONTH($A2358)+IF(AND(IFERROR(N(INDEX(Übersicht!$M$15:$M$22,MATCH($B2358,Übersicht!$A$15:$A$22,0))),0)&gt;1,DAY($A2358)&gt;=IFERROR(N(INDEX(Übersicht!$M$15:$M$22,MATCH($B2358,Übersicht!$A$15:$A$22,0))),0)),1,0),1))</f>
        <v/>
      </c>
    </row>
    <row r="2359">
      <c r="A2359" s="92" t="n"/>
      <c r="B2359" s="55" t="n"/>
      <c r="C2359" s="55" t="n"/>
      <c r="D2359" s="55" t="n"/>
      <c r="E2359" s="93" t="n"/>
      <c r="F2359" s="94" t="n"/>
      <c r="G2359" s="94" t="n"/>
      <c r="H2359" s="94" t="n"/>
      <c r="I2359" s="94" t="n"/>
      <c r="J2359" s="55" t="n"/>
      <c r="K2359" s="95" t="n"/>
      <c r="L2359" s="116">
        <f>IF($A2359="","",DATE(YEAR($A2359),MONTH($A2359)+IF(AND(IFERROR(N(INDEX(Übersicht!$M$15:$M$22,MATCH($B2359,Übersicht!$A$15:$A$22,0))),0)&gt;1,DAY($A2359)&gt;=IFERROR(N(INDEX(Übersicht!$M$15:$M$22,MATCH($B2359,Übersicht!$A$15:$A$22,0))),0)),1,0),1))</f>
        <v/>
      </c>
    </row>
    <row r="2360">
      <c r="A2360" s="92" t="n"/>
      <c r="B2360" s="55" t="n"/>
      <c r="C2360" s="55" t="n"/>
      <c r="D2360" s="55" t="n"/>
      <c r="E2360" s="93" t="n"/>
      <c r="F2360" s="94" t="n"/>
      <c r="G2360" s="94" t="n"/>
      <c r="H2360" s="94" t="n"/>
      <c r="I2360" s="94" t="n"/>
      <c r="J2360" s="55" t="n"/>
      <c r="K2360" s="95" t="n"/>
      <c r="L2360" s="116">
        <f>IF($A2360="","",DATE(YEAR($A2360),MONTH($A2360)+IF(AND(IFERROR(N(INDEX(Übersicht!$M$15:$M$22,MATCH($B2360,Übersicht!$A$15:$A$22,0))),0)&gt;1,DAY($A2360)&gt;=IFERROR(N(INDEX(Übersicht!$M$15:$M$22,MATCH($B2360,Übersicht!$A$15:$A$22,0))),0)),1,0),1))</f>
        <v/>
      </c>
    </row>
    <row r="2361">
      <c r="A2361" s="92" t="n"/>
      <c r="B2361" s="55" t="n"/>
      <c r="C2361" s="55" t="n"/>
      <c r="D2361" s="55" t="n"/>
      <c r="E2361" s="93" t="n"/>
      <c r="F2361" s="94" t="n"/>
      <c r="G2361" s="94" t="n"/>
      <c r="H2361" s="94" t="n"/>
      <c r="I2361" s="94" t="n"/>
      <c r="J2361" s="55" t="n"/>
      <c r="K2361" s="95" t="n"/>
      <c r="L2361" s="116">
        <f>IF($A2361="","",DATE(YEAR($A2361),MONTH($A2361)+IF(AND(IFERROR(N(INDEX(Übersicht!$M$15:$M$22,MATCH($B2361,Übersicht!$A$15:$A$22,0))),0)&gt;1,DAY($A2361)&gt;=IFERROR(N(INDEX(Übersicht!$M$15:$M$22,MATCH($B2361,Übersicht!$A$15:$A$22,0))),0)),1,0),1))</f>
        <v/>
      </c>
    </row>
    <row r="2362">
      <c r="A2362" s="92" t="n"/>
      <c r="B2362" s="55" t="n"/>
      <c r="C2362" s="55" t="n"/>
      <c r="D2362" s="55" t="n"/>
      <c r="E2362" s="93" t="n"/>
      <c r="F2362" s="94" t="n"/>
      <c r="G2362" s="94" t="n"/>
      <c r="H2362" s="94" t="n"/>
      <c r="I2362" s="94" t="n"/>
      <c r="J2362" s="55" t="n"/>
      <c r="K2362" s="95" t="n"/>
      <c r="L2362" s="116">
        <f>IF($A2362="","",DATE(YEAR($A2362),MONTH($A2362)+IF(AND(IFERROR(N(INDEX(Übersicht!$M$15:$M$22,MATCH($B2362,Übersicht!$A$15:$A$22,0))),0)&gt;1,DAY($A2362)&gt;=IFERROR(N(INDEX(Übersicht!$M$15:$M$22,MATCH($B2362,Übersicht!$A$15:$A$22,0))),0)),1,0),1))</f>
        <v/>
      </c>
    </row>
    <row r="2363">
      <c r="A2363" s="92" t="n"/>
      <c r="B2363" s="55" t="n"/>
      <c r="C2363" s="55" t="n"/>
      <c r="D2363" s="55" t="n"/>
      <c r="E2363" s="93" t="n"/>
      <c r="F2363" s="94" t="n"/>
      <c r="G2363" s="94" t="n"/>
      <c r="H2363" s="94" t="n"/>
      <c r="I2363" s="94" t="n"/>
      <c r="J2363" s="55" t="n"/>
      <c r="K2363" s="95" t="n"/>
      <c r="L2363" s="116">
        <f>IF($A2363="","",DATE(YEAR($A2363),MONTH($A2363)+IF(AND(IFERROR(N(INDEX(Übersicht!$M$15:$M$22,MATCH($B2363,Übersicht!$A$15:$A$22,0))),0)&gt;1,DAY($A2363)&gt;=IFERROR(N(INDEX(Übersicht!$M$15:$M$22,MATCH($B2363,Übersicht!$A$15:$A$22,0))),0)),1,0),1))</f>
        <v/>
      </c>
    </row>
    <row r="2364">
      <c r="A2364" s="92" t="n"/>
      <c r="B2364" s="55" t="n"/>
      <c r="C2364" s="55" t="n"/>
      <c r="D2364" s="55" t="n"/>
      <c r="E2364" s="93" t="n"/>
      <c r="F2364" s="94" t="n"/>
      <c r="G2364" s="94" t="n"/>
      <c r="H2364" s="94" t="n"/>
      <c r="I2364" s="94" t="n"/>
      <c r="J2364" s="55" t="n"/>
      <c r="K2364" s="95" t="n"/>
      <c r="L2364" s="116">
        <f>IF($A2364="","",DATE(YEAR($A2364),MONTH($A2364)+IF(AND(IFERROR(N(INDEX(Übersicht!$M$15:$M$22,MATCH($B2364,Übersicht!$A$15:$A$22,0))),0)&gt;1,DAY($A2364)&gt;=IFERROR(N(INDEX(Übersicht!$M$15:$M$22,MATCH($B2364,Übersicht!$A$15:$A$22,0))),0)),1,0),1))</f>
        <v/>
      </c>
    </row>
    <row r="2365">
      <c r="A2365" s="92" t="n"/>
      <c r="B2365" s="55" t="n"/>
      <c r="C2365" s="55" t="n"/>
      <c r="D2365" s="55" t="n"/>
      <c r="E2365" s="93" t="n"/>
      <c r="F2365" s="94" t="n"/>
      <c r="G2365" s="94" t="n"/>
      <c r="H2365" s="94" t="n"/>
      <c r="I2365" s="94" t="n"/>
      <c r="J2365" s="55" t="n"/>
      <c r="K2365" s="95" t="n"/>
      <c r="L2365" s="116">
        <f>IF($A2365="","",DATE(YEAR($A2365),MONTH($A2365)+IF(AND(IFERROR(N(INDEX(Übersicht!$M$15:$M$22,MATCH($B2365,Übersicht!$A$15:$A$22,0))),0)&gt;1,DAY($A2365)&gt;=IFERROR(N(INDEX(Übersicht!$M$15:$M$22,MATCH($B2365,Übersicht!$A$15:$A$22,0))),0)),1,0),1))</f>
        <v/>
      </c>
    </row>
    <row r="2366">
      <c r="A2366" s="92" t="n"/>
      <c r="B2366" s="55" t="n"/>
      <c r="C2366" s="55" t="n"/>
      <c r="D2366" s="55" t="n"/>
      <c r="E2366" s="93" t="n"/>
      <c r="F2366" s="94" t="n"/>
      <c r="G2366" s="94" t="n"/>
      <c r="H2366" s="94" t="n"/>
      <c r="I2366" s="94" t="n"/>
      <c r="J2366" s="55" t="n"/>
      <c r="K2366" s="95" t="n"/>
      <c r="L2366" s="116">
        <f>IF($A2366="","",DATE(YEAR($A2366),MONTH($A2366)+IF(AND(IFERROR(N(INDEX(Übersicht!$M$15:$M$22,MATCH($B2366,Übersicht!$A$15:$A$22,0))),0)&gt;1,DAY($A2366)&gt;=IFERROR(N(INDEX(Übersicht!$M$15:$M$22,MATCH($B2366,Übersicht!$A$15:$A$22,0))),0)),1,0),1))</f>
        <v/>
      </c>
    </row>
    <row r="2367">
      <c r="A2367" s="92" t="n"/>
      <c r="B2367" s="55" t="n"/>
      <c r="C2367" s="55" t="n"/>
      <c r="D2367" s="55" t="n"/>
      <c r="E2367" s="93" t="n"/>
      <c r="F2367" s="94" t="n"/>
      <c r="G2367" s="94" t="n"/>
      <c r="H2367" s="94" t="n"/>
      <c r="I2367" s="94" t="n"/>
      <c r="J2367" s="55" t="n"/>
      <c r="K2367" s="95" t="n"/>
      <c r="L2367" s="116">
        <f>IF($A2367="","",DATE(YEAR($A2367),MONTH($A2367)+IF(AND(IFERROR(N(INDEX(Übersicht!$M$15:$M$22,MATCH($B2367,Übersicht!$A$15:$A$22,0))),0)&gt;1,DAY($A2367)&gt;=IFERROR(N(INDEX(Übersicht!$M$15:$M$22,MATCH($B2367,Übersicht!$A$15:$A$22,0))),0)),1,0),1))</f>
        <v/>
      </c>
    </row>
    <row r="2368">
      <c r="A2368" s="92" t="n"/>
      <c r="B2368" s="55" t="n"/>
      <c r="C2368" s="55" t="n"/>
      <c r="D2368" s="55" t="n"/>
      <c r="E2368" s="93" t="n"/>
      <c r="F2368" s="94" t="n"/>
      <c r="G2368" s="94" t="n"/>
      <c r="H2368" s="94" t="n"/>
      <c r="I2368" s="94" t="n"/>
      <c r="J2368" s="55" t="n"/>
      <c r="K2368" s="95" t="n"/>
      <c r="L2368" s="116">
        <f>IF($A2368="","",DATE(YEAR($A2368),MONTH($A2368)+IF(AND(IFERROR(N(INDEX(Übersicht!$M$15:$M$22,MATCH($B2368,Übersicht!$A$15:$A$22,0))),0)&gt;1,DAY($A2368)&gt;=IFERROR(N(INDEX(Übersicht!$M$15:$M$22,MATCH($B2368,Übersicht!$A$15:$A$22,0))),0)),1,0),1))</f>
        <v/>
      </c>
    </row>
    <row r="2369">
      <c r="A2369" s="92" t="n"/>
      <c r="B2369" s="55" t="n"/>
      <c r="C2369" s="55" t="n"/>
      <c r="D2369" s="55" t="n"/>
      <c r="E2369" s="93" t="n"/>
      <c r="F2369" s="94" t="n"/>
      <c r="G2369" s="94" t="n"/>
      <c r="H2369" s="94" t="n"/>
      <c r="I2369" s="94" t="n"/>
      <c r="J2369" s="55" t="n"/>
      <c r="K2369" s="95" t="n"/>
      <c r="L2369" s="116">
        <f>IF($A2369="","",DATE(YEAR($A2369),MONTH($A2369)+IF(AND(IFERROR(N(INDEX(Übersicht!$M$15:$M$22,MATCH($B2369,Übersicht!$A$15:$A$22,0))),0)&gt;1,DAY($A2369)&gt;=IFERROR(N(INDEX(Übersicht!$M$15:$M$22,MATCH($B2369,Übersicht!$A$15:$A$22,0))),0)),1,0),1))</f>
        <v/>
      </c>
    </row>
    <row r="2370">
      <c r="A2370" s="92" t="n"/>
      <c r="B2370" s="55" t="n"/>
      <c r="C2370" s="55" t="n"/>
      <c r="D2370" s="55" t="n"/>
      <c r="E2370" s="93" t="n"/>
      <c r="F2370" s="94" t="n"/>
      <c r="G2370" s="94" t="n"/>
      <c r="H2370" s="94" t="n"/>
      <c r="I2370" s="94" t="n"/>
      <c r="J2370" s="55" t="n"/>
      <c r="K2370" s="95" t="n"/>
      <c r="L2370" s="116">
        <f>IF($A2370="","",DATE(YEAR($A2370),MONTH($A2370)+IF(AND(IFERROR(N(INDEX(Übersicht!$M$15:$M$22,MATCH($B2370,Übersicht!$A$15:$A$22,0))),0)&gt;1,DAY($A2370)&gt;=IFERROR(N(INDEX(Übersicht!$M$15:$M$22,MATCH($B2370,Übersicht!$A$15:$A$22,0))),0)),1,0),1))</f>
        <v/>
      </c>
    </row>
    <row r="2371">
      <c r="A2371" s="92" t="n"/>
      <c r="B2371" s="55" t="n"/>
      <c r="C2371" s="55" t="n"/>
      <c r="D2371" s="55" t="n"/>
      <c r="E2371" s="93" t="n"/>
      <c r="F2371" s="94" t="n"/>
      <c r="G2371" s="94" t="n"/>
      <c r="H2371" s="94" t="n"/>
      <c r="I2371" s="94" t="n"/>
      <c r="J2371" s="55" t="n"/>
      <c r="K2371" s="95" t="n"/>
      <c r="L2371" s="116">
        <f>IF($A2371="","",DATE(YEAR($A2371),MONTH($A2371)+IF(AND(IFERROR(N(INDEX(Übersicht!$M$15:$M$22,MATCH($B2371,Übersicht!$A$15:$A$22,0))),0)&gt;1,DAY($A2371)&gt;=IFERROR(N(INDEX(Übersicht!$M$15:$M$22,MATCH($B2371,Übersicht!$A$15:$A$22,0))),0)),1,0),1))</f>
        <v/>
      </c>
    </row>
    <row r="2372">
      <c r="A2372" s="92" t="n"/>
      <c r="B2372" s="55" t="n"/>
      <c r="C2372" s="55" t="n"/>
      <c r="D2372" s="55" t="n"/>
      <c r="E2372" s="93" t="n"/>
      <c r="F2372" s="94" t="n"/>
      <c r="G2372" s="94" t="n"/>
      <c r="H2372" s="94" t="n"/>
      <c r="I2372" s="94" t="n"/>
      <c r="J2372" s="55" t="n"/>
      <c r="K2372" s="95" t="n"/>
      <c r="L2372" s="116">
        <f>IF($A2372="","",DATE(YEAR($A2372),MONTH($A2372)+IF(AND(IFERROR(N(INDEX(Übersicht!$M$15:$M$22,MATCH($B2372,Übersicht!$A$15:$A$22,0))),0)&gt;1,DAY($A2372)&gt;=IFERROR(N(INDEX(Übersicht!$M$15:$M$22,MATCH($B2372,Übersicht!$A$15:$A$22,0))),0)),1,0),1))</f>
        <v/>
      </c>
    </row>
    <row r="2373">
      <c r="A2373" s="92" t="n"/>
      <c r="B2373" s="55" t="n"/>
      <c r="C2373" s="55" t="n"/>
      <c r="D2373" s="55" t="n"/>
      <c r="E2373" s="93" t="n"/>
      <c r="F2373" s="94" t="n"/>
      <c r="G2373" s="94" t="n"/>
      <c r="H2373" s="94" t="n"/>
      <c r="I2373" s="94" t="n"/>
      <c r="J2373" s="55" t="n"/>
      <c r="K2373" s="95" t="n"/>
      <c r="L2373" s="116">
        <f>IF($A2373="","",DATE(YEAR($A2373),MONTH($A2373)+IF(AND(IFERROR(N(INDEX(Übersicht!$M$15:$M$22,MATCH($B2373,Übersicht!$A$15:$A$22,0))),0)&gt;1,DAY($A2373)&gt;=IFERROR(N(INDEX(Übersicht!$M$15:$M$22,MATCH($B2373,Übersicht!$A$15:$A$22,0))),0)),1,0),1))</f>
        <v/>
      </c>
    </row>
    <row r="2374">
      <c r="A2374" s="92" t="n"/>
      <c r="B2374" s="55" t="n"/>
      <c r="C2374" s="55" t="n"/>
      <c r="D2374" s="55" t="n"/>
      <c r="E2374" s="93" t="n"/>
      <c r="F2374" s="94" t="n"/>
      <c r="G2374" s="94" t="n"/>
      <c r="H2374" s="94" t="n"/>
      <c r="I2374" s="94" t="n"/>
      <c r="J2374" s="55" t="n"/>
      <c r="K2374" s="95" t="n"/>
      <c r="L2374" s="116">
        <f>IF($A2374="","",DATE(YEAR($A2374),MONTH($A2374)+IF(AND(IFERROR(N(INDEX(Übersicht!$M$15:$M$22,MATCH($B2374,Übersicht!$A$15:$A$22,0))),0)&gt;1,DAY($A2374)&gt;=IFERROR(N(INDEX(Übersicht!$M$15:$M$22,MATCH($B2374,Übersicht!$A$15:$A$22,0))),0)),1,0),1))</f>
        <v/>
      </c>
    </row>
    <row r="2375">
      <c r="A2375" s="92" t="n"/>
      <c r="B2375" s="55" t="n"/>
      <c r="C2375" s="55" t="n"/>
      <c r="D2375" s="55" t="n"/>
      <c r="E2375" s="93" t="n"/>
      <c r="F2375" s="94" t="n"/>
      <c r="G2375" s="94" t="n"/>
      <c r="H2375" s="94" t="n"/>
      <c r="I2375" s="94" t="n"/>
      <c r="J2375" s="55" t="n"/>
      <c r="K2375" s="95" t="n"/>
      <c r="L2375" s="116">
        <f>IF($A2375="","",DATE(YEAR($A2375),MONTH($A2375)+IF(AND(IFERROR(N(INDEX(Übersicht!$M$15:$M$22,MATCH($B2375,Übersicht!$A$15:$A$22,0))),0)&gt;1,DAY($A2375)&gt;=IFERROR(N(INDEX(Übersicht!$M$15:$M$22,MATCH($B2375,Übersicht!$A$15:$A$22,0))),0)),1,0),1))</f>
        <v/>
      </c>
    </row>
    <row r="2376">
      <c r="A2376" s="92" t="n"/>
      <c r="B2376" s="55" t="n"/>
      <c r="C2376" s="55" t="n"/>
      <c r="D2376" s="55" t="n"/>
      <c r="E2376" s="93" t="n"/>
      <c r="F2376" s="94" t="n"/>
      <c r="G2376" s="94" t="n"/>
      <c r="H2376" s="94" t="n"/>
      <c r="I2376" s="94" t="n"/>
      <c r="J2376" s="55" t="n"/>
      <c r="K2376" s="95" t="n"/>
      <c r="L2376" s="116">
        <f>IF($A2376="","",DATE(YEAR($A2376),MONTH($A2376)+IF(AND(IFERROR(N(INDEX(Übersicht!$M$15:$M$22,MATCH($B2376,Übersicht!$A$15:$A$22,0))),0)&gt;1,DAY($A2376)&gt;=IFERROR(N(INDEX(Übersicht!$M$15:$M$22,MATCH($B2376,Übersicht!$A$15:$A$22,0))),0)),1,0),1))</f>
        <v/>
      </c>
    </row>
    <row r="2377">
      <c r="A2377" s="92" t="n"/>
      <c r="B2377" s="55" t="n"/>
      <c r="C2377" s="55" t="n"/>
      <c r="D2377" s="55" t="n"/>
      <c r="E2377" s="93" t="n"/>
      <c r="F2377" s="94" t="n"/>
      <c r="G2377" s="94" t="n"/>
      <c r="H2377" s="94" t="n"/>
      <c r="I2377" s="94" t="n"/>
      <c r="J2377" s="55" t="n"/>
      <c r="K2377" s="95" t="n"/>
      <c r="L2377" s="116">
        <f>IF($A2377="","",DATE(YEAR($A2377),MONTH($A2377)+IF(AND(IFERROR(N(INDEX(Übersicht!$M$15:$M$22,MATCH($B2377,Übersicht!$A$15:$A$22,0))),0)&gt;1,DAY($A2377)&gt;=IFERROR(N(INDEX(Übersicht!$M$15:$M$22,MATCH($B2377,Übersicht!$A$15:$A$22,0))),0)),1,0),1))</f>
        <v/>
      </c>
    </row>
    <row r="2378">
      <c r="A2378" s="92" t="n"/>
      <c r="B2378" s="55" t="n"/>
      <c r="C2378" s="55" t="n"/>
      <c r="D2378" s="55" t="n"/>
      <c r="E2378" s="93" t="n"/>
      <c r="F2378" s="94" t="n"/>
      <c r="G2378" s="94" t="n"/>
      <c r="H2378" s="94" t="n"/>
      <c r="I2378" s="94" t="n"/>
      <c r="J2378" s="55" t="n"/>
      <c r="K2378" s="95" t="n"/>
      <c r="L2378" s="116">
        <f>IF($A2378="","",DATE(YEAR($A2378),MONTH($A2378)+IF(AND(IFERROR(N(INDEX(Übersicht!$M$15:$M$22,MATCH($B2378,Übersicht!$A$15:$A$22,0))),0)&gt;1,DAY($A2378)&gt;=IFERROR(N(INDEX(Übersicht!$M$15:$M$22,MATCH($B2378,Übersicht!$A$15:$A$22,0))),0)),1,0),1))</f>
        <v/>
      </c>
    </row>
    <row r="2379">
      <c r="A2379" s="92" t="n"/>
      <c r="B2379" s="55" t="n"/>
      <c r="C2379" s="55" t="n"/>
      <c r="D2379" s="55" t="n"/>
      <c r="E2379" s="93" t="n"/>
      <c r="F2379" s="94" t="n"/>
      <c r="G2379" s="94" t="n"/>
      <c r="H2379" s="94" t="n"/>
      <c r="I2379" s="94" t="n"/>
      <c r="J2379" s="55" t="n"/>
      <c r="K2379" s="95" t="n"/>
      <c r="L2379" s="116">
        <f>IF($A2379="","",DATE(YEAR($A2379),MONTH($A2379)+IF(AND(IFERROR(N(INDEX(Übersicht!$M$15:$M$22,MATCH($B2379,Übersicht!$A$15:$A$22,0))),0)&gt;1,DAY($A2379)&gt;=IFERROR(N(INDEX(Übersicht!$M$15:$M$22,MATCH($B2379,Übersicht!$A$15:$A$22,0))),0)),1,0),1))</f>
        <v/>
      </c>
    </row>
    <row r="2380">
      <c r="A2380" s="92" t="n"/>
      <c r="B2380" s="55" t="n"/>
      <c r="C2380" s="55" t="n"/>
      <c r="D2380" s="55" t="n"/>
      <c r="E2380" s="93" t="n"/>
      <c r="F2380" s="94" t="n"/>
      <c r="G2380" s="94" t="n"/>
      <c r="H2380" s="94" t="n"/>
      <c r="I2380" s="94" t="n"/>
      <c r="J2380" s="55" t="n"/>
      <c r="K2380" s="95" t="n"/>
      <c r="L2380" s="116">
        <f>IF($A2380="","",DATE(YEAR($A2380),MONTH($A2380)+IF(AND(IFERROR(N(INDEX(Übersicht!$M$15:$M$22,MATCH($B2380,Übersicht!$A$15:$A$22,0))),0)&gt;1,DAY($A2380)&gt;=IFERROR(N(INDEX(Übersicht!$M$15:$M$22,MATCH($B2380,Übersicht!$A$15:$A$22,0))),0)),1,0),1))</f>
        <v/>
      </c>
    </row>
    <row r="2381">
      <c r="A2381" s="92" t="n"/>
      <c r="B2381" s="55" t="n"/>
      <c r="C2381" s="55" t="n"/>
      <c r="D2381" s="55" t="n"/>
      <c r="E2381" s="93" t="n"/>
      <c r="F2381" s="94" t="n"/>
      <c r="G2381" s="94" t="n"/>
      <c r="H2381" s="94" t="n"/>
      <c r="I2381" s="94" t="n"/>
      <c r="J2381" s="55" t="n"/>
      <c r="K2381" s="95" t="n"/>
      <c r="L2381" s="116">
        <f>IF($A2381="","",DATE(YEAR($A2381),MONTH($A2381)+IF(AND(IFERROR(N(INDEX(Übersicht!$M$15:$M$22,MATCH($B2381,Übersicht!$A$15:$A$22,0))),0)&gt;1,DAY($A2381)&gt;=IFERROR(N(INDEX(Übersicht!$M$15:$M$22,MATCH($B2381,Übersicht!$A$15:$A$22,0))),0)),1,0),1))</f>
        <v/>
      </c>
    </row>
    <row r="2382">
      <c r="A2382" s="92" t="n"/>
      <c r="B2382" s="55" t="n"/>
      <c r="C2382" s="55" t="n"/>
      <c r="D2382" s="55" t="n"/>
      <c r="E2382" s="93" t="n"/>
      <c r="F2382" s="94" t="n"/>
      <c r="G2382" s="94" t="n"/>
      <c r="H2382" s="94" t="n"/>
      <c r="I2382" s="94" t="n"/>
      <c r="J2382" s="55" t="n"/>
      <c r="K2382" s="95" t="n"/>
      <c r="L2382" s="116">
        <f>IF($A2382="","",DATE(YEAR($A2382),MONTH($A2382)+IF(AND(IFERROR(N(INDEX(Übersicht!$M$15:$M$22,MATCH($B2382,Übersicht!$A$15:$A$22,0))),0)&gt;1,DAY($A2382)&gt;=IFERROR(N(INDEX(Übersicht!$M$15:$M$22,MATCH($B2382,Übersicht!$A$15:$A$22,0))),0)),1,0),1))</f>
        <v/>
      </c>
    </row>
    <row r="2383">
      <c r="A2383" s="92" t="n"/>
      <c r="B2383" s="55" t="n"/>
      <c r="C2383" s="55" t="n"/>
      <c r="D2383" s="55" t="n"/>
      <c r="E2383" s="93" t="n"/>
      <c r="F2383" s="94" t="n"/>
      <c r="G2383" s="94" t="n"/>
      <c r="H2383" s="94" t="n"/>
      <c r="I2383" s="94" t="n"/>
      <c r="J2383" s="55" t="n"/>
      <c r="K2383" s="95" t="n"/>
      <c r="L2383" s="116">
        <f>IF($A2383="","",DATE(YEAR($A2383),MONTH($A2383)+IF(AND(IFERROR(N(INDEX(Übersicht!$M$15:$M$22,MATCH($B2383,Übersicht!$A$15:$A$22,0))),0)&gt;1,DAY($A2383)&gt;=IFERROR(N(INDEX(Übersicht!$M$15:$M$22,MATCH($B2383,Übersicht!$A$15:$A$22,0))),0)),1,0),1))</f>
        <v/>
      </c>
    </row>
    <row r="2384">
      <c r="A2384" s="92" t="n"/>
      <c r="B2384" s="55" t="n"/>
      <c r="C2384" s="55" t="n"/>
      <c r="D2384" s="55" t="n"/>
      <c r="E2384" s="93" t="n"/>
      <c r="F2384" s="94" t="n"/>
      <c r="G2384" s="94" t="n"/>
      <c r="H2384" s="94" t="n"/>
      <c r="I2384" s="94" t="n"/>
      <c r="J2384" s="55" t="n"/>
      <c r="K2384" s="95" t="n"/>
      <c r="L2384" s="116">
        <f>IF($A2384="","",DATE(YEAR($A2384),MONTH($A2384)+IF(AND(IFERROR(N(INDEX(Übersicht!$M$15:$M$22,MATCH($B2384,Übersicht!$A$15:$A$22,0))),0)&gt;1,DAY($A2384)&gt;=IFERROR(N(INDEX(Übersicht!$M$15:$M$22,MATCH($B2384,Übersicht!$A$15:$A$22,0))),0)),1,0),1))</f>
        <v/>
      </c>
    </row>
    <row r="2385">
      <c r="A2385" s="92" t="n"/>
      <c r="B2385" s="55" t="n"/>
      <c r="C2385" s="55" t="n"/>
      <c r="D2385" s="55" t="n"/>
      <c r="E2385" s="93" t="n"/>
      <c r="F2385" s="94" t="n"/>
      <c r="G2385" s="94" t="n"/>
      <c r="H2385" s="94" t="n"/>
      <c r="I2385" s="94" t="n"/>
      <c r="J2385" s="55" t="n"/>
      <c r="K2385" s="95" t="n"/>
      <c r="L2385" s="116">
        <f>IF($A2385="","",DATE(YEAR($A2385),MONTH($A2385)+IF(AND(IFERROR(N(INDEX(Übersicht!$M$15:$M$22,MATCH($B2385,Übersicht!$A$15:$A$22,0))),0)&gt;1,DAY($A2385)&gt;=IFERROR(N(INDEX(Übersicht!$M$15:$M$22,MATCH($B2385,Übersicht!$A$15:$A$22,0))),0)),1,0),1))</f>
        <v/>
      </c>
    </row>
    <row r="2386">
      <c r="A2386" s="92" t="n"/>
      <c r="B2386" s="55" t="n"/>
      <c r="C2386" s="55" t="n"/>
      <c r="D2386" s="55" t="n"/>
      <c r="E2386" s="93" t="n"/>
      <c r="F2386" s="94" t="n"/>
      <c r="G2386" s="94" t="n"/>
      <c r="H2386" s="94" t="n"/>
      <c r="I2386" s="94" t="n"/>
      <c r="J2386" s="55" t="n"/>
      <c r="K2386" s="95" t="n"/>
      <c r="L2386" s="116">
        <f>IF($A2386="","",DATE(YEAR($A2386),MONTH($A2386)+IF(AND(IFERROR(N(INDEX(Übersicht!$M$15:$M$22,MATCH($B2386,Übersicht!$A$15:$A$22,0))),0)&gt;1,DAY($A2386)&gt;=IFERROR(N(INDEX(Übersicht!$M$15:$M$22,MATCH($B2386,Übersicht!$A$15:$A$22,0))),0)),1,0),1))</f>
        <v/>
      </c>
    </row>
    <row r="2387">
      <c r="A2387" s="92" t="n"/>
      <c r="B2387" s="55" t="n"/>
      <c r="C2387" s="55" t="n"/>
      <c r="D2387" s="55" t="n"/>
      <c r="E2387" s="93" t="n"/>
      <c r="F2387" s="94" t="n"/>
      <c r="G2387" s="94" t="n"/>
      <c r="H2387" s="94" t="n"/>
      <c r="I2387" s="94" t="n"/>
      <c r="J2387" s="55" t="n"/>
      <c r="K2387" s="95" t="n"/>
      <c r="L2387" s="116">
        <f>IF($A2387="","",DATE(YEAR($A2387),MONTH($A2387)+IF(AND(IFERROR(N(INDEX(Übersicht!$M$15:$M$22,MATCH($B2387,Übersicht!$A$15:$A$22,0))),0)&gt;1,DAY($A2387)&gt;=IFERROR(N(INDEX(Übersicht!$M$15:$M$22,MATCH($B2387,Übersicht!$A$15:$A$22,0))),0)),1,0),1))</f>
        <v/>
      </c>
    </row>
    <row r="2388">
      <c r="A2388" s="92" t="n"/>
      <c r="B2388" s="55" t="n"/>
      <c r="C2388" s="55" t="n"/>
      <c r="D2388" s="55" t="n"/>
      <c r="E2388" s="93" t="n"/>
      <c r="F2388" s="94" t="n"/>
      <c r="G2388" s="94" t="n"/>
      <c r="H2388" s="94" t="n"/>
      <c r="I2388" s="94" t="n"/>
      <c r="J2388" s="55" t="n"/>
      <c r="K2388" s="95" t="n"/>
      <c r="L2388" s="116">
        <f>IF($A2388="","",DATE(YEAR($A2388),MONTH($A2388)+IF(AND(IFERROR(N(INDEX(Übersicht!$M$15:$M$22,MATCH($B2388,Übersicht!$A$15:$A$22,0))),0)&gt;1,DAY($A2388)&gt;=IFERROR(N(INDEX(Übersicht!$M$15:$M$22,MATCH($B2388,Übersicht!$A$15:$A$22,0))),0)),1,0),1))</f>
        <v/>
      </c>
    </row>
    <row r="2389">
      <c r="A2389" s="92" t="n"/>
      <c r="B2389" s="55" t="n"/>
      <c r="C2389" s="55" t="n"/>
      <c r="D2389" s="55" t="n"/>
      <c r="E2389" s="93" t="n"/>
      <c r="F2389" s="94" t="n"/>
      <c r="G2389" s="94" t="n"/>
      <c r="H2389" s="94" t="n"/>
      <c r="I2389" s="94" t="n"/>
      <c r="J2389" s="55" t="n"/>
      <c r="K2389" s="95" t="n"/>
      <c r="L2389" s="116">
        <f>IF($A2389="","",DATE(YEAR($A2389),MONTH($A2389)+IF(AND(IFERROR(N(INDEX(Übersicht!$M$15:$M$22,MATCH($B2389,Übersicht!$A$15:$A$22,0))),0)&gt;1,DAY($A2389)&gt;=IFERROR(N(INDEX(Übersicht!$M$15:$M$22,MATCH($B2389,Übersicht!$A$15:$A$22,0))),0)),1,0),1))</f>
        <v/>
      </c>
    </row>
    <row r="2390">
      <c r="A2390" s="92" t="n"/>
      <c r="B2390" s="55" t="n"/>
      <c r="C2390" s="55" t="n"/>
      <c r="D2390" s="55" t="n"/>
      <c r="E2390" s="93" t="n"/>
      <c r="F2390" s="94" t="n"/>
      <c r="G2390" s="94" t="n"/>
      <c r="H2390" s="94" t="n"/>
      <c r="I2390" s="94" t="n"/>
      <c r="J2390" s="55" t="n"/>
      <c r="K2390" s="95" t="n"/>
      <c r="L2390" s="116">
        <f>IF($A2390="","",DATE(YEAR($A2390),MONTH($A2390)+IF(AND(IFERROR(N(INDEX(Übersicht!$M$15:$M$22,MATCH($B2390,Übersicht!$A$15:$A$22,0))),0)&gt;1,DAY($A2390)&gt;=IFERROR(N(INDEX(Übersicht!$M$15:$M$22,MATCH($B2390,Übersicht!$A$15:$A$22,0))),0)),1,0),1))</f>
        <v/>
      </c>
    </row>
    <row r="2391">
      <c r="A2391" s="92" t="n"/>
      <c r="B2391" s="55" t="n"/>
      <c r="C2391" s="55" t="n"/>
      <c r="D2391" s="55" t="n"/>
      <c r="E2391" s="93" t="n"/>
      <c r="F2391" s="94" t="n"/>
      <c r="G2391" s="94" t="n"/>
      <c r="H2391" s="94" t="n"/>
      <c r="I2391" s="94" t="n"/>
      <c r="J2391" s="55" t="n"/>
      <c r="K2391" s="95" t="n"/>
      <c r="L2391" s="116">
        <f>IF($A2391="","",DATE(YEAR($A2391),MONTH($A2391)+IF(AND(IFERROR(N(INDEX(Übersicht!$M$15:$M$22,MATCH($B2391,Übersicht!$A$15:$A$22,0))),0)&gt;1,DAY($A2391)&gt;=IFERROR(N(INDEX(Übersicht!$M$15:$M$22,MATCH($B2391,Übersicht!$A$15:$A$22,0))),0)),1,0),1))</f>
        <v/>
      </c>
    </row>
    <row r="2392">
      <c r="A2392" s="92" t="n"/>
      <c r="B2392" s="55" t="n"/>
      <c r="C2392" s="55" t="n"/>
      <c r="D2392" s="55" t="n"/>
      <c r="E2392" s="93" t="n"/>
      <c r="F2392" s="94" t="n"/>
      <c r="G2392" s="94" t="n"/>
      <c r="H2392" s="94" t="n"/>
      <c r="I2392" s="94" t="n"/>
      <c r="J2392" s="55" t="n"/>
      <c r="K2392" s="95" t="n"/>
      <c r="L2392" s="116">
        <f>IF($A2392="","",DATE(YEAR($A2392),MONTH($A2392)+IF(AND(IFERROR(N(INDEX(Übersicht!$M$15:$M$22,MATCH($B2392,Übersicht!$A$15:$A$22,0))),0)&gt;1,DAY($A2392)&gt;=IFERROR(N(INDEX(Übersicht!$M$15:$M$22,MATCH($B2392,Übersicht!$A$15:$A$22,0))),0)),1,0),1))</f>
        <v/>
      </c>
    </row>
    <row r="2393">
      <c r="A2393" s="92" t="n"/>
      <c r="B2393" s="55" t="n"/>
      <c r="C2393" s="55" t="n"/>
      <c r="D2393" s="55" t="n"/>
      <c r="E2393" s="93" t="n"/>
      <c r="F2393" s="94" t="n"/>
      <c r="G2393" s="94" t="n"/>
      <c r="H2393" s="94" t="n"/>
      <c r="I2393" s="94" t="n"/>
      <c r="J2393" s="55" t="n"/>
      <c r="K2393" s="95" t="n"/>
      <c r="L2393" s="116">
        <f>IF($A2393="","",DATE(YEAR($A2393),MONTH($A2393)+IF(AND(IFERROR(N(INDEX(Übersicht!$M$15:$M$22,MATCH($B2393,Übersicht!$A$15:$A$22,0))),0)&gt;1,DAY($A2393)&gt;=IFERROR(N(INDEX(Übersicht!$M$15:$M$22,MATCH($B2393,Übersicht!$A$15:$A$22,0))),0)),1,0),1))</f>
        <v/>
      </c>
    </row>
    <row r="2394">
      <c r="A2394" s="92" t="n"/>
      <c r="B2394" s="55" t="n"/>
      <c r="C2394" s="55" t="n"/>
      <c r="D2394" s="55" t="n"/>
      <c r="E2394" s="93" t="n"/>
      <c r="F2394" s="94" t="n"/>
      <c r="G2394" s="94" t="n"/>
      <c r="H2394" s="94" t="n"/>
      <c r="I2394" s="94" t="n"/>
      <c r="J2394" s="55" t="n"/>
      <c r="K2394" s="95" t="n"/>
      <c r="L2394" s="116">
        <f>IF($A2394="","",DATE(YEAR($A2394),MONTH($A2394)+IF(AND(IFERROR(N(INDEX(Übersicht!$M$15:$M$22,MATCH($B2394,Übersicht!$A$15:$A$22,0))),0)&gt;1,DAY($A2394)&gt;=IFERROR(N(INDEX(Übersicht!$M$15:$M$22,MATCH($B2394,Übersicht!$A$15:$A$22,0))),0)),1,0),1))</f>
        <v/>
      </c>
    </row>
    <row r="2395">
      <c r="A2395" s="92" t="n"/>
      <c r="B2395" s="55" t="n"/>
      <c r="C2395" s="55" t="n"/>
      <c r="D2395" s="55" t="n"/>
      <c r="E2395" s="93" t="n"/>
      <c r="F2395" s="94" t="n"/>
      <c r="G2395" s="94" t="n"/>
      <c r="H2395" s="94" t="n"/>
      <c r="I2395" s="94" t="n"/>
      <c r="J2395" s="55" t="n"/>
      <c r="K2395" s="95" t="n"/>
      <c r="L2395" s="116">
        <f>IF($A2395="","",DATE(YEAR($A2395),MONTH($A2395)+IF(AND(IFERROR(N(INDEX(Übersicht!$M$15:$M$22,MATCH($B2395,Übersicht!$A$15:$A$22,0))),0)&gt;1,DAY($A2395)&gt;=IFERROR(N(INDEX(Übersicht!$M$15:$M$22,MATCH($B2395,Übersicht!$A$15:$A$22,0))),0)),1,0),1))</f>
        <v/>
      </c>
    </row>
    <row r="2396">
      <c r="A2396" s="92" t="n"/>
      <c r="B2396" s="55" t="n"/>
      <c r="C2396" s="55" t="n"/>
      <c r="D2396" s="55" t="n"/>
      <c r="E2396" s="93" t="n"/>
      <c r="F2396" s="94" t="n"/>
      <c r="G2396" s="94" t="n"/>
      <c r="H2396" s="94" t="n"/>
      <c r="I2396" s="94" t="n"/>
      <c r="J2396" s="55" t="n"/>
      <c r="K2396" s="95" t="n"/>
      <c r="L2396" s="116">
        <f>IF($A2396="","",DATE(YEAR($A2396),MONTH($A2396)+IF(AND(IFERROR(N(INDEX(Übersicht!$M$15:$M$22,MATCH($B2396,Übersicht!$A$15:$A$22,0))),0)&gt;1,DAY($A2396)&gt;=IFERROR(N(INDEX(Übersicht!$M$15:$M$22,MATCH($B2396,Übersicht!$A$15:$A$22,0))),0)),1,0),1))</f>
        <v/>
      </c>
    </row>
    <row r="2397">
      <c r="A2397" s="92" t="n"/>
      <c r="B2397" s="55" t="n"/>
      <c r="C2397" s="55" t="n"/>
      <c r="D2397" s="55" t="n"/>
      <c r="E2397" s="93" t="n"/>
      <c r="F2397" s="94" t="n"/>
      <c r="G2397" s="94" t="n"/>
      <c r="H2397" s="94" t="n"/>
      <c r="I2397" s="94" t="n"/>
      <c r="J2397" s="55" t="n"/>
      <c r="K2397" s="95" t="n"/>
      <c r="L2397" s="116">
        <f>IF($A2397="","",DATE(YEAR($A2397),MONTH($A2397)+IF(AND(IFERROR(N(INDEX(Übersicht!$M$15:$M$22,MATCH($B2397,Übersicht!$A$15:$A$22,0))),0)&gt;1,DAY($A2397)&gt;=IFERROR(N(INDEX(Übersicht!$M$15:$M$22,MATCH($B2397,Übersicht!$A$15:$A$22,0))),0)),1,0),1))</f>
        <v/>
      </c>
    </row>
    <row r="2398">
      <c r="A2398" s="92" t="n"/>
      <c r="B2398" s="55" t="n"/>
      <c r="C2398" s="55" t="n"/>
      <c r="D2398" s="55" t="n"/>
      <c r="E2398" s="93" t="n"/>
      <c r="F2398" s="94" t="n"/>
      <c r="G2398" s="94" t="n"/>
      <c r="H2398" s="94" t="n"/>
      <c r="I2398" s="94" t="n"/>
      <c r="J2398" s="55" t="n"/>
      <c r="K2398" s="95" t="n"/>
      <c r="L2398" s="116">
        <f>IF($A2398="","",DATE(YEAR($A2398),MONTH($A2398)+IF(AND(IFERROR(N(INDEX(Übersicht!$M$15:$M$22,MATCH($B2398,Übersicht!$A$15:$A$22,0))),0)&gt;1,DAY($A2398)&gt;=IFERROR(N(INDEX(Übersicht!$M$15:$M$22,MATCH($B2398,Übersicht!$A$15:$A$22,0))),0)),1,0),1))</f>
        <v/>
      </c>
    </row>
    <row r="2399">
      <c r="A2399" s="92" t="n"/>
      <c r="B2399" s="55" t="n"/>
      <c r="C2399" s="55" t="n"/>
      <c r="D2399" s="55" t="n"/>
      <c r="E2399" s="93" t="n"/>
      <c r="F2399" s="94" t="n"/>
      <c r="G2399" s="94" t="n"/>
      <c r="H2399" s="94" t="n"/>
      <c r="I2399" s="94" t="n"/>
      <c r="J2399" s="55" t="n"/>
      <c r="K2399" s="95" t="n"/>
      <c r="L2399" s="116">
        <f>IF($A2399="","",DATE(YEAR($A2399),MONTH($A2399)+IF(AND(IFERROR(N(INDEX(Übersicht!$M$15:$M$22,MATCH($B2399,Übersicht!$A$15:$A$22,0))),0)&gt;1,DAY($A2399)&gt;=IFERROR(N(INDEX(Übersicht!$M$15:$M$22,MATCH($B2399,Übersicht!$A$15:$A$22,0))),0)),1,0),1))</f>
        <v/>
      </c>
    </row>
    <row r="2400">
      <c r="A2400" s="92" t="n"/>
      <c r="B2400" s="55" t="n"/>
      <c r="C2400" s="55" t="n"/>
      <c r="D2400" s="55" t="n"/>
      <c r="E2400" s="93" t="n"/>
      <c r="F2400" s="94" t="n"/>
      <c r="G2400" s="94" t="n"/>
      <c r="H2400" s="94" t="n"/>
      <c r="I2400" s="94" t="n"/>
      <c r="J2400" s="55" t="n"/>
      <c r="K2400" s="95" t="n"/>
      <c r="L2400" s="116">
        <f>IF($A2400="","",DATE(YEAR($A2400),MONTH($A2400)+IF(AND(IFERROR(N(INDEX(Übersicht!$M$15:$M$22,MATCH($B2400,Übersicht!$A$15:$A$22,0))),0)&gt;1,DAY($A2400)&gt;=IFERROR(N(INDEX(Übersicht!$M$15:$M$22,MATCH($B2400,Übersicht!$A$15:$A$22,0))),0)),1,0),1))</f>
        <v/>
      </c>
    </row>
    <row r="2401">
      <c r="A2401" s="92" t="n"/>
      <c r="B2401" s="55" t="n"/>
      <c r="C2401" s="55" t="n"/>
      <c r="D2401" s="55" t="n"/>
      <c r="E2401" s="93" t="n"/>
      <c r="F2401" s="94" t="n"/>
      <c r="G2401" s="94" t="n"/>
      <c r="H2401" s="94" t="n"/>
      <c r="I2401" s="94" t="n"/>
      <c r="J2401" s="55" t="n"/>
      <c r="K2401" s="95" t="n"/>
      <c r="L2401" s="116">
        <f>IF($A2401="","",DATE(YEAR($A2401),MONTH($A2401)+IF(AND(IFERROR(N(INDEX(Übersicht!$M$15:$M$22,MATCH($B2401,Übersicht!$A$15:$A$22,0))),0)&gt;1,DAY($A2401)&gt;=IFERROR(N(INDEX(Übersicht!$M$15:$M$22,MATCH($B2401,Übersicht!$A$15:$A$22,0))),0)),1,0),1))</f>
        <v/>
      </c>
    </row>
    <row r="2402">
      <c r="A2402" s="92" t="n"/>
      <c r="B2402" s="55" t="n"/>
      <c r="C2402" s="55" t="n"/>
      <c r="D2402" s="55" t="n"/>
      <c r="E2402" s="93" t="n"/>
      <c r="F2402" s="94" t="n"/>
      <c r="G2402" s="94" t="n"/>
      <c r="H2402" s="94" t="n"/>
      <c r="I2402" s="94" t="n"/>
      <c r="J2402" s="55" t="n"/>
      <c r="K2402" s="95" t="n"/>
      <c r="L2402" s="116">
        <f>IF($A2402="","",DATE(YEAR($A2402),MONTH($A2402)+IF(AND(IFERROR(N(INDEX(Übersicht!$M$15:$M$22,MATCH($B2402,Übersicht!$A$15:$A$22,0))),0)&gt;1,DAY($A2402)&gt;=IFERROR(N(INDEX(Übersicht!$M$15:$M$22,MATCH($B2402,Übersicht!$A$15:$A$22,0))),0)),1,0),1))</f>
        <v/>
      </c>
    </row>
    <row r="2403">
      <c r="A2403" s="92" t="n"/>
      <c r="B2403" s="55" t="n"/>
      <c r="C2403" s="55" t="n"/>
      <c r="D2403" s="55" t="n"/>
      <c r="E2403" s="93" t="n"/>
      <c r="F2403" s="94" t="n"/>
      <c r="G2403" s="94" t="n"/>
      <c r="H2403" s="94" t="n"/>
      <c r="I2403" s="94" t="n"/>
      <c r="J2403" s="55" t="n"/>
      <c r="K2403" s="95" t="n"/>
      <c r="L2403" s="116">
        <f>IF($A2403="","",DATE(YEAR($A2403),MONTH($A2403)+IF(AND(IFERROR(N(INDEX(Übersicht!$M$15:$M$22,MATCH($B2403,Übersicht!$A$15:$A$22,0))),0)&gt;1,DAY($A2403)&gt;=IFERROR(N(INDEX(Übersicht!$M$15:$M$22,MATCH($B2403,Übersicht!$A$15:$A$22,0))),0)),1,0),1))</f>
        <v/>
      </c>
    </row>
    <row r="2404">
      <c r="A2404" s="92" t="n"/>
      <c r="B2404" s="55" t="n"/>
      <c r="C2404" s="55" t="n"/>
      <c r="D2404" s="55" t="n"/>
      <c r="E2404" s="93" t="n"/>
      <c r="F2404" s="94" t="n"/>
      <c r="G2404" s="94" t="n"/>
      <c r="H2404" s="94" t="n"/>
      <c r="I2404" s="94" t="n"/>
      <c r="J2404" s="55" t="n"/>
      <c r="K2404" s="95" t="n"/>
      <c r="L2404" s="116">
        <f>IF($A2404="","",DATE(YEAR($A2404),MONTH($A2404)+IF(AND(IFERROR(N(INDEX(Übersicht!$M$15:$M$22,MATCH($B2404,Übersicht!$A$15:$A$22,0))),0)&gt;1,DAY($A2404)&gt;=IFERROR(N(INDEX(Übersicht!$M$15:$M$22,MATCH($B2404,Übersicht!$A$15:$A$22,0))),0)),1,0),1))</f>
        <v/>
      </c>
    </row>
    <row r="2405">
      <c r="A2405" s="92" t="n"/>
      <c r="B2405" s="55" t="n"/>
      <c r="C2405" s="55" t="n"/>
      <c r="D2405" s="55" t="n"/>
      <c r="E2405" s="93" t="n"/>
      <c r="F2405" s="94" t="n"/>
      <c r="G2405" s="94" t="n"/>
      <c r="H2405" s="94" t="n"/>
      <c r="I2405" s="94" t="n"/>
      <c r="J2405" s="55" t="n"/>
      <c r="K2405" s="95" t="n"/>
      <c r="L2405" s="116">
        <f>IF($A2405="","",DATE(YEAR($A2405),MONTH($A2405)+IF(AND(IFERROR(N(INDEX(Übersicht!$M$15:$M$22,MATCH($B2405,Übersicht!$A$15:$A$22,0))),0)&gt;1,DAY($A2405)&gt;=IFERROR(N(INDEX(Übersicht!$M$15:$M$22,MATCH($B2405,Übersicht!$A$15:$A$22,0))),0)),1,0),1))</f>
        <v/>
      </c>
    </row>
    <row r="2406">
      <c r="A2406" s="92" t="n"/>
      <c r="B2406" s="55" t="n"/>
      <c r="C2406" s="55" t="n"/>
      <c r="D2406" s="55" t="n"/>
      <c r="E2406" s="93" t="n"/>
      <c r="F2406" s="94" t="n"/>
      <c r="G2406" s="94" t="n"/>
      <c r="H2406" s="94" t="n"/>
      <c r="I2406" s="94" t="n"/>
      <c r="J2406" s="55" t="n"/>
      <c r="K2406" s="95" t="n"/>
      <c r="L2406" s="116">
        <f>IF($A2406="","",DATE(YEAR($A2406),MONTH($A2406)+IF(AND(IFERROR(N(INDEX(Übersicht!$M$15:$M$22,MATCH($B2406,Übersicht!$A$15:$A$22,0))),0)&gt;1,DAY($A2406)&gt;=IFERROR(N(INDEX(Übersicht!$M$15:$M$22,MATCH($B2406,Übersicht!$A$15:$A$22,0))),0)),1,0),1))</f>
        <v/>
      </c>
    </row>
    <row r="2407">
      <c r="A2407" s="92" t="n"/>
      <c r="B2407" s="55" t="n"/>
      <c r="C2407" s="55" t="n"/>
      <c r="D2407" s="55" t="n"/>
      <c r="E2407" s="93" t="n"/>
      <c r="F2407" s="94" t="n"/>
      <c r="G2407" s="94" t="n"/>
      <c r="H2407" s="94" t="n"/>
      <c r="I2407" s="94" t="n"/>
      <c r="J2407" s="55" t="n"/>
      <c r="K2407" s="95" t="n"/>
      <c r="L2407" s="116">
        <f>IF($A2407="","",DATE(YEAR($A2407),MONTH($A2407)+IF(AND(IFERROR(N(INDEX(Übersicht!$M$15:$M$22,MATCH($B2407,Übersicht!$A$15:$A$22,0))),0)&gt;1,DAY($A2407)&gt;=IFERROR(N(INDEX(Übersicht!$M$15:$M$22,MATCH($B2407,Übersicht!$A$15:$A$22,0))),0)),1,0),1))</f>
        <v/>
      </c>
    </row>
    <row r="2408">
      <c r="A2408" s="92" t="n"/>
      <c r="B2408" s="55" t="n"/>
      <c r="C2408" s="55" t="n"/>
      <c r="D2408" s="55" t="n"/>
      <c r="E2408" s="93" t="n"/>
      <c r="F2408" s="94" t="n"/>
      <c r="G2408" s="94" t="n"/>
      <c r="H2408" s="94" t="n"/>
      <c r="I2408" s="94" t="n"/>
      <c r="J2408" s="55" t="n"/>
      <c r="K2408" s="95" t="n"/>
      <c r="L2408" s="116">
        <f>IF($A2408="","",DATE(YEAR($A2408),MONTH($A2408)+IF(AND(IFERROR(N(INDEX(Übersicht!$M$15:$M$22,MATCH($B2408,Übersicht!$A$15:$A$22,0))),0)&gt;1,DAY($A2408)&gt;=IFERROR(N(INDEX(Übersicht!$M$15:$M$22,MATCH($B2408,Übersicht!$A$15:$A$22,0))),0)),1,0),1))</f>
        <v/>
      </c>
    </row>
    <row r="2409">
      <c r="A2409" s="92" t="n"/>
      <c r="B2409" s="55" t="n"/>
      <c r="C2409" s="55" t="n"/>
      <c r="D2409" s="55" t="n"/>
      <c r="E2409" s="93" t="n"/>
      <c r="F2409" s="94" t="n"/>
      <c r="G2409" s="94" t="n"/>
      <c r="H2409" s="94" t="n"/>
      <c r="I2409" s="94" t="n"/>
      <c r="J2409" s="55" t="n"/>
      <c r="K2409" s="95" t="n"/>
      <c r="L2409" s="116">
        <f>IF($A2409="","",DATE(YEAR($A2409),MONTH($A2409)+IF(AND(IFERROR(N(INDEX(Übersicht!$M$15:$M$22,MATCH($B2409,Übersicht!$A$15:$A$22,0))),0)&gt;1,DAY($A2409)&gt;=IFERROR(N(INDEX(Übersicht!$M$15:$M$22,MATCH($B2409,Übersicht!$A$15:$A$22,0))),0)),1,0),1))</f>
        <v/>
      </c>
    </row>
    <row r="2410">
      <c r="A2410" s="92" t="n"/>
      <c r="B2410" s="55" t="n"/>
      <c r="C2410" s="55" t="n"/>
      <c r="D2410" s="55" t="n"/>
      <c r="E2410" s="93" t="n"/>
      <c r="F2410" s="94" t="n"/>
      <c r="G2410" s="94" t="n"/>
      <c r="H2410" s="94" t="n"/>
      <c r="I2410" s="94" t="n"/>
      <c r="J2410" s="55" t="n"/>
      <c r="K2410" s="95" t="n"/>
      <c r="L2410" s="116">
        <f>IF($A2410="","",DATE(YEAR($A2410),MONTH($A2410)+IF(AND(IFERROR(N(INDEX(Übersicht!$M$15:$M$22,MATCH($B2410,Übersicht!$A$15:$A$22,0))),0)&gt;1,DAY($A2410)&gt;=IFERROR(N(INDEX(Übersicht!$M$15:$M$22,MATCH($B2410,Übersicht!$A$15:$A$22,0))),0)),1,0),1))</f>
        <v/>
      </c>
    </row>
    <row r="2411">
      <c r="A2411" s="92" t="n"/>
      <c r="B2411" s="55" t="n"/>
      <c r="C2411" s="55" t="n"/>
      <c r="D2411" s="55" t="n"/>
      <c r="E2411" s="93" t="n"/>
      <c r="F2411" s="94" t="n"/>
      <c r="G2411" s="94" t="n"/>
      <c r="H2411" s="94" t="n"/>
      <c r="I2411" s="94" t="n"/>
      <c r="J2411" s="55" t="n"/>
      <c r="K2411" s="95" t="n"/>
      <c r="L2411" s="116">
        <f>IF($A2411="","",DATE(YEAR($A2411),MONTH($A2411)+IF(AND(IFERROR(N(INDEX(Übersicht!$M$15:$M$22,MATCH($B2411,Übersicht!$A$15:$A$22,0))),0)&gt;1,DAY($A2411)&gt;=IFERROR(N(INDEX(Übersicht!$M$15:$M$22,MATCH($B2411,Übersicht!$A$15:$A$22,0))),0)),1,0),1))</f>
        <v/>
      </c>
    </row>
    <row r="2412">
      <c r="A2412" s="92" t="n"/>
      <c r="B2412" s="55" t="n"/>
      <c r="C2412" s="55" t="n"/>
      <c r="D2412" s="55" t="n"/>
      <c r="E2412" s="93" t="n"/>
      <c r="F2412" s="94" t="n"/>
      <c r="G2412" s="94" t="n"/>
      <c r="H2412" s="94" t="n"/>
      <c r="I2412" s="94" t="n"/>
      <c r="J2412" s="55" t="n"/>
      <c r="K2412" s="95" t="n"/>
      <c r="L2412" s="116">
        <f>IF($A2412="","",DATE(YEAR($A2412),MONTH($A2412)+IF(AND(IFERROR(N(INDEX(Übersicht!$M$15:$M$22,MATCH($B2412,Übersicht!$A$15:$A$22,0))),0)&gt;1,DAY($A2412)&gt;=IFERROR(N(INDEX(Übersicht!$M$15:$M$22,MATCH($B2412,Übersicht!$A$15:$A$22,0))),0)),1,0),1))</f>
        <v/>
      </c>
    </row>
    <row r="2413">
      <c r="A2413" s="92" t="n"/>
      <c r="B2413" s="55" t="n"/>
      <c r="C2413" s="55" t="n"/>
      <c r="D2413" s="55" t="n"/>
      <c r="E2413" s="93" t="n"/>
      <c r="F2413" s="94" t="n"/>
      <c r="G2413" s="94" t="n"/>
      <c r="H2413" s="94" t="n"/>
      <c r="I2413" s="94" t="n"/>
      <c r="J2413" s="55" t="n"/>
      <c r="K2413" s="95" t="n"/>
      <c r="L2413" s="116">
        <f>IF($A2413="","",DATE(YEAR($A2413),MONTH($A2413)+IF(AND(IFERROR(N(INDEX(Übersicht!$M$15:$M$22,MATCH($B2413,Übersicht!$A$15:$A$22,0))),0)&gt;1,DAY($A2413)&gt;=IFERROR(N(INDEX(Übersicht!$M$15:$M$22,MATCH($B2413,Übersicht!$A$15:$A$22,0))),0)),1,0),1))</f>
        <v/>
      </c>
    </row>
    <row r="2414">
      <c r="A2414" s="92" t="n"/>
      <c r="B2414" s="55" t="n"/>
      <c r="C2414" s="55" t="n"/>
      <c r="D2414" s="55" t="n"/>
      <c r="E2414" s="93" t="n"/>
      <c r="F2414" s="94" t="n"/>
      <c r="G2414" s="94" t="n"/>
      <c r="H2414" s="94" t="n"/>
      <c r="I2414" s="94" t="n"/>
      <c r="J2414" s="55" t="n"/>
      <c r="K2414" s="95" t="n"/>
      <c r="L2414" s="116">
        <f>IF($A2414="","",DATE(YEAR($A2414),MONTH($A2414)+IF(AND(IFERROR(N(INDEX(Übersicht!$M$15:$M$22,MATCH($B2414,Übersicht!$A$15:$A$22,0))),0)&gt;1,DAY($A2414)&gt;=IFERROR(N(INDEX(Übersicht!$M$15:$M$22,MATCH($B2414,Übersicht!$A$15:$A$22,0))),0)),1,0),1))</f>
        <v/>
      </c>
    </row>
    <row r="2415">
      <c r="A2415" s="92" t="n"/>
      <c r="B2415" s="55" t="n"/>
      <c r="C2415" s="55" t="n"/>
      <c r="D2415" s="55" t="n"/>
      <c r="E2415" s="93" t="n"/>
      <c r="F2415" s="94" t="n"/>
      <c r="G2415" s="94" t="n"/>
      <c r="H2415" s="94" t="n"/>
      <c r="I2415" s="94" t="n"/>
      <c r="J2415" s="55" t="n"/>
      <c r="K2415" s="95" t="n"/>
      <c r="L2415" s="116">
        <f>IF($A2415="","",DATE(YEAR($A2415),MONTH($A2415)+IF(AND(IFERROR(N(INDEX(Übersicht!$M$15:$M$22,MATCH($B2415,Übersicht!$A$15:$A$22,0))),0)&gt;1,DAY($A2415)&gt;=IFERROR(N(INDEX(Übersicht!$M$15:$M$22,MATCH($B2415,Übersicht!$A$15:$A$22,0))),0)),1,0),1))</f>
        <v/>
      </c>
    </row>
    <row r="2416">
      <c r="A2416" s="92" t="n"/>
      <c r="B2416" s="55" t="n"/>
      <c r="C2416" s="55" t="n"/>
      <c r="D2416" s="55" t="n"/>
      <c r="E2416" s="93" t="n"/>
      <c r="F2416" s="94" t="n"/>
      <c r="G2416" s="94" t="n"/>
      <c r="H2416" s="94" t="n"/>
      <c r="I2416" s="94" t="n"/>
      <c r="J2416" s="55" t="n"/>
      <c r="K2416" s="95" t="n"/>
      <c r="L2416" s="116">
        <f>IF($A2416="","",DATE(YEAR($A2416),MONTH($A2416)+IF(AND(IFERROR(N(INDEX(Übersicht!$M$15:$M$22,MATCH($B2416,Übersicht!$A$15:$A$22,0))),0)&gt;1,DAY($A2416)&gt;=IFERROR(N(INDEX(Übersicht!$M$15:$M$22,MATCH($B2416,Übersicht!$A$15:$A$22,0))),0)),1,0),1))</f>
        <v/>
      </c>
    </row>
    <row r="2417">
      <c r="A2417" s="92" t="n"/>
      <c r="B2417" s="55" t="n"/>
      <c r="C2417" s="55" t="n"/>
      <c r="D2417" s="55" t="n"/>
      <c r="E2417" s="93" t="n"/>
      <c r="F2417" s="94" t="n"/>
      <c r="G2417" s="94" t="n"/>
      <c r="H2417" s="94" t="n"/>
      <c r="I2417" s="94" t="n"/>
      <c r="J2417" s="55" t="n"/>
      <c r="K2417" s="95" t="n"/>
      <c r="L2417" s="116">
        <f>IF($A2417="","",DATE(YEAR($A2417),MONTH($A2417)+IF(AND(IFERROR(N(INDEX(Übersicht!$M$15:$M$22,MATCH($B2417,Übersicht!$A$15:$A$22,0))),0)&gt;1,DAY($A2417)&gt;=IFERROR(N(INDEX(Übersicht!$M$15:$M$22,MATCH($B2417,Übersicht!$A$15:$A$22,0))),0)),1,0),1))</f>
        <v/>
      </c>
    </row>
    <row r="2418">
      <c r="A2418" s="92" t="n"/>
      <c r="B2418" s="55" t="n"/>
      <c r="C2418" s="55" t="n"/>
      <c r="D2418" s="55" t="n"/>
      <c r="E2418" s="93" t="n"/>
      <c r="F2418" s="94" t="n"/>
      <c r="G2418" s="94" t="n"/>
      <c r="H2418" s="94" t="n"/>
      <c r="I2418" s="94" t="n"/>
      <c r="J2418" s="55" t="n"/>
      <c r="K2418" s="95" t="n"/>
      <c r="L2418" s="116">
        <f>IF($A2418="","",DATE(YEAR($A2418),MONTH($A2418)+IF(AND(IFERROR(N(INDEX(Übersicht!$M$15:$M$22,MATCH($B2418,Übersicht!$A$15:$A$22,0))),0)&gt;1,DAY($A2418)&gt;=IFERROR(N(INDEX(Übersicht!$M$15:$M$22,MATCH($B2418,Übersicht!$A$15:$A$22,0))),0)),1,0),1))</f>
        <v/>
      </c>
    </row>
    <row r="2419">
      <c r="A2419" s="92" t="n"/>
      <c r="B2419" s="55" t="n"/>
      <c r="C2419" s="55" t="n"/>
      <c r="D2419" s="55" t="n"/>
      <c r="E2419" s="93" t="n"/>
      <c r="F2419" s="94" t="n"/>
      <c r="G2419" s="94" t="n"/>
      <c r="H2419" s="94" t="n"/>
      <c r="I2419" s="94" t="n"/>
      <c r="J2419" s="55" t="n"/>
      <c r="K2419" s="95" t="n"/>
      <c r="L2419" s="116">
        <f>IF($A2419="","",DATE(YEAR($A2419),MONTH($A2419)+IF(AND(IFERROR(N(INDEX(Übersicht!$M$15:$M$22,MATCH($B2419,Übersicht!$A$15:$A$22,0))),0)&gt;1,DAY($A2419)&gt;=IFERROR(N(INDEX(Übersicht!$M$15:$M$22,MATCH($B2419,Übersicht!$A$15:$A$22,0))),0)),1,0),1))</f>
        <v/>
      </c>
    </row>
    <row r="2420">
      <c r="A2420" s="92" t="n"/>
      <c r="B2420" s="55" t="n"/>
      <c r="C2420" s="55" t="n"/>
      <c r="D2420" s="55" t="n"/>
      <c r="E2420" s="93" t="n"/>
      <c r="F2420" s="94" t="n"/>
      <c r="G2420" s="94" t="n"/>
      <c r="H2420" s="94" t="n"/>
      <c r="I2420" s="94" t="n"/>
      <c r="J2420" s="55" t="n"/>
      <c r="K2420" s="95" t="n"/>
      <c r="L2420" s="116">
        <f>IF($A2420="","",DATE(YEAR($A2420),MONTH($A2420)+IF(AND(IFERROR(N(INDEX(Übersicht!$M$15:$M$22,MATCH($B2420,Übersicht!$A$15:$A$22,0))),0)&gt;1,DAY($A2420)&gt;=IFERROR(N(INDEX(Übersicht!$M$15:$M$22,MATCH($B2420,Übersicht!$A$15:$A$22,0))),0)),1,0),1))</f>
        <v/>
      </c>
    </row>
    <row r="2421">
      <c r="A2421" s="92" t="n"/>
      <c r="B2421" s="55" t="n"/>
      <c r="C2421" s="55" t="n"/>
      <c r="D2421" s="55" t="n"/>
      <c r="E2421" s="93" t="n"/>
      <c r="F2421" s="94" t="n"/>
      <c r="G2421" s="94" t="n"/>
      <c r="H2421" s="94" t="n"/>
      <c r="I2421" s="94" t="n"/>
      <c r="J2421" s="55" t="n"/>
      <c r="K2421" s="95" t="n"/>
      <c r="L2421" s="116">
        <f>IF($A2421="","",DATE(YEAR($A2421),MONTH($A2421)+IF(AND(IFERROR(N(INDEX(Übersicht!$M$15:$M$22,MATCH($B2421,Übersicht!$A$15:$A$22,0))),0)&gt;1,DAY($A2421)&gt;=IFERROR(N(INDEX(Übersicht!$M$15:$M$22,MATCH($B2421,Übersicht!$A$15:$A$22,0))),0)),1,0),1))</f>
        <v/>
      </c>
    </row>
    <row r="2422">
      <c r="A2422" s="92" t="n"/>
      <c r="B2422" s="55" t="n"/>
      <c r="C2422" s="55" t="n"/>
      <c r="D2422" s="55" t="n"/>
      <c r="E2422" s="93" t="n"/>
      <c r="F2422" s="94" t="n"/>
      <c r="G2422" s="94" t="n"/>
      <c r="H2422" s="94" t="n"/>
      <c r="I2422" s="94" t="n"/>
      <c r="J2422" s="55" t="n"/>
      <c r="K2422" s="95" t="n"/>
      <c r="L2422" s="116">
        <f>IF($A2422="","",DATE(YEAR($A2422),MONTH($A2422)+IF(AND(IFERROR(N(INDEX(Übersicht!$M$15:$M$22,MATCH($B2422,Übersicht!$A$15:$A$22,0))),0)&gt;1,DAY($A2422)&gt;=IFERROR(N(INDEX(Übersicht!$M$15:$M$22,MATCH($B2422,Übersicht!$A$15:$A$22,0))),0)),1,0),1))</f>
        <v/>
      </c>
    </row>
    <row r="2423">
      <c r="A2423" s="92" t="n"/>
      <c r="B2423" s="55" t="n"/>
      <c r="C2423" s="55" t="n"/>
      <c r="D2423" s="55" t="n"/>
      <c r="E2423" s="93" t="n"/>
      <c r="F2423" s="94" t="n"/>
      <c r="G2423" s="94" t="n"/>
      <c r="H2423" s="94" t="n"/>
      <c r="I2423" s="94" t="n"/>
      <c r="J2423" s="55" t="n"/>
      <c r="K2423" s="95" t="n"/>
      <c r="L2423" s="116">
        <f>IF($A2423="","",DATE(YEAR($A2423),MONTH($A2423)+IF(AND(IFERROR(N(INDEX(Übersicht!$M$15:$M$22,MATCH($B2423,Übersicht!$A$15:$A$22,0))),0)&gt;1,DAY($A2423)&gt;=IFERROR(N(INDEX(Übersicht!$M$15:$M$22,MATCH($B2423,Übersicht!$A$15:$A$22,0))),0)),1,0),1))</f>
        <v/>
      </c>
    </row>
    <row r="2424">
      <c r="A2424" s="92" t="n"/>
      <c r="B2424" s="55" t="n"/>
      <c r="C2424" s="55" t="n"/>
      <c r="D2424" s="55" t="n"/>
      <c r="E2424" s="93" t="n"/>
      <c r="F2424" s="94" t="n"/>
      <c r="G2424" s="94" t="n"/>
      <c r="H2424" s="94" t="n"/>
      <c r="I2424" s="94" t="n"/>
      <c r="J2424" s="55" t="n"/>
      <c r="K2424" s="95" t="n"/>
      <c r="L2424" s="116">
        <f>IF($A2424="","",DATE(YEAR($A2424),MONTH($A2424)+IF(AND(IFERROR(N(INDEX(Übersicht!$M$15:$M$22,MATCH($B2424,Übersicht!$A$15:$A$22,0))),0)&gt;1,DAY($A2424)&gt;=IFERROR(N(INDEX(Übersicht!$M$15:$M$22,MATCH($B2424,Übersicht!$A$15:$A$22,0))),0)),1,0),1))</f>
        <v/>
      </c>
    </row>
    <row r="2425">
      <c r="A2425" s="92" t="n"/>
      <c r="B2425" s="55" t="n"/>
      <c r="C2425" s="55" t="n"/>
      <c r="D2425" s="55" t="n"/>
      <c r="E2425" s="93" t="n"/>
      <c r="F2425" s="94" t="n"/>
      <c r="G2425" s="94" t="n"/>
      <c r="H2425" s="94" t="n"/>
      <c r="I2425" s="94" t="n"/>
      <c r="J2425" s="55" t="n"/>
      <c r="K2425" s="95" t="n"/>
      <c r="L2425" s="116">
        <f>IF($A2425="","",DATE(YEAR($A2425),MONTH($A2425)+IF(AND(IFERROR(N(INDEX(Übersicht!$M$15:$M$22,MATCH($B2425,Übersicht!$A$15:$A$22,0))),0)&gt;1,DAY($A2425)&gt;=IFERROR(N(INDEX(Übersicht!$M$15:$M$22,MATCH($B2425,Übersicht!$A$15:$A$22,0))),0)),1,0),1))</f>
        <v/>
      </c>
    </row>
    <row r="2426">
      <c r="A2426" s="92" t="n"/>
      <c r="B2426" s="55" t="n"/>
      <c r="C2426" s="55" t="n"/>
      <c r="D2426" s="55" t="n"/>
      <c r="E2426" s="93" t="n"/>
      <c r="F2426" s="94" t="n"/>
      <c r="G2426" s="94" t="n"/>
      <c r="H2426" s="94" t="n"/>
      <c r="I2426" s="94" t="n"/>
      <c r="J2426" s="55" t="n"/>
      <c r="K2426" s="95" t="n"/>
      <c r="L2426" s="116">
        <f>IF($A2426="","",DATE(YEAR($A2426),MONTH($A2426)+IF(AND(IFERROR(N(INDEX(Übersicht!$M$15:$M$22,MATCH($B2426,Übersicht!$A$15:$A$22,0))),0)&gt;1,DAY($A2426)&gt;=IFERROR(N(INDEX(Übersicht!$M$15:$M$22,MATCH($B2426,Übersicht!$A$15:$A$22,0))),0)),1,0),1))</f>
        <v/>
      </c>
    </row>
    <row r="2427">
      <c r="A2427" s="92" t="n"/>
      <c r="B2427" s="55" t="n"/>
      <c r="C2427" s="55" t="n"/>
      <c r="D2427" s="55" t="n"/>
      <c r="E2427" s="93" t="n"/>
      <c r="F2427" s="94" t="n"/>
      <c r="G2427" s="94" t="n"/>
      <c r="H2427" s="94" t="n"/>
      <c r="I2427" s="94" t="n"/>
      <c r="J2427" s="55" t="n"/>
      <c r="K2427" s="95" t="n"/>
      <c r="L2427" s="116">
        <f>IF($A2427="","",DATE(YEAR($A2427),MONTH($A2427)+IF(AND(IFERROR(N(INDEX(Übersicht!$M$15:$M$22,MATCH($B2427,Übersicht!$A$15:$A$22,0))),0)&gt;1,DAY($A2427)&gt;=IFERROR(N(INDEX(Übersicht!$M$15:$M$22,MATCH($B2427,Übersicht!$A$15:$A$22,0))),0)),1,0),1))</f>
        <v/>
      </c>
    </row>
    <row r="2428">
      <c r="A2428" s="92" t="n"/>
      <c r="B2428" s="55" t="n"/>
      <c r="C2428" s="55" t="n"/>
      <c r="D2428" s="55" t="n"/>
      <c r="E2428" s="93" t="n"/>
      <c r="F2428" s="94" t="n"/>
      <c r="G2428" s="94" t="n"/>
      <c r="H2428" s="94" t="n"/>
      <c r="I2428" s="94" t="n"/>
      <c r="J2428" s="55" t="n"/>
      <c r="K2428" s="95" t="n"/>
      <c r="L2428" s="116">
        <f>IF($A2428="","",DATE(YEAR($A2428),MONTH($A2428)+IF(AND(IFERROR(N(INDEX(Übersicht!$M$15:$M$22,MATCH($B2428,Übersicht!$A$15:$A$22,0))),0)&gt;1,DAY($A2428)&gt;=IFERROR(N(INDEX(Übersicht!$M$15:$M$22,MATCH($B2428,Übersicht!$A$15:$A$22,0))),0)),1,0),1))</f>
        <v/>
      </c>
    </row>
    <row r="2429">
      <c r="A2429" s="92" t="n"/>
      <c r="B2429" s="55" t="n"/>
      <c r="C2429" s="55" t="n"/>
      <c r="D2429" s="55" t="n"/>
      <c r="E2429" s="93" t="n"/>
      <c r="F2429" s="94" t="n"/>
      <c r="G2429" s="94" t="n"/>
      <c r="H2429" s="94" t="n"/>
      <c r="I2429" s="94" t="n"/>
      <c r="J2429" s="55" t="n"/>
      <c r="K2429" s="95" t="n"/>
      <c r="L2429" s="116">
        <f>IF($A2429="","",DATE(YEAR($A2429),MONTH($A2429)+IF(AND(IFERROR(N(INDEX(Übersicht!$M$15:$M$22,MATCH($B2429,Übersicht!$A$15:$A$22,0))),0)&gt;1,DAY($A2429)&gt;=IFERROR(N(INDEX(Übersicht!$M$15:$M$22,MATCH($B2429,Übersicht!$A$15:$A$22,0))),0)),1,0),1))</f>
        <v/>
      </c>
    </row>
    <row r="2430">
      <c r="A2430" s="92" t="n"/>
      <c r="B2430" s="55" t="n"/>
      <c r="C2430" s="55" t="n"/>
      <c r="D2430" s="55" t="n"/>
      <c r="E2430" s="93" t="n"/>
      <c r="F2430" s="94" t="n"/>
      <c r="G2430" s="94" t="n"/>
      <c r="H2430" s="94" t="n"/>
      <c r="I2430" s="94" t="n"/>
      <c r="J2430" s="55" t="n"/>
      <c r="K2430" s="95" t="n"/>
      <c r="L2430" s="116">
        <f>IF($A2430="","",DATE(YEAR($A2430),MONTH($A2430)+IF(AND(IFERROR(N(INDEX(Übersicht!$M$15:$M$22,MATCH($B2430,Übersicht!$A$15:$A$22,0))),0)&gt;1,DAY($A2430)&gt;=IFERROR(N(INDEX(Übersicht!$M$15:$M$22,MATCH($B2430,Übersicht!$A$15:$A$22,0))),0)),1,0),1))</f>
        <v/>
      </c>
    </row>
    <row r="2431">
      <c r="A2431" s="92" t="n"/>
      <c r="B2431" s="55" t="n"/>
      <c r="C2431" s="55" t="n"/>
      <c r="D2431" s="55" t="n"/>
      <c r="E2431" s="93" t="n"/>
      <c r="F2431" s="94" t="n"/>
      <c r="G2431" s="94" t="n"/>
      <c r="H2431" s="94" t="n"/>
      <c r="I2431" s="94" t="n"/>
      <c r="J2431" s="55" t="n"/>
      <c r="K2431" s="95" t="n"/>
      <c r="L2431" s="116">
        <f>IF($A2431="","",DATE(YEAR($A2431),MONTH($A2431)+IF(AND(IFERROR(N(INDEX(Übersicht!$M$15:$M$22,MATCH($B2431,Übersicht!$A$15:$A$22,0))),0)&gt;1,DAY($A2431)&gt;=IFERROR(N(INDEX(Übersicht!$M$15:$M$22,MATCH($B2431,Übersicht!$A$15:$A$22,0))),0)),1,0),1))</f>
        <v/>
      </c>
    </row>
    <row r="2432">
      <c r="A2432" s="92" t="n"/>
      <c r="B2432" s="55" t="n"/>
      <c r="C2432" s="55" t="n"/>
      <c r="D2432" s="55" t="n"/>
      <c r="E2432" s="93" t="n"/>
      <c r="F2432" s="94" t="n"/>
      <c r="G2432" s="94" t="n"/>
      <c r="H2432" s="94" t="n"/>
      <c r="I2432" s="94" t="n"/>
      <c r="J2432" s="55" t="n"/>
      <c r="K2432" s="95" t="n"/>
      <c r="L2432" s="116">
        <f>IF($A2432="","",DATE(YEAR($A2432),MONTH($A2432)+IF(AND(IFERROR(N(INDEX(Übersicht!$M$15:$M$22,MATCH($B2432,Übersicht!$A$15:$A$22,0))),0)&gt;1,DAY($A2432)&gt;=IFERROR(N(INDEX(Übersicht!$M$15:$M$22,MATCH($B2432,Übersicht!$A$15:$A$22,0))),0)),1,0),1))</f>
        <v/>
      </c>
    </row>
    <row r="2433">
      <c r="A2433" s="92" t="n"/>
      <c r="B2433" s="55" t="n"/>
      <c r="C2433" s="55" t="n"/>
      <c r="D2433" s="55" t="n"/>
      <c r="E2433" s="93" t="n"/>
      <c r="F2433" s="94" t="n"/>
      <c r="G2433" s="94" t="n"/>
      <c r="H2433" s="94" t="n"/>
      <c r="I2433" s="94" t="n"/>
      <c r="J2433" s="55" t="n"/>
      <c r="K2433" s="95" t="n"/>
      <c r="L2433" s="116">
        <f>IF($A2433="","",DATE(YEAR($A2433),MONTH($A2433)+IF(AND(IFERROR(N(INDEX(Übersicht!$M$15:$M$22,MATCH($B2433,Übersicht!$A$15:$A$22,0))),0)&gt;1,DAY($A2433)&gt;=IFERROR(N(INDEX(Übersicht!$M$15:$M$22,MATCH($B2433,Übersicht!$A$15:$A$22,0))),0)),1,0),1))</f>
        <v/>
      </c>
    </row>
    <row r="2434">
      <c r="A2434" s="92" t="n"/>
      <c r="B2434" s="55" t="n"/>
      <c r="C2434" s="55" t="n"/>
      <c r="D2434" s="55" t="n"/>
      <c r="E2434" s="93" t="n"/>
      <c r="F2434" s="94" t="n"/>
      <c r="G2434" s="94" t="n"/>
      <c r="H2434" s="94" t="n"/>
      <c r="I2434" s="94" t="n"/>
      <c r="J2434" s="55" t="n"/>
      <c r="K2434" s="95" t="n"/>
      <c r="L2434" s="116">
        <f>IF($A2434="","",DATE(YEAR($A2434),MONTH($A2434)+IF(AND(IFERROR(N(INDEX(Übersicht!$M$15:$M$22,MATCH($B2434,Übersicht!$A$15:$A$22,0))),0)&gt;1,DAY($A2434)&gt;=IFERROR(N(INDEX(Übersicht!$M$15:$M$22,MATCH($B2434,Übersicht!$A$15:$A$22,0))),0)),1,0),1))</f>
        <v/>
      </c>
    </row>
    <row r="2435">
      <c r="A2435" s="92" t="n"/>
      <c r="B2435" s="55" t="n"/>
      <c r="C2435" s="55" t="n"/>
      <c r="D2435" s="55" t="n"/>
      <c r="E2435" s="93" t="n"/>
      <c r="F2435" s="94" t="n"/>
      <c r="G2435" s="94" t="n"/>
      <c r="H2435" s="94" t="n"/>
      <c r="I2435" s="94" t="n"/>
      <c r="J2435" s="55" t="n"/>
      <c r="K2435" s="95" t="n"/>
      <c r="L2435" s="116">
        <f>IF($A2435="","",DATE(YEAR($A2435),MONTH($A2435)+IF(AND(IFERROR(N(INDEX(Übersicht!$M$15:$M$22,MATCH($B2435,Übersicht!$A$15:$A$22,0))),0)&gt;1,DAY($A2435)&gt;=IFERROR(N(INDEX(Übersicht!$M$15:$M$22,MATCH($B2435,Übersicht!$A$15:$A$22,0))),0)),1,0),1))</f>
        <v/>
      </c>
    </row>
    <row r="2436">
      <c r="A2436" s="92" t="n"/>
      <c r="B2436" s="55" t="n"/>
      <c r="C2436" s="55" t="n"/>
      <c r="D2436" s="55" t="n"/>
      <c r="E2436" s="93" t="n"/>
      <c r="F2436" s="94" t="n"/>
      <c r="G2436" s="94" t="n"/>
      <c r="H2436" s="94" t="n"/>
      <c r="I2436" s="94" t="n"/>
      <c r="J2436" s="55" t="n"/>
      <c r="K2436" s="95" t="n"/>
      <c r="L2436" s="116">
        <f>IF($A2436="","",DATE(YEAR($A2436),MONTH($A2436)+IF(AND(IFERROR(N(INDEX(Übersicht!$M$15:$M$22,MATCH($B2436,Übersicht!$A$15:$A$22,0))),0)&gt;1,DAY($A2436)&gt;=IFERROR(N(INDEX(Übersicht!$M$15:$M$22,MATCH($B2436,Übersicht!$A$15:$A$22,0))),0)),1,0),1))</f>
        <v/>
      </c>
    </row>
    <row r="2437">
      <c r="A2437" s="92" t="n"/>
      <c r="B2437" s="55" t="n"/>
      <c r="C2437" s="55" t="n"/>
      <c r="D2437" s="55" t="n"/>
      <c r="E2437" s="93" t="n"/>
      <c r="F2437" s="94" t="n"/>
      <c r="G2437" s="94" t="n"/>
      <c r="H2437" s="94" t="n"/>
      <c r="I2437" s="94" t="n"/>
      <c r="J2437" s="55" t="n"/>
      <c r="K2437" s="95" t="n"/>
      <c r="L2437" s="116">
        <f>IF($A2437="","",DATE(YEAR($A2437),MONTH($A2437)+IF(AND(IFERROR(N(INDEX(Übersicht!$M$15:$M$22,MATCH($B2437,Übersicht!$A$15:$A$22,0))),0)&gt;1,DAY($A2437)&gt;=IFERROR(N(INDEX(Übersicht!$M$15:$M$22,MATCH($B2437,Übersicht!$A$15:$A$22,0))),0)),1,0),1))</f>
        <v/>
      </c>
    </row>
    <row r="2438">
      <c r="A2438" s="92" t="n"/>
      <c r="B2438" s="55" t="n"/>
      <c r="C2438" s="55" t="n"/>
      <c r="D2438" s="55" t="n"/>
      <c r="E2438" s="93" t="n"/>
      <c r="F2438" s="94" t="n"/>
      <c r="G2438" s="94" t="n"/>
      <c r="H2438" s="94" t="n"/>
      <c r="I2438" s="94" t="n"/>
      <c r="J2438" s="55" t="n"/>
      <c r="K2438" s="95" t="n"/>
      <c r="L2438" s="116">
        <f>IF($A2438="","",DATE(YEAR($A2438),MONTH($A2438)+IF(AND(IFERROR(N(INDEX(Übersicht!$M$15:$M$22,MATCH($B2438,Übersicht!$A$15:$A$22,0))),0)&gt;1,DAY($A2438)&gt;=IFERROR(N(INDEX(Übersicht!$M$15:$M$22,MATCH($B2438,Übersicht!$A$15:$A$22,0))),0)),1,0),1))</f>
        <v/>
      </c>
    </row>
    <row r="2439">
      <c r="A2439" s="92" t="n"/>
      <c r="B2439" s="55" t="n"/>
      <c r="C2439" s="55" t="n"/>
      <c r="D2439" s="55" t="n"/>
      <c r="E2439" s="93" t="n"/>
      <c r="F2439" s="94" t="n"/>
      <c r="G2439" s="94" t="n"/>
      <c r="H2439" s="94" t="n"/>
      <c r="I2439" s="94" t="n"/>
      <c r="J2439" s="55" t="n"/>
      <c r="K2439" s="95" t="n"/>
      <c r="L2439" s="116">
        <f>IF($A2439="","",DATE(YEAR($A2439),MONTH($A2439)+IF(AND(IFERROR(N(INDEX(Übersicht!$M$15:$M$22,MATCH($B2439,Übersicht!$A$15:$A$22,0))),0)&gt;1,DAY($A2439)&gt;=IFERROR(N(INDEX(Übersicht!$M$15:$M$22,MATCH($B2439,Übersicht!$A$15:$A$22,0))),0)),1,0),1))</f>
        <v/>
      </c>
    </row>
    <row r="2440">
      <c r="A2440" s="92" t="n"/>
      <c r="B2440" s="55" t="n"/>
      <c r="C2440" s="55" t="n"/>
      <c r="D2440" s="55" t="n"/>
      <c r="E2440" s="93" t="n"/>
      <c r="F2440" s="94" t="n"/>
      <c r="G2440" s="94" t="n"/>
      <c r="H2440" s="94" t="n"/>
      <c r="I2440" s="94" t="n"/>
      <c r="J2440" s="55" t="n"/>
      <c r="K2440" s="95" t="n"/>
      <c r="L2440" s="116">
        <f>IF($A2440="","",DATE(YEAR($A2440),MONTH($A2440)+IF(AND(IFERROR(N(INDEX(Übersicht!$M$15:$M$22,MATCH($B2440,Übersicht!$A$15:$A$22,0))),0)&gt;1,DAY($A2440)&gt;=IFERROR(N(INDEX(Übersicht!$M$15:$M$22,MATCH($B2440,Übersicht!$A$15:$A$22,0))),0)),1,0),1))</f>
        <v/>
      </c>
    </row>
    <row r="2441">
      <c r="A2441" s="92" t="n"/>
      <c r="B2441" s="55" t="n"/>
      <c r="C2441" s="55" t="n"/>
      <c r="D2441" s="55" t="n"/>
      <c r="E2441" s="93" t="n"/>
      <c r="F2441" s="94" t="n"/>
      <c r="G2441" s="94" t="n"/>
      <c r="H2441" s="94" t="n"/>
      <c r="I2441" s="94" t="n"/>
      <c r="J2441" s="55" t="n"/>
      <c r="K2441" s="95" t="n"/>
      <c r="L2441" s="116">
        <f>IF($A2441="","",DATE(YEAR($A2441),MONTH($A2441)+IF(AND(IFERROR(N(INDEX(Übersicht!$M$15:$M$22,MATCH($B2441,Übersicht!$A$15:$A$22,0))),0)&gt;1,DAY($A2441)&gt;=IFERROR(N(INDEX(Übersicht!$M$15:$M$22,MATCH($B2441,Übersicht!$A$15:$A$22,0))),0)),1,0),1))</f>
        <v/>
      </c>
    </row>
    <row r="2442">
      <c r="A2442" s="92" t="n"/>
      <c r="B2442" s="55" t="n"/>
      <c r="C2442" s="55" t="n"/>
      <c r="D2442" s="55" t="n"/>
      <c r="E2442" s="93" t="n"/>
      <c r="F2442" s="94" t="n"/>
      <c r="G2442" s="94" t="n"/>
      <c r="H2442" s="94" t="n"/>
      <c r="I2442" s="94" t="n"/>
      <c r="J2442" s="55" t="n"/>
      <c r="K2442" s="95" t="n"/>
      <c r="L2442" s="116">
        <f>IF($A2442="","",DATE(YEAR($A2442),MONTH($A2442)+IF(AND(IFERROR(N(INDEX(Übersicht!$M$15:$M$22,MATCH($B2442,Übersicht!$A$15:$A$22,0))),0)&gt;1,DAY($A2442)&gt;=IFERROR(N(INDEX(Übersicht!$M$15:$M$22,MATCH($B2442,Übersicht!$A$15:$A$22,0))),0)),1,0),1))</f>
        <v/>
      </c>
    </row>
    <row r="2443">
      <c r="A2443" s="92" t="n"/>
      <c r="B2443" s="55" t="n"/>
      <c r="C2443" s="55" t="n"/>
      <c r="D2443" s="55" t="n"/>
      <c r="E2443" s="93" t="n"/>
      <c r="F2443" s="94" t="n"/>
      <c r="G2443" s="94" t="n"/>
      <c r="H2443" s="94" t="n"/>
      <c r="I2443" s="94" t="n"/>
      <c r="J2443" s="55" t="n"/>
      <c r="K2443" s="95" t="n"/>
      <c r="L2443" s="116">
        <f>IF($A2443="","",DATE(YEAR($A2443),MONTH($A2443)+IF(AND(IFERROR(N(INDEX(Übersicht!$M$15:$M$22,MATCH($B2443,Übersicht!$A$15:$A$22,0))),0)&gt;1,DAY($A2443)&gt;=IFERROR(N(INDEX(Übersicht!$M$15:$M$22,MATCH($B2443,Übersicht!$A$15:$A$22,0))),0)),1,0),1))</f>
        <v/>
      </c>
    </row>
    <row r="2444">
      <c r="A2444" s="92" t="n"/>
      <c r="B2444" s="55" t="n"/>
      <c r="C2444" s="55" t="n"/>
      <c r="D2444" s="55" t="n"/>
      <c r="E2444" s="93" t="n"/>
      <c r="F2444" s="94" t="n"/>
      <c r="G2444" s="94" t="n"/>
      <c r="H2444" s="94" t="n"/>
      <c r="I2444" s="94" t="n"/>
      <c r="J2444" s="55" t="n"/>
      <c r="K2444" s="95" t="n"/>
      <c r="L2444" s="116">
        <f>IF($A2444="","",DATE(YEAR($A2444),MONTH($A2444)+IF(AND(IFERROR(N(INDEX(Übersicht!$M$15:$M$22,MATCH($B2444,Übersicht!$A$15:$A$22,0))),0)&gt;1,DAY($A2444)&gt;=IFERROR(N(INDEX(Übersicht!$M$15:$M$22,MATCH($B2444,Übersicht!$A$15:$A$22,0))),0)),1,0),1))</f>
        <v/>
      </c>
    </row>
    <row r="2445">
      <c r="A2445" s="92" t="n"/>
      <c r="B2445" s="55" t="n"/>
      <c r="C2445" s="55" t="n"/>
      <c r="D2445" s="55" t="n"/>
      <c r="E2445" s="93" t="n"/>
      <c r="F2445" s="94" t="n"/>
      <c r="G2445" s="94" t="n"/>
      <c r="H2445" s="94" t="n"/>
      <c r="I2445" s="94" t="n"/>
      <c r="J2445" s="55" t="n"/>
      <c r="K2445" s="95" t="n"/>
      <c r="L2445" s="116">
        <f>IF($A2445="","",DATE(YEAR($A2445),MONTH($A2445)+IF(AND(IFERROR(N(INDEX(Übersicht!$M$15:$M$22,MATCH($B2445,Übersicht!$A$15:$A$22,0))),0)&gt;1,DAY($A2445)&gt;=IFERROR(N(INDEX(Übersicht!$M$15:$M$22,MATCH($B2445,Übersicht!$A$15:$A$22,0))),0)),1,0),1))</f>
        <v/>
      </c>
    </row>
    <row r="2446">
      <c r="A2446" s="92" t="n"/>
      <c r="B2446" s="55" t="n"/>
      <c r="C2446" s="55" t="n"/>
      <c r="D2446" s="55" t="n"/>
      <c r="E2446" s="93" t="n"/>
      <c r="F2446" s="94" t="n"/>
      <c r="G2446" s="94" t="n"/>
      <c r="H2446" s="94" t="n"/>
      <c r="I2446" s="94" t="n"/>
      <c r="J2446" s="55" t="n"/>
      <c r="K2446" s="95" t="n"/>
      <c r="L2446" s="116">
        <f>IF($A2446="","",DATE(YEAR($A2446),MONTH($A2446)+IF(AND(IFERROR(N(INDEX(Übersicht!$M$15:$M$22,MATCH($B2446,Übersicht!$A$15:$A$22,0))),0)&gt;1,DAY($A2446)&gt;=IFERROR(N(INDEX(Übersicht!$M$15:$M$22,MATCH($B2446,Übersicht!$A$15:$A$22,0))),0)),1,0),1))</f>
        <v/>
      </c>
    </row>
    <row r="2447">
      <c r="A2447" s="92" t="n"/>
      <c r="B2447" s="55" t="n"/>
      <c r="C2447" s="55" t="n"/>
      <c r="D2447" s="55" t="n"/>
      <c r="E2447" s="93" t="n"/>
      <c r="F2447" s="94" t="n"/>
      <c r="G2447" s="94" t="n"/>
      <c r="H2447" s="94" t="n"/>
      <c r="I2447" s="94" t="n"/>
      <c r="J2447" s="55" t="n"/>
      <c r="K2447" s="95" t="n"/>
      <c r="L2447" s="116">
        <f>IF($A2447="","",DATE(YEAR($A2447),MONTH($A2447)+IF(AND(IFERROR(N(INDEX(Übersicht!$M$15:$M$22,MATCH($B2447,Übersicht!$A$15:$A$22,0))),0)&gt;1,DAY($A2447)&gt;=IFERROR(N(INDEX(Übersicht!$M$15:$M$22,MATCH($B2447,Übersicht!$A$15:$A$22,0))),0)),1,0),1))</f>
        <v/>
      </c>
    </row>
    <row r="2448">
      <c r="A2448" s="92" t="n"/>
      <c r="B2448" s="55" t="n"/>
      <c r="C2448" s="55" t="n"/>
      <c r="D2448" s="55" t="n"/>
      <c r="E2448" s="93" t="n"/>
      <c r="F2448" s="94" t="n"/>
      <c r="G2448" s="94" t="n"/>
      <c r="H2448" s="94" t="n"/>
      <c r="I2448" s="94" t="n"/>
      <c r="J2448" s="55" t="n"/>
      <c r="K2448" s="95" t="n"/>
      <c r="L2448" s="116">
        <f>IF($A2448="","",DATE(YEAR($A2448),MONTH($A2448)+IF(AND(IFERROR(N(INDEX(Übersicht!$M$15:$M$22,MATCH($B2448,Übersicht!$A$15:$A$22,0))),0)&gt;1,DAY($A2448)&gt;=IFERROR(N(INDEX(Übersicht!$M$15:$M$22,MATCH($B2448,Übersicht!$A$15:$A$22,0))),0)),1,0),1))</f>
        <v/>
      </c>
    </row>
    <row r="2449">
      <c r="A2449" s="92" t="n"/>
      <c r="B2449" s="55" t="n"/>
      <c r="C2449" s="55" t="n"/>
      <c r="D2449" s="55" t="n"/>
      <c r="E2449" s="93" t="n"/>
      <c r="F2449" s="94" t="n"/>
      <c r="G2449" s="94" t="n"/>
      <c r="H2449" s="94" t="n"/>
      <c r="I2449" s="94" t="n"/>
      <c r="J2449" s="55" t="n"/>
      <c r="K2449" s="95" t="n"/>
      <c r="L2449" s="116">
        <f>IF($A2449="","",DATE(YEAR($A2449),MONTH($A2449)+IF(AND(IFERROR(N(INDEX(Übersicht!$M$15:$M$22,MATCH($B2449,Übersicht!$A$15:$A$22,0))),0)&gt;1,DAY($A2449)&gt;=IFERROR(N(INDEX(Übersicht!$M$15:$M$22,MATCH($B2449,Übersicht!$A$15:$A$22,0))),0)),1,0),1))</f>
        <v/>
      </c>
    </row>
    <row r="2450">
      <c r="A2450" s="92" t="n"/>
      <c r="B2450" s="55" t="n"/>
      <c r="C2450" s="55" t="n"/>
      <c r="D2450" s="55" t="n"/>
      <c r="E2450" s="93" t="n"/>
      <c r="F2450" s="94" t="n"/>
      <c r="G2450" s="94" t="n"/>
      <c r="H2450" s="94" t="n"/>
      <c r="I2450" s="94" t="n"/>
      <c r="J2450" s="55" t="n"/>
      <c r="K2450" s="95" t="n"/>
      <c r="L2450" s="116">
        <f>IF($A2450="","",DATE(YEAR($A2450),MONTH($A2450)+IF(AND(IFERROR(N(INDEX(Übersicht!$M$15:$M$22,MATCH($B2450,Übersicht!$A$15:$A$22,0))),0)&gt;1,DAY($A2450)&gt;=IFERROR(N(INDEX(Übersicht!$M$15:$M$22,MATCH($B2450,Übersicht!$A$15:$A$22,0))),0)),1,0),1))</f>
        <v/>
      </c>
    </row>
    <row r="2451">
      <c r="A2451" s="92" t="n"/>
      <c r="B2451" s="55" t="n"/>
      <c r="C2451" s="55" t="n"/>
      <c r="D2451" s="55" t="n"/>
      <c r="E2451" s="93" t="n"/>
      <c r="F2451" s="94" t="n"/>
      <c r="G2451" s="94" t="n"/>
      <c r="H2451" s="94" t="n"/>
      <c r="I2451" s="94" t="n"/>
      <c r="J2451" s="55" t="n"/>
      <c r="K2451" s="95" t="n"/>
      <c r="L2451" s="116">
        <f>IF($A2451="","",DATE(YEAR($A2451),MONTH($A2451)+IF(AND(IFERROR(N(INDEX(Übersicht!$M$15:$M$22,MATCH($B2451,Übersicht!$A$15:$A$22,0))),0)&gt;1,DAY($A2451)&gt;=IFERROR(N(INDEX(Übersicht!$M$15:$M$22,MATCH($B2451,Übersicht!$A$15:$A$22,0))),0)),1,0),1))</f>
        <v/>
      </c>
    </row>
    <row r="2452">
      <c r="A2452" s="92" t="n"/>
      <c r="B2452" s="55" t="n"/>
      <c r="C2452" s="55" t="n"/>
      <c r="D2452" s="55" t="n"/>
      <c r="E2452" s="93" t="n"/>
      <c r="F2452" s="94" t="n"/>
      <c r="G2452" s="94" t="n"/>
      <c r="H2452" s="94" t="n"/>
      <c r="I2452" s="94" t="n"/>
      <c r="J2452" s="55" t="n"/>
      <c r="K2452" s="95" t="n"/>
      <c r="L2452" s="116">
        <f>IF($A2452="","",DATE(YEAR($A2452),MONTH($A2452)+IF(AND(IFERROR(N(INDEX(Übersicht!$M$15:$M$22,MATCH($B2452,Übersicht!$A$15:$A$22,0))),0)&gt;1,DAY($A2452)&gt;=IFERROR(N(INDEX(Übersicht!$M$15:$M$22,MATCH($B2452,Übersicht!$A$15:$A$22,0))),0)),1,0),1))</f>
        <v/>
      </c>
    </row>
    <row r="2453">
      <c r="A2453" s="92" t="n"/>
      <c r="B2453" s="55" t="n"/>
      <c r="C2453" s="55" t="n"/>
      <c r="D2453" s="55" t="n"/>
      <c r="E2453" s="93" t="n"/>
      <c r="F2453" s="94" t="n"/>
      <c r="G2453" s="94" t="n"/>
      <c r="H2453" s="94" t="n"/>
      <c r="I2453" s="94" t="n"/>
      <c r="J2453" s="55" t="n"/>
      <c r="K2453" s="95" t="n"/>
      <c r="L2453" s="116">
        <f>IF($A2453="","",DATE(YEAR($A2453),MONTH($A2453)+IF(AND(IFERROR(N(INDEX(Übersicht!$M$15:$M$22,MATCH($B2453,Übersicht!$A$15:$A$22,0))),0)&gt;1,DAY($A2453)&gt;=IFERROR(N(INDEX(Übersicht!$M$15:$M$22,MATCH($B2453,Übersicht!$A$15:$A$22,0))),0)),1,0),1))</f>
        <v/>
      </c>
    </row>
    <row r="2454">
      <c r="A2454" s="92" t="n"/>
      <c r="B2454" s="55" t="n"/>
      <c r="C2454" s="55" t="n"/>
      <c r="D2454" s="55" t="n"/>
      <c r="E2454" s="93" t="n"/>
      <c r="F2454" s="94" t="n"/>
      <c r="G2454" s="94" t="n"/>
      <c r="H2454" s="94" t="n"/>
      <c r="I2454" s="94" t="n"/>
      <c r="J2454" s="55" t="n"/>
      <c r="K2454" s="95" t="n"/>
      <c r="L2454" s="116">
        <f>IF($A2454="","",DATE(YEAR($A2454),MONTH($A2454)+IF(AND(IFERROR(N(INDEX(Übersicht!$M$15:$M$22,MATCH($B2454,Übersicht!$A$15:$A$22,0))),0)&gt;1,DAY($A2454)&gt;=IFERROR(N(INDEX(Übersicht!$M$15:$M$22,MATCH($B2454,Übersicht!$A$15:$A$22,0))),0)),1,0),1))</f>
        <v/>
      </c>
    </row>
    <row r="2455">
      <c r="A2455" s="92" t="n"/>
      <c r="B2455" s="55" t="n"/>
      <c r="C2455" s="55" t="n"/>
      <c r="D2455" s="55" t="n"/>
      <c r="E2455" s="93" t="n"/>
      <c r="F2455" s="94" t="n"/>
      <c r="G2455" s="94" t="n"/>
      <c r="H2455" s="94" t="n"/>
      <c r="I2455" s="94" t="n"/>
      <c r="J2455" s="55" t="n"/>
      <c r="K2455" s="95" t="n"/>
      <c r="L2455" s="116">
        <f>IF($A2455="","",DATE(YEAR($A2455),MONTH($A2455)+IF(AND(IFERROR(N(INDEX(Übersicht!$M$15:$M$22,MATCH($B2455,Übersicht!$A$15:$A$22,0))),0)&gt;1,DAY($A2455)&gt;=IFERROR(N(INDEX(Übersicht!$M$15:$M$22,MATCH($B2455,Übersicht!$A$15:$A$22,0))),0)),1,0),1))</f>
        <v/>
      </c>
    </row>
    <row r="2456">
      <c r="A2456" s="92" t="n"/>
      <c r="B2456" s="55" t="n"/>
      <c r="C2456" s="55" t="n"/>
      <c r="D2456" s="55" t="n"/>
      <c r="E2456" s="93" t="n"/>
      <c r="F2456" s="94" t="n"/>
      <c r="G2456" s="94" t="n"/>
      <c r="H2456" s="94" t="n"/>
      <c r="I2456" s="94" t="n"/>
      <c r="J2456" s="55" t="n"/>
      <c r="K2456" s="95" t="n"/>
      <c r="L2456" s="116">
        <f>IF($A2456="","",DATE(YEAR($A2456),MONTH($A2456)+IF(AND(IFERROR(N(INDEX(Übersicht!$M$15:$M$22,MATCH($B2456,Übersicht!$A$15:$A$22,0))),0)&gt;1,DAY($A2456)&gt;=IFERROR(N(INDEX(Übersicht!$M$15:$M$22,MATCH($B2456,Übersicht!$A$15:$A$22,0))),0)),1,0),1))</f>
        <v/>
      </c>
    </row>
    <row r="2457">
      <c r="A2457" s="92" t="n"/>
      <c r="B2457" s="55" t="n"/>
      <c r="C2457" s="55" t="n"/>
      <c r="D2457" s="55" t="n"/>
      <c r="E2457" s="93" t="n"/>
      <c r="F2457" s="94" t="n"/>
      <c r="G2457" s="94" t="n"/>
      <c r="H2457" s="94" t="n"/>
      <c r="I2457" s="94" t="n"/>
      <c r="J2457" s="55" t="n"/>
      <c r="K2457" s="95" t="n"/>
      <c r="L2457" s="116">
        <f>IF($A2457="","",DATE(YEAR($A2457),MONTH($A2457)+IF(AND(IFERROR(N(INDEX(Übersicht!$M$15:$M$22,MATCH($B2457,Übersicht!$A$15:$A$22,0))),0)&gt;1,DAY($A2457)&gt;=IFERROR(N(INDEX(Übersicht!$M$15:$M$22,MATCH($B2457,Übersicht!$A$15:$A$22,0))),0)),1,0),1))</f>
        <v/>
      </c>
    </row>
    <row r="2458">
      <c r="A2458" s="92" t="n"/>
      <c r="B2458" s="55" t="n"/>
      <c r="C2458" s="55" t="n"/>
      <c r="D2458" s="55" t="n"/>
      <c r="E2458" s="93" t="n"/>
      <c r="F2458" s="94" t="n"/>
      <c r="G2458" s="94" t="n"/>
      <c r="H2458" s="94" t="n"/>
      <c r="I2458" s="94" t="n"/>
      <c r="J2458" s="55" t="n"/>
      <c r="K2458" s="95" t="n"/>
      <c r="L2458" s="116">
        <f>IF($A2458="","",DATE(YEAR($A2458),MONTH($A2458)+IF(AND(IFERROR(N(INDEX(Übersicht!$M$15:$M$22,MATCH($B2458,Übersicht!$A$15:$A$22,0))),0)&gt;1,DAY($A2458)&gt;=IFERROR(N(INDEX(Übersicht!$M$15:$M$22,MATCH($B2458,Übersicht!$A$15:$A$22,0))),0)),1,0),1))</f>
        <v/>
      </c>
    </row>
    <row r="2459">
      <c r="A2459" s="92" t="n"/>
      <c r="B2459" s="55" t="n"/>
      <c r="C2459" s="55" t="n"/>
      <c r="D2459" s="55" t="n"/>
      <c r="E2459" s="93" t="n"/>
      <c r="F2459" s="94" t="n"/>
      <c r="G2459" s="94" t="n"/>
      <c r="H2459" s="94" t="n"/>
      <c r="I2459" s="94" t="n"/>
      <c r="J2459" s="55" t="n"/>
      <c r="K2459" s="95" t="n"/>
      <c r="L2459" s="116">
        <f>IF($A2459="","",DATE(YEAR($A2459),MONTH($A2459)+IF(AND(IFERROR(N(INDEX(Übersicht!$M$15:$M$22,MATCH($B2459,Übersicht!$A$15:$A$22,0))),0)&gt;1,DAY($A2459)&gt;=IFERROR(N(INDEX(Übersicht!$M$15:$M$22,MATCH($B2459,Übersicht!$A$15:$A$22,0))),0)),1,0),1))</f>
        <v/>
      </c>
    </row>
    <row r="2460">
      <c r="A2460" s="92" t="n"/>
      <c r="B2460" s="55" t="n"/>
      <c r="C2460" s="55" t="n"/>
      <c r="D2460" s="55" t="n"/>
      <c r="E2460" s="93" t="n"/>
      <c r="F2460" s="94" t="n"/>
      <c r="G2460" s="94" t="n"/>
      <c r="H2460" s="94" t="n"/>
      <c r="I2460" s="94" t="n"/>
      <c r="J2460" s="55" t="n"/>
      <c r="K2460" s="95" t="n"/>
      <c r="L2460" s="116">
        <f>IF($A2460="","",DATE(YEAR($A2460),MONTH($A2460)+IF(AND(IFERROR(N(INDEX(Übersicht!$M$15:$M$22,MATCH($B2460,Übersicht!$A$15:$A$22,0))),0)&gt;1,DAY($A2460)&gt;=IFERROR(N(INDEX(Übersicht!$M$15:$M$22,MATCH($B2460,Übersicht!$A$15:$A$22,0))),0)),1,0),1))</f>
        <v/>
      </c>
    </row>
    <row r="2461">
      <c r="A2461" s="92" t="n"/>
      <c r="B2461" s="55" t="n"/>
      <c r="C2461" s="55" t="n"/>
      <c r="D2461" s="55" t="n"/>
      <c r="E2461" s="93" t="n"/>
      <c r="F2461" s="94" t="n"/>
      <c r="G2461" s="94" t="n"/>
      <c r="H2461" s="94" t="n"/>
      <c r="I2461" s="94" t="n"/>
      <c r="J2461" s="55" t="n"/>
      <c r="K2461" s="95" t="n"/>
      <c r="L2461" s="116">
        <f>IF($A2461="","",DATE(YEAR($A2461),MONTH($A2461)+IF(AND(IFERROR(N(INDEX(Übersicht!$M$15:$M$22,MATCH($B2461,Übersicht!$A$15:$A$22,0))),0)&gt;1,DAY($A2461)&gt;=IFERROR(N(INDEX(Übersicht!$M$15:$M$22,MATCH($B2461,Übersicht!$A$15:$A$22,0))),0)),1,0),1))</f>
        <v/>
      </c>
    </row>
    <row r="2462">
      <c r="A2462" s="92" t="n"/>
      <c r="B2462" s="55" t="n"/>
      <c r="C2462" s="55" t="n"/>
      <c r="D2462" s="55" t="n"/>
      <c r="E2462" s="93" t="n"/>
      <c r="F2462" s="94" t="n"/>
      <c r="G2462" s="94" t="n"/>
      <c r="H2462" s="94" t="n"/>
      <c r="I2462" s="94" t="n"/>
      <c r="J2462" s="55" t="n"/>
      <c r="K2462" s="95" t="n"/>
      <c r="L2462" s="116">
        <f>IF($A2462="","",DATE(YEAR($A2462),MONTH($A2462)+IF(AND(IFERROR(N(INDEX(Übersicht!$M$15:$M$22,MATCH($B2462,Übersicht!$A$15:$A$22,0))),0)&gt;1,DAY($A2462)&gt;=IFERROR(N(INDEX(Übersicht!$M$15:$M$22,MATCH($B2462,Übersicht!$A$15:$A$22,0))),0)),1,0),1))</f>
        <v/>
      </c>
    </row>
    <row r="2463">
      <c r="A2463" s="92" t="n"/>
      <c r="B2463" s="55" t="n"/>
      <c r="C2463" s="55" t="n"/>
      <c r="D2463" s="55" t="n"/>
      <c r="E2463" s="93" t="n"/>
      <c r="F2463" s="94" t="n"/>
      <c r="G2463" s="94" t="n"/>
      <c r="H2463" s="94" t="n"/>
      <c r="I2463" s="94" t="n"/>
      <c r="J2463" s="55" t="n"/>
      <c r="K2463" s="95" t="n"/>
      <c r="L2463" s="116">
        <f>IF($A2463="","",DATE(YEAR($A2463),MONTH($A2463)+IF(AND(IFERROR(N(INDEX(Übersicht!$M$15:$M$22,MATCH($B2463,Übersicht!$A$15:$A$22,0))),0)&gt;1,DAY($A2463)&gt;=IFERROR(N(INDEX(Übersicht!$M$15:$M$22,MATCH($B2463,Übersicht!$A$15:$A$22,0))),0)),1,0),1))</f>
        <v/>
      </c>
    </row>
    <row r="2464">
      <c r="A2464" s="92" t="n"/>
      <c r="B2464" s="55" t="n"/>
      <c r="C2464" s="55" t="n"/>
      <c r="D2464" s="55" t="n"/>
      <c r="E2464" s="93" t="n"/>
      <c r="F2464" s="94" t="n"/>
      <c r="G2464" s="94" t="n"/>
      <c r="H2464" s="94" t="n"/>
      <c r="I2464" s="94" t="n"/>
      <c r="J2464" s="55" t="n"/>
      <c r="K2464" s="95" t="n"/>
      <c r="L2464" s="116">
        <f>IF($A2464="","",DATE(YEAR($A2464),MONTH($A2464)+IF(AND(IFERROR(N(INDEX(Übersicht!$M$15:$M$22,MATCH($B2464,Übersicht!$A$15:$A$22,0))),0)&gt;1,DAY($A2464)&gt;=IFERROR(N(INDEX(Übersicht!$M$15:$M$22,MATCH($B2464,Übersicht!$A$15:$A$22,0))),0)),1,0),1))</f>
        <v/>
      </c>
    </row>
    <row r="2465">
      <c r="A2465" s="92" t="n"/>
      <c r="B2465" s="55" t="n"/>
      <c r="C2465" s="55" t="n"/>
      <c r="D2465" s="55" t="n"/>
      <c r="E2465" s="93" t="n"/>
      <c r="F2465" s="94" t="n"/>
      <c r="G2465" s="94" t="n"/>
      <c r="H2465" s="94" t="n"/>
      <c r="I2465" s="94" t="n"/>
      <c r="J2465" s="55" t="n"/>
      <c r="K2465" s="95" t="n"/>
      <c r="L2465" s="116">
        <f>IF($A2465="","",DATE(YEAR($A2465),MONTH($A2465)+IF(AND(IFERROR(N(INDEX(Übersicht!$M$15:$M$22,MATCH($B2465,Übersicht!$A$15:$A$22,0))),0)&gt;1,DAY($A2465)&gt;=IFERROR(N(INDEX(Übersicht!$M$15:$M$22,MATCH($B2465,Übersicht!$A$15:$A$22,0))),0)),1,0),1))</f>
        <v/>
      </c>
    </row>
    <row r="2466">
      <c r="A2466" s="92" t="n"/>
      <c r="B2466" s="55" t="n"/>
      <c r="C2466" s="55" t="n"/>
      <c r="D2466" s="55" t="n"/>
      <c r="E2466" s="93" t="n"/>
      <c r="F2466" s="94" t="n"/>
      <c r="G2466" s="94" t="n"/>
      <c r="H2466" s="94" t="n"/>
      <c r="I2466" s="94" t="n"/>
      <c r="J2466" s="55" t="n"/>
      <c r="K2466" s="95" t="n"/>
      <c r="L2466" s="116">
        <f>IF($A2466="","",DATE(YEAR($A2466),MONTH($A2466)+IF(AND(IFERROR(N(INDEX(Übersicht!$M$15:$M$22,MATCH($B2466,Übersicht!$A$15:$A$22,0))),0)&gt;1,DAY($A2466)&gt;=IFERROR(N(INDEX(Übersicht!$M$15:$M$22,MATCH($B2466,Übersicht!$A$15:$A$22,0))),0)),1,0),1))</f>
        <v/>
      </c>
    </row>
    <row r="2467">
      <c r="A2467" s="92" t="n"/>
      <c r="B2467" s="55" t="n"/>
      <c r="C2467" s="55" t="n"/>
      <c r="D2467" s="55" t="n"/>
      <c r="E2467" s="93" t="n"/>
      <c r="F2467" s="94" t="n"/>
      <c r="G2467" s="94" t="n"/>
      <c r="H2467" s="94" t="n"/>
      <c r="I2467" s="94" t="n"/>
      <c r="J2467" s="55" t="n"/>
      <c r="K2467" s="95" t="n"/>
      <c r="L2467" s="116">
        <f>IF($A2467="","",DATE(YEAR($A2467),MONTH($A2467)+IF(AND(IFERROR(N(INDEX(Übersicht!$M$15:$M$22,MATCH($B2467,Übersicht!$A$15:$A$22,0))),0)&gt;1,DAY($A2467)&gt;=IFERROR(N(INDEX(Übersicht!$M$15:$M$22,MATCH($B2467,Übersicht!$A$15:$A$22,0))),0)),1,0),1))</f>
        <v/>
      </c>
    </row>
    <row r="2468">
      <c r="A2468" s="92" t="n"/>
      <c r="B2468" s="55" t="n"/>
      <c r="C2468" s="55" t="n"/>
      <c r="D2468" s="55" t="n"/>
      <c r="E2468" s="93" t="n"/>
      <c r="F2468" s="94" t="n"/>
      <c r="G2468" s="94" t="n"/>
      <c r="H2468" s="94" t="n"/>
      <c r="I2468" s="94" t="n"/>
      <c r="J2468" s="55" t="n"/>
      <c r="K2468" s="95" t="n"/>
      <c r="L2468" s="116">
        <f>IF($A2468="","",DATE(YEAR($A2468),MONTH($A2468)+IF(AND(IFERROR(N(INDEX(Übersicht!$M$15:$M$22,MATCH($B2468,Übersicht!$A$15:$A$22,0))),0)&gt;1,DAY($A2468)&gt;=IFERROR(N(INDEX(Übersicht!$M$15:$M$22,MATCH($B2468,Übersicht!$A$15:$A$22,0))),0)),1,0),1))</f>
        <v/>
      </c>
    </row>
    <row r="2469">
      <c r="A2469" s="92" t="n"/>
      <c r="B2469" s="55" t="n"/>
      <c r="C2469" s="55" t="n"/>
      <c r="D2469" s="55" t="n"/>
      <c r="E2469" s="93" t="n"/>
      <c r="F2469" s="94" t="n"/>
      <c r="G2469" s="94" t="n"/>
      <c r="H2469" s="94" t="n"/>
      <c r="I2469" s="94" t="n"/>
      <c r="J2469" s="55" t="n"/>
      <c r="K2469" s="95" t="n"/>
      <c r="L2469" s="116">
        <f>IF($A2469="","",DATE(YEAR($A2469),MONTH($A2469)+IF(AND(IFERROR(N(INDEX(Übersicht!$M$15:$M$22,MATCH($B2469,Übersicht!$A$15:$A$22,0))),0)&gt;1,DAY($A2469)&gt;=IFERROR(N(INDEX(Übersicht!$M$15:$M$22,MATCH($B2469,Übersicht!$A$15:$A$22,0))),0)),1,0),1))</f>
        <v/>
      </c>
    </row>
    <row r="2470">
      <c r="A2470" s="92" t="n"/>
      <c r="B2470" s="55" t="n"/>
      <c r="C2470" s="55" t="n"/>
      <c r="D2470" s="55" t="n"/>
      <c r="E2470" s="93" t="n"/>
      <c r="F2470" s="94" t="n"/>
      <c r="G2470" s="94" t="n"/>
      <c r="H2470" s="94" t="n"/>
      <c r="I2470" s="94" t="n"/>
      <c r="J2470" s="55" t="n"/>
      <c r="K2470" s="95" t="n"/>
      <c r="L2470" s="116">
        <f>IF($A2470="","",DATE(YEAR($A2470),MONTH($A2470)+IF(AND(IFERROR(N(INDEX(Übersicht!$M$15:$M$22,MATCH($B2470,Übersicht!$A$15:$A$22,0))),0)&gt;1,DAY($A2470)&gt;=IFERROR(N(INDEX(Übersicht!$M$15:$M$22,MATCH($B2470,Übersicht!$A$15:$A$22,0))),0)),1,0),1))</f>
        <v/>
      </c>
    </row>
    <row r="2471">
      <c r="A2471" s="92" t="n"/>
      <c r="B2471" s="55" t="n"/>
      <c r="C2471" s="55" t="n"/>
      <c r="D2471" s="55" t="n"/>
      <c r="E2471" s="93" t="n"/>
      <c r="F2471" s="94" t="n"/>
      <c r="G2471" s="94" t="n"/>
      <c r="H2471" s="94" t="n"/>
      <c r="I2471" s="94" t="n"/>
      <c r="J2471" s="55" t="n"/>
      <c r="K2471" s="95" t="n"/>
      <c r="L2471" s="116">
        <f>IF($A2471="","",DATE(YEAR($A2471),MONTH($A2471)+IF(AND(IFERROR(N(INDEX(Übersicht!$M$15:$M$22,MATCH($B2471,Übersicht!$A$15:$A$22,0))),0)&gt;1,DAY($A2471)&gt;=IFERROR(N(INDEX(Übersicht!$M$15:$M$22,MATCH($B2471,Übersicht!$A$15:$A$22,0))),0)),1,0),1))</f>
        <v/>
      </c>
    </row>
    <row r="2472">
      <c r="A2472" s="92" t="n"/>
      <c r="B2472" s="55" t="n"/>
      <c r="C2472" s="55" t="n"/>
      <c r="D2472" s="55" t="n"/>
      <c r="E2472" s="93" t="n"/>
      <c r="F2472" s="94" t="n"/>
      <c r="G2472" s="94" t="n"/>
      <c r="H2472" s="94" t="n"/>
      <c r="I2472" s="94" t="n"/>
      <c r="J2472" s="55" t="n"/>
      <c r="K2472" s="95" t="n"/>
      <c r="L2472" s="116">
        <f>IF($A2472="","",DATE(YEAR($A2472),MONTH($A2472)+IF(AND(IFERROR(N(INDEX(Übersicht!$M$15:$M$22,MATCH($B2472,Übersicht!$A$15:$A$22,0))),0)&gt;1,DAY($A2472)&gt;=IFERROR(N(INDEX(Übersicht!$M$15:$M$22,MATCH($B2472,Übersicht!$A$15:$A$22,0))),0)),1,0),1))</f>
        <v/>
      </c>
    </row>
    <row r="2473">
      <c r="A2473" s="92" t="n"/>
      <c r="B2473" s="55" t="n"/>
      <c r="C2473" s="55" t="n"/>
      <c r="D2473" s="55" t="n"/>
      <c r="E2473" s="93" t="n"/>
      <c r="F2473" s="94" t="n"/>
      <c r="G2473" s="94" t="n"/>
      <c r="H2473" s="94" t="n"/>
      <c r="I2473" s="94" t="n"/>
      <c r="J2473" s="55" t="n"/>
      <c r="K2473" s="95" t="n"/>
      <c r="L2473" s="116">
        <f>IF($A2473="","",DATE(YEAR($A2473),MONTH($A2473)+IF(AND(IFERROR(N(INDEX(Übersicht!$M$15:$M$22,MATCH($B2473,Übersicht!$A$15:$A$22,0))),0)&gt;1,DAY($A2473)&gt;=IFERROR(N(INDEX(Übersicht!$M$15:$M$22,MATCH($B2473,Übersicht!$A$15:$A$22,0))),0)),1,0),1))</f>
        <v/>
      </c>
    </row>
    <row r="2474">
      <c r="A2474" s="92" t="n"/>
      <c r="B2474" s="55" t="n"/>
      <c r="C2474" s="55" t="n"/>
      <c r="D2474" s="55" t="n"/>
      <c r="E2474" s="93" t="n"/>
      <c r="F2474" s="94" t="n"/>
      <c r="G2474" s="94" t="n"/>
      <c r="H2474" s="94" t="n"/>
      <c r="I2474" s="94" t="n"/>
      <c r="J2474" s="55" t="n"/>
      <c r="K2474" s="95" t="n"/>
      <c r="L2474" s="116">
        <f>IF($A2474="","",DATE(YEAR($A2474),MONTH($A2474)+IF(AND(IFERROR(N(INDEX(Übersicht!$M$15:$M$22,MATCH($B2474,Übersicht!$A$15:$A$22,0))),0)&gt;1,DAY($A2474)&gt;=IFERROR(N(INDEX(Übersicht!$M$15:$M$22,MATCH($B2474,Übersicht!$A$15:$A$22,0))),0)),1,0),1))</f>
        <v/>
      </c>
    </row>
    <row r="2475">
      <c r="A2475" s="92" t="n"/>
      <c r="B2475" s="55" t="n"/>
      <c r="C2475" s="55" t="n"/>
      <c r="D2475" s="55" t="n"/>
      <c r="E2475" s="93" t="n"/>
      <c r="F2475" s="94" t="n"/>
      <c r="G2475" s="94" t="n"/>
      <c r="H2475" s="94" t="n"/>
      <c r="I2475" s="94" t="n"/>
      <c r="J2475" s="55" t="n"/>
      <c r="K2475" s="95" t="n"/>
      <c r="L2475" s="116">
        <f>IF($A2475="","",DATE(YEAR($A2475),MONTH($A2475)+IF(AND(IFERROR(N(INDEX(Übersicht!$M$15:$M$22,MATCH($B2475,Übersicht!$A$15:$A$22,0))),0)&gt;1,DAY($A2475)&gt;=IFERROR(N(INDEX(Übersicht!$M$15:$M$22,MATCH($B2475,Übersicht!$A$15:$A$22,0))),0)),1,0),1))</f>
        <v/>
      </c>
    </row>
    <row r="2476">
      <c r="A2476" s="92" t="n"/>
      <c r="B2476" s="55" t="n"/>
      <c r="C2476" s="55" t="n"/>
      <c r="D2476" s="55" t="n"/>
      <c r="E2476" s="93" t="n"/>
      <c r="F2476" s="94" t="n"/>
      <c r="G2476" s="94" t="n"/>
      <c r="H2476" s="94" t="n"/>
      <c r="I2476" s="94" t="n"/>
      <c r="J2476" s="55" t="n"/>
      <c r="K2476" s="95" t="n"/>
      <c r="L2476" s="116">
        <f>IF($A2476="","",DATE(YEAR($A2476),MONTH($A2476)+IF(AND(IFERROR(N(INDEX(Übersicht!$M$15:$M$22,MATCH($B2476,Übersicht!$A$15:$A$22,0))),0)&gt;1,DAY($A2476)&gt;=IFERROR(N(INDEX(Übersicht!$M$15:$M$22,MATCH($B2476,Übersicht!$A$15:$A$22,0))),0)),1,0),1))</f>
        <v/>
      </c>
    </row>
    <row r="2477">
      <c r="A2477" s="92" t="n"/>
      <c r="B2477" s="55" t="n"/>
      <c r="C2477" s="55" t="n"/>
      <c r="D2477" s="55" t="n"/>
      <c r="E2477" s="93" t="n"/>
      <c r="F2477" s="94" t="n"/>
      <c r="G2477" s="94" t="n"/>
      <c r="H2477" s="94" t="n"/>
      <c r="I2477" s="94" t="n"/>
      <c r="J2477" s="55" t="n"/>
      <c r="K2477" s="95" t="n"/>
      <c r="L2477" s="116">
        <f>IF($A2477="","",DATE(YEAR($A2477),MONTH($A2477)+IF(AND(IFERROR(N(INDEX(Übersicht!$M$15:$M$22,MATCH($B2477,Übersicht!$A$15:$A$22,0))),0)&gt;1,DAY($A2477)&gt;=IFERROR(N(INDEX(Übersicht!$M$15:$M$22,MATCH($B2477,Übersicht!$A$15:$A$22,0))),0)),1,0),1))</f>
        <v/>
      </c>
    </row>
    <row r="2478">
      <c r="A2478" s="92" t="n"/>
      <c r="B2478" s="55" t="n"/>
      <c r="C2478" s="55" t="n"/>
      <c r="D2478" s="55" t="n"/>
      <c r="E2478" s="93" t="n"/>
      <c r="F2478" s="94" t="n"/>
      <c r="G2478" s="94" t="n"/>
      <c r="H2478" s="94" t="n"/>
      <c r="I2478" s="94" t="n"/>
      <c r="J2478" s="55" t="n"/>
      <c r="K2478" s="95" t="n"/>
      <c r="L2478" s="116">
        <f>IF($A2478="","",DATE(YEAR($A2478),MONTH($A2478)+IF(AND(IFERROR(N(INDEX(Übersicht!$M$15:$M$22,MATCH($B2478,Übersicht!$A$15:$A$22,0))),0)&gt;1,DAY($A2478)&gt;=IFERROR(N(INDEX(Übersicht!$M$15:$M$22,MATCH($B2478,Übersicht!$A$15:$A$22,0))),0)),1,0),1))</f>
        <v/>
      </c>
    </row>
    <row r="2479">
      <c r="A2479" s="92" t="n"/>
      <c r="B2479" s="55" t="n"/>
      <c r="C2479" s="55" t="n"/>
      <c r="D2479" s="55" t="n"/>
      <c r="E2479" s="93" t="n"/>
      <c r="F2479" s="94" t="n"/>
      <c r="G2479" s="94" t="n"/>
      <c r="H2479" s="94" t="n"/>
      <c r="I2479" s="94" t="n"/>
      <c r="J2479" s="55" t="n"/>
      <c r="K2479" s="95" t="n"/>
      <c r="L2479" s="116">
        <f>IF($A2479="","",DATE(YEAR($A2479),MONTH($A2479)+IF(AND(IFERROR(N(INDEX(Übersicht!$M$15:$M$22,MATCH($B2479,Übersicht!$A$15:$A$22,0))),0)&gt;1,DAY($A2479)&gt;=IFERROR(N(INDEX(Übersicht!$M$15:$M$22,MATCH($B2479,Übersicht!$A$15:$A$22,0))),0)),1,0),1))</f>
        <v/>
      </c>
    </row>
    <row r="2480">
      <c r="A2480" s="92" t="n"/>
      <c r="B2480" s="55" t="n"/>
      <c r="C2480" s="55" t="n"/>
      <c r="D2480" s="55" t="n"/>
      <c r="E2480" s="93" t="n"/>
      <c r="F2480" s="94" t="n"/>
      <c r="G2480" s="94" t="n"/>
      <c r="H2480" s="94" t="n"/>
      <c r="I2480" s="94" t="n"/>
      <c r="J2480" s="55" t="n"/>
      <c r="K2480" s="95" t="n"/>
      <c r="L2480" s="116">
        <f>IF($A2480="","",DATE(YEAR($A2480),MONTH($A2480)+IF(AND(IFERROR(N(INDEX(Übersicht!$M$15:$M$22,MATCH($B2480,Übersicht!$A$15:$A$22,0))),0)&gt;1,DAY($A2480)&gt;=IFERROR(N(INDEX(Übersicht!$M$15:$M$22,MATCH($B2480,Übersicht!$A$15:$A$22,0))),0)),1,0),1))</f>
        <v/>
      </c>
    </row>
    <row r="2481">
      <c r="A2481" s="92" t="n"/>
      <c r="B2481" s="55" t="n"/>
      <c r="C2481" s="55" t="n"/>
      <c r="D2481" s="55" t="n"/>
      <c r="E2481" s="93" t="n"/>
      <c r="F2481" s="94" t="n"/>
      <c r="G2481" s="94" t="n"/>
      <c r="H2481" s="94" t="n"/>
      <c r="I2481" s="94" t="n"/>
      <c r="J2481" s="55" t="n"/>
      <c r="K2481" s="95" t="n"/>
      <c r="L2481" s="116">
        <f>IF($A2481="","",DATE(YEAR($A2481),MONTH($A2481)+IF(AND(IFERROR(N(INDEX(Übersicht!$M$15:$M$22,MATCH($B2481,Übersicht!$A$15:$A$22,0))),0)&gt;1,DAY($A2481)&gt;=IFERROR(N(INDEX(Übersicht!$M$15:$M$22,MATCH($B2481,Übersicht!$A$15:$A$22,0))),0)),1,0),1))</f>
        <v/>
      </c>
    </row>
    <row r="2482">
      <c r="A2482" s="92" t="n"/>
      <c r="B2482" s="55" t="n"/>
      <c r="C2482" s="55" t="n"/>
      <c r="D2482" s="55" t="n"/>
      <c r="E2482" s="93" t="n"/>
      <c r="F2482" s="94" t="n"/>
      <c r="G2482" s="94" t="n"/>
      <c r="H2482" s="94" t="n"/>
      <c r="I2482" s="94" t="n"/>
      <c r="J2482" s="55" t="n"/>
      <c r="K2482" s="95" t="n"/>
      <c r="L2482" s="116">
        <f>IF($A2482="","",DATE(YEAR($A2482),MONTH($A2482)+IF(AND(IFERROR(N(INDEX(Übersicht!$M$15:$M$22,MATCH($B2482,Übersicht!$A$15:$A$22,0))),0)&gt;1,DAY($A2482)&gt;=IFERROR(N(INDEX(Übersicht!$M$15:$M$22,MATCH($B2482,Übersicht!$A$15:$A$22,0))),0)),1,0),1))</f>
        <v/>
      </c>
    </row>
    <row r="2483">
      <c r="A2483" s="92" t="n"/>
      <c r="B2483" s="55" t="n"/>
      <c r="C2483" s="55" t="n"/>
      <c r="D2483" s="55" t="n"/>
      <c r="E2483" s="93" t="n"/>
      <c r="F2483" s="94" t="n"/>
      <c r="G2483" s="94" t="n"/>
      <c r="H2483" s="94" t="n"/>
      <c r="I2483" s="94" t="n"/>
      <c r="J2483" s="55" t="n"/>
      <c r="K2483" s="95" t="n"/>
      <c r="L2483" s="116">
        <f>IF($A2483="","",DATE(YEAR($A2483),MONTH($A2483)+IF(AND(IFERROR(N(INDEX(Übersicht!$M$15:$M$22,MATCH($B2483,Übersicht!$A$15:$A$22,0))),0)&gt;1,DAY($A2483)&gt;=IFERROR(N(INDEX(Übersicht!$M$15:$M$22,MATCH($B2483,Übersicht!$A$15:$A$22,0))),0)),1,0),1))</f>
        <v/>
      </c>
    </row>
    <row r="2484">
      <c r="A2484" s="92" t="n"/>
      <c r="B2484" s="55" t="n"/>
      <c r="C2484" s="55" t="n"/>
      <c r="D2484" s="55" t="n"/>
      <c r="E2484" s="93" t="n"/>
      <c r="F2484" s="94" t="n"/>
      <c r="G2484" s="94" t="n"/>
      <c r="H2484" s="94" t="n"/>
      <c r="I2484" s="94" t="n"/>
      <c r="J2484" s="55" t="n"/>
      <c r="K2484" s="95" t="n"/>
      <c r="L2484" s="116">
        <f>IF($A2484="","",DATE(YEAR($A2484),MONTH($A2484)+IF(AND(IFERROR(N(INDEX(Übersicht!$M$15:$M$22,MATCH($B2484,Übersicht!$A$15:$A$22,0))),0)&gt;1,DAY($A2484)&gt;=IFERROR(N(INDEX(Übersicht!$M$15:$M$22,MATCH($B2484,Übersicht!$A$15:$A$22,0))),0)),1,0),1))</f>
        <v/>
      </c>
    </row>
    <row r="2485">
      <c r="A2485" s="92" t="n"/>
      <c r="B2485" s="55" t="n"/>
      <c r="C2485" s="55" t="n"/>
      <c r="D2485" s="55" t="n"/>
      <c r="E2485" s="93" t="n"/>
      <c r="F2485" s="94" t="n"/>
      <c r="G2485" s="94" t="n"/>
      <c r="H2485" s="94" t="n"/>
      <c r="I2485" s="94" t="n"/>
      <c r="J2485" s="55" t="n"/>
      <c r="K2485" s="95" t="n"/>
      <c r="L2485" s="116">
        <f>IF($A2485="","",DATE(YEAR($A2485),MONTH($A2485)+IF(AND(IFERROR(N(INDEX(Übersicht!$M$15:$M$22,MATCH($B2485,Übersicht!$A$15:$A$22,0))),0)&gt;1,DAY($A2485)&gt;=IFERROR(N(INDEX(Übersicht!$M$15:$M$22,MATCH($B2485,Übersicht!$A$15:$A$22,0))),0)),1,0),1))</f>
        <v/>
      </c>
    </row>
    <row r="2486">
      <c r="A2486" s="92" t="n"/>
      <c r="B2486" s="55" t="n"/>
      <c r="C2486" s="55" t="n"/>
      <c r="D2486" s="55" t="n"/>
      <c r="E2486" s="93" t="n"/>
      <c r="F2486" s="94" t="n"/>
      <c r="G2486" s="94" t="n"/>
      <c r="H2486" s="94" t="n"/>
      <c r="I2486" s="94" t="n"/>
      <c r="J2486" s="55" t="n"/>
      <c r="K2486" s="95" t="n"/>
      <c r="L2486" s="116">
        <f>IF($A2486="","",DATE(YEAR($A2486),MONTH($A2486)+IF(AND(IFERROR(N(INDEX(Übersicht!$M$15:$M$22,MATCH($B2486,Übersicht!$A$15:$A$22,0))),0)&gt;1,DAY($A2486)&gt;=IFERROR(N(INDEX(Übersicht!$M$15:$M$22,MATCH($B2486,Übersicht!$A$15:$A$22,0))),0)),1,0),1))</f>
        <v/>
      </c>
    </row>
    <row r="2487">
      <c r="A2487" s="92" t="n"/>
      <c r="B2487" s="55" t="n"/>
      <c r="C2487" s="55" t="n"/>
      <c r="D2487" s="55" t="n"/>
      <c r="E2487" s="93" t="n"/>
      <c r="F2487" s="94" t="n"/>
      <c r="G2487" s="94" t="n"/>
      <c r="H2487" s="94" t="n"/>
      <c r="I2487" s="94" t="n"/>
      <c r="J2487" s="55" t="n"/>
      <c r="K2487" s="95" t="n"/>
      <c r="L2487" s="116">
        <f>IF($A2487="","",DATE(YEAR($A2487),MONTH($A2487)+IF(AND(IFERROR(N(INDEX(Übersicht!$M$15:$M$22,MATCH($B2487,Übersicht!$A$15:$A$22,0))),0)&gt;1,DAY($A2487)&gt;=IFERROR(N(INDEX(Übersicht!$M$15:$M$22,MATCH($B2487,Übersicht!$A$15:$A$22,0))),0)),1,0),1))</f>
        <v/>
      </c>
    </row>
    <row r="2488">
      <c r="A2488" s="92" t="n"/>
      <c r="B2488" s="55" t="n"/>
      <c r="C2488" s="55" t="n"/>
      <c r="D2488" s="55" t="n"/>
      <c r="E2488" s="93" t="n"/>
      <c r="F2488" s="94" t="n"/>
      <c r="G2488" s="94" t="n"/>
      <c r="H2488" s="94" t="n"/>
      <c r="I2488" s="94" t="n"/>
      <c r="J2488" s="55" t="n"/>
      <c r="K2488" s="95" t="n"/>
      <c r="L2488" s="116">
        <f>IF($A2488="","",DATE(YEAR($A2488),MONTH($A2488)+IF(AND(IFERROR(N(INDEX(Übersicht!$M$15:$M$22,MATCH($B2488,Übersicht!$A$15:$A$22,0))),0)&gt;1,DAY($A2488)&gt;=IFERROR(N(INDEX(Übersicht!$M$15:$M$22,MATCH($B2488,Übersicht!$A$15:$A$22,0))),0)),1,0),1))</f>
        <v/>
      </c>
    </row>
    <row r="2489">
      <c r="A2489" s="92" t="n"/>
      <c r="B2489" s="55" t="n"/>
      <c r="C2489" s="55" t="n"/>
      <c r="D2489" s="55" t="n"/>
      <c r="E2489" s="93" t="n"/>
      <c r="F2489" s="94" t="n"/>
      <c r="G2489" s="94" t="n"/>
      <c r="H2489" s="94" t="n"/>
      <c r="I2489" s="94" t="n"/>
      <c r="J2489" s="55" t="n"/>
      <c r="K2489" s="95" t="n"/>
      <c r="L2489" s="116">
        <f>IF($A2489="","",DATE(YEAR($A2489),MONTH($A2489)+IF(AND(IFERROR(N(INDEX(Übersicht!$M$15:$M$22,MATCH($B2489,Übersicht!$A$15:$A$22,0))),0)&gt;1,DAY($A2489)&gt;=IFERROR(N(INDEX(Übersicht!$M$15:$M$22,MATCH($B2489,Übersicht!$A$15:$A$22,0))),0)),1,0),1))</f>
        <v/>
      </c>
    </row>
    <row r="2490">
      <c r="A2490" s="92" t="n"/>
      <c r="B2490" s="55" t="n"/>
      <c r="C2490" s="55" t="n"/>
      <c r="D2490" s="55" t="n"/>
      <c r="E2490" s="93" t="n"/>
      <c r="F2490" s="94" t="n"/>
      <c r="G2490" s="94" t="n"/>
      <c r="H2490" s="94" t="n"/>
      <c r="I2490" s="94" t="n"/>
      <c r="J2490" s="55" t="n"/>
      <c r="K2490" s="95" t="n"/>
      <c r="L2490" s="116">
        <f>IF($A2490="","",DATE(YEAR($A2490),MONTH($A2490)+IF(AND(IFERROR(N(INDEX(Übersicht!$M$15:$M$22,MATCH($B2490,Übersicht!$A$15:$A$22,0))),0)&gt;1,DAY($A2490)&gt;=IFERROR(N(INDEX(Übersicht!$M$15:$M$22,MATCH($B2490,Übersicht!$A$15:$A$22,0))),0)),1,0),1))</f>
        <v/>
      </c>
    </row>
    <row r="2491">
      <c r="A2491" s="92" t="n"/>
      <c r="B2491" s="55" t="n"/>
      <c r="C2491" s="55" t="n"/>
      <c r="D2491" s="55" t="n"/>
      <c r="E2491" s="93" t="n"/>
      <c r="F2491" s="94" t="n"/>
      <c r="G2491" s="94" t="n"/>
      <c r="H2491" s="94" t="n"/>
      <c r="I2491" s="94" t="n"/>
      <c r="J2491" s="55" t="n"/>
      <c r="K2491" s="95" t="n"/>
      <c r="L2491" s="116">
        <f>IF($A2491="","",DATE(YEAR($A2491),MONTH($A2491)+IF(AND(IFERROR(N(INDEX(Übersicht!$M$15:$M$22,MATCH($B2491,Übersicht!$A$15:$A$22,0))),0)&gt;1,DAY($A2491)&gt;=IFERROR(N(INDEX(Übersicht!$M$15:$M$22,MATCH($B2491,Übersicht!$A$15:$A$22,0))),0)),1,0),1))</f>
        <v/>
      </c>
    </row>
    <row r="2492">
      <c r="A2492" s="92" t="n"/>
      <c r="B2492" s="55" t="n"/>
      <c r="C2492" s="55" t="n"/>
      <c r="D2492" s="55" t="n"/>
      <c r="E2492" s="93" t="n"/>
      <c r="F2492" s="94" t="n"/>
      <c r="G2492" s="94" t="n"/>
      <c r="H2492" s="94" t="n"/>
      <c r="I2492" s="94" t="n"/>
      <c r="J2492" s="55" t="n"/>
      <c r="K2492" s="95" t="n"/>
      <c r="L2492" s="116">
        <f>IF($A2492="","",DATE(YEAR($A2492),MONTH($A2492)+IF(AND(IFERROR(N(INDEX(Übersicht!$M$15:$M$22,MATCH($B2492,Übersicht!$A$15:$A$22,0))),0)&gt;1,DAY($A2492)&gt;=IFERROR(N(INDEX(Übersicht!$M$15:$M$22,MATCH($B2492,Übersicht!$A$15:$A$22,0))),0)),1,0),1))</f>
        <v/>
      </c>
    </row>
    <row r="2493">
      <c r="A2493" s="92" t="n"/>
      <c r="B2493" s="55" t="n"/>
      <c r="C2493" s="55" t="n"/>
      <c r="D2493" s="55" t="n"/>
      <c r="E2493" s="93" t="n"/>
      <c r="F2493" s="94" t="n"/>
      <c r="G2493" s="94" t="n"/>
      <c r="H2493" s="94" t="n"/>
      <c r="I2493" s="94" t="n"/>
      <c r="J2493" s="55" t="n"/>
      <c r="K2493" s="95" t="n"/>
      <c r="L2493" s="116">
        <f>IF($A2493="","",DATE(YEAR($A2493),MONTH($A2493)+IF(AND(IFERROR(N(INDEX(Übersicht!$M$15:$M$22,MATCH($B2493,Übersicht!$A$15:$A$22,0))),0)&gt;1,DAY($A2493)&gt;=IFERROR(N(INDEX(Übersicht!$M$15:$M$22,MATCH($B2493,Übersicht!$A$15:$A$22,0))),0)),1,0),1))</f>
        <v/>
      </c>
    </row>
    <row r="2494">
      <c r="A2494" s="92" t="n"/>
      <c r="B2494" s="55" t="n"/>
      <c r="C2494" s="55" t="n"/>
      <c r="D2494" s="55" t="n"/>
      <c r="E2494" s="93" t="n"/>
      <c r="F2494" s="94" t="n"/>
      <c r="G2494" s="94" t="n"/>
      <c r="H2494" s="94" t="n"/>
      <c r="I2494" s="94" t="n"/>
      <c r="J2494" s="55" t="n"/>
      <c r="K2494" s="95" t="n"/>
      <c r="L2494" s="116">
        <f>IF($A2494="","",DATE(YEAR($A2494),MONTH($A2494)+IF(AND(IFERROR(N(INDEX(Übersicht!$M$15:$M$22,MATCH($B2494,Übersicht!$A$15:$A$22,0))),0)&gt;1,DAY($A2494)&gt;=IFERROR(N(INDEX(Übersicht!$M$15:$M$22,MATCH($B2494,Übersicht!$A$15:$A$22,0))),0)),1,0),1))</f>
        <v/>
      </c>
    </row>
    <row r="2495">
      <c r="A2495" s="92" t="n"/>
      <c r="B2495" s="55" t="n"/>
      <c r="C2495" s="55" t="n"/>
      <c r="D2495" s="55" t="n"/>
      <c r="E2495" s="93" t="n"/>
      <c r="F2495" s="94" t="n"/>
      <c r="G2495" s="94" t="n"/>
      <c r="H2495" s="94" t="n"/>
      <c r="I2495" s="94" t="n"/>
      <c r="J2495" s="55" t="n"/>
      <c r="K2495" s="95" t="n"/>
      <c r="L2495" s="116">
        <f>IF($A2495="","",DATE(YEAR($A2495),MONTH($A2495)+IF(AND(IFERROR(N(INDEX(Übersicht!$M$15:$M$22,MATCH($B2495,Übersicht!$A$15:$A$22,0))),0)&gt;1,DAY($A2495)&gt;=IFERROR(N(INDEX(Übersicht!$M$15:$M$22,MATCH($B2495,Übersicht!$A$15:$A$22,0))),0)),1,0),1))</f>
        <v/>
      </c>
    </row>
    <row r="2496">
      <c r="A2496" s="92" t="n"/>
      <c r="B2496" s="55" t="n"/>
      <c r="C2496" s="55" t="n"/>
      <c r="D2496" s="55" t="n"/>
      <c r="E2496" s="93" t="n"/>
      <c r="F2496" s="94" t="n"/>
      <c r="G2496" s="94" t="n"/>
      <c r="H2496" s="94" t="n"/>
      <c r="I2496" s="94" t="n"/>
      <c r="J2496" s="55" t="n"/>
      <c r="K2496" s="95" t="n"/>
      <c r="L2496" s="116">
        <f>IF($A2496="","",DATE(YEAR($A2496),MONTH($A2496)+IF(AND(IFERROR(N(INDEX(Übersicht!$M$15:$M$22,MATCH($B2496,Übersicht!$A$15:$A$22,0))),0)&gt;1,DAY($A2496)&gt;=IFERROR(N(INDEX(Übersicht!$M$15:$M$22,MATCH($B2496,Übersicht!$A$15:$A$22,0))),0)),1,0),1))</f>
        <v/>
      </c>
    </row>
    <row r="2497">
      <c r="A2497" s="92" t="n"/>
      <c r="B2497" s="55" t="n"/>
      <c r="C2497" s="55" t="n"/>
      <c r="D2497" s="55" t="n"/>
      <c r="E2497" s="93" t="n"/>
      <c r="F2497" s="94" t="n"/>
      <c r="G2497" s="94" t="n"/>
      <c r="H2497" s="94" t="n"/>
      <c r="I2497" s="94" t="n"/>
      <c r="J2497" s="55" t="n"/>
      <c r="K2497" s="95" t="n"/>
      <c r="L2497" s="116">
        <f>IF($A2497="","",DATE(YEAR($A2497),MONTH($A2497)+IF(AND(IFERROR(N(INDEX(Übersicht!$M$15:$M$22,MATCH($B2497,Übersicht!$A$15:$A$22,0))),0)&gt;1,DAY($A2497)&gt;=IFERROR(N(INDEX(Übersicht!$M$15:$M$22,MATCH($B2497,Übersicht!$A$15:$A$22,0))),0)),1,0),1))</f>
        <v/>
      </c>
    </row>
    <row r="2498">
      <c r="A2498" s="92" t="n"/>
      <c r="B2498" s="55" t="n"/>
      <c r="C2498" s="55" t="n"/>
      <c r="D2498" s="55" t="n"/>
      <c r="E2498" s="93" t="n"/>
      <c r="F2498" s="94" t="n"/>
      <c r="G2498" s="94" t="n"/>
      <c r="H2498" s="94" t="n"/>
      <c r="I2498" s="94" t="n"/>
      <c r="J2498" s="55" t="n"/>
      <c r="K2498" s="95" t="n"/>
      <c r="L2498" s="116">
        <f>IF($A2498="","",DATE(YEAR($A2498),MONTH($A2498)+IF(AND(IFERROR(N(INDEX(Übersicht!$M$15:$M$22,MATCH($B2498,Übersicht!$A$15:$A$22,0))),0)&gt;1,DAY($A2498)&gt;=IFERROR(N(INDEX(Übersicht!$M$15:$M$22,MATCH($B2498,Übersicht!$A$15:$A$22,0))),0)),1,0),1))</f>
        <v/>
      </c>
    </row>
    <row r="2499">
      <c r="A2499" s="92" t="n"/>
      <c r="B2499" s="55" t="n"/>
      <c r="C2499" s="55" t="n"/>
      <c r="D2499" s="55" t="n"/>
      <c r="E2499" s="93" t="n"/>
      <c r="F2499" s="94" t="n"/>
      <c r="G2499" s="94" t="n"/>
      <c r="H2499" s="94" t="n"/>
      <c r="I2499" s="94" t="n"/>
      <c r="J2499" s="55" t="n"/>
      <c r="K2499" s="95" t="n"/>
      <c r="L2499" s="116">
        <f>IF($A2499="","",DATE(YEAR($A2499),MONTH($A2499)+IF(AND(IFERROR(N(INDEX(Übersicht!$M$15:$M$22,MATCH($B2499,Übersicht!$A$15:$A$22,0))),0)&gt;1,DAY($A2499)&gt;=IFERROR(N(INDEX(Übersicht!$M$15:$M$22,MATCH($B2499,Übersicht!$A$15:$A$22,0))),0)),1,0),1))</f>
        <v/>
      </c>
    </row>
    <row r="2500">
      <c r="A2500" s="92" t="n"/>
      <c r="B2500" s="55" t="n"/>
      <c r="C2500" s="55" t="n"/>
      <c r="D2500" s="55" t="n"/>
      <c r="E2500" s="93" t="n"/>
      <c r="F2500" s="94" t="n"/>
      <c r="G2500" s="94" t="n"/>
      <c r="H2500" s="94" t="n"/>
      <c r="I2500" s="94" t="n"/>
      <c r="J2500" s="55" t="n"/>
      <c r="K2500" s="95" t="n"/>
      <c r="L2500" s="116">
        <f>IF($A2500="","",DATE(YEAR($A2500),MONTH($A2500)+IF(AND(IFERROR(N(INDEX(Übersicht!$M$15:$M$22,MATCH($B2500,Übersicht!$A$15:$A$22,0))),0)&gt;1,DAY($A2500)&gt;=IFERROR(N(INDEX(Übersicht!$M$15:$M$22,MATCH($B2500,Übersicht!$A$15:$A$22,0))),0)),1,0),1))</f>
        <v/>
      </c>
    </row>
    <row r="2501">
      <c r="A2501" s="92" t="n"/>
      <c r="B2501" s="55" t="n"/>
      <c r="C2501" s="55" t="n"/>
      <c r="D2501" s="55" t="n"/>
      <c r="E2501" s="93" t="n"/>
      <c r="F2501" s="94" t="n"/>
      <c r="G2501" s="94" t="n"/>
      <c r="H2501" s="94" t="n"/>
      <c r="I2501" s="94" t="n"/>
      <c r="J2501" s="55" t="n"/>
      <c r="K2501" s="95" t="n"/>
      <c r="L2501" s="116">
        <f>IF($A2501="","",DATE(YEAR($A2501),MONTH($A2501)+IF(AND(IFERROR(N(INDEX(Übersicht!$M$15:$M$22,MATCH($B2501,Übersicht!$A$15:$A$22,0))),0)&gt;1,DAY($A2501)&gt;=IFERROR(N(INDEX(Übersicht!$M$15:$M$22,MATCH($B2501,Übersicht!$A$15:$A$22,0))),0)),1,0),1))</f>
        <v/>
      </c>
    </row>
    <row r="2502">
      <c r="A2502" s="92" t="n"/>
      <c r="B2502" s="55" t="n"/>
      <c r="C2502" s="55" t="n"/>
      <c r="D2502" s="55" t="n"/>
      <c r="E2502" s="93" t="n"/>
      <c r="F2502" s="94" t="n"/>
      <c r="G2502" s="94" t="n"/>
      <c r="H2502" s="94" t="n"/>
      <c r="I2502" s="94" t="n"/>
      <c r="J2502" s="55" t="n"/>
      <c r="K2502" s="95" t="n"/>
      <c r="L2502" s="116">
        <f>IF($A2502="","",DATE(YEAR($A2502),MONTH($A2502)+IF(AND(IFERROR(N(INDEX(Übersicht!$M$15:$M$22,MATCH($B2502,Übersicht!$A$15:$A$22,0))),0)&gt;1,DAY($A2502)&gt;=IFERROR(N(INDEX(Übersicht!$M$15:$M$22,MATCH($B2502,Übersicht!$A$15:$A$22,0))),0)),1,0),1))</f>
        <v/>
      </c>
    </row>
    <row r="2503">
      <c r="A2503" s="92" t="n"/>
      <c r="B2503" s="55" t="n"/>
      <c r="C2503" s="55" t="n"/>
      <c r="D2503" s="55" t="n"/>
      <c r="E2503" s="93" t="n"/>
      <c r="F2503" s="94" t="n"/>
      <c r="G2503" s="94" t="n"/>
      <c r="H2503" s="94" t="n"/>
      <c r="I2503" s="94" t="n"/>
      <c r="J2503" s="55" t="n"/>
      <c r="K2503" s="95" t="n"/>
      <c r="L2503" s="116">
        <f>IF($A2503="","",DATE(YEAR($A2503),MONTH($A2503)+IF(AND(IFERROR(N(INDEX(Übersicht!$M$15:$M$22,MATCH($B2503,Übersicht!$A$15:$A$22,0))),0)&gt;1,DAY($A2503)&gt;=IFERROR(N(INDEX(Übersicht!$M$15:$M$22,MATCH($B2503,Übersicht!$A$15:$A$22,0))),0)),1,0),1))</f>
        <v/>
      </c>
    </row>
    <row r="2504">
      <c r="A2504" s="92" t="n"/>
      <c r="B2504" s="55" t="n"/>
      <c r="C2504" s="55" t="n"/>
      <c r="D2504" s="55" t="n"/>
      <c r="E2504" s="93" t="n"/>
      <c r="F2504" s="94" t="n"/>
      <c r="G2504" s="94" t="n"/>
      <c r="H2504" s="94" t="n"/>
      <c r="I2504" s="94" t="n"/>
      <c r="J2504" s="55" t="n"/>
      <c r="K2504" s="95" t="n"/>
      <c r="L2504" s="116">
        <f>IF($A2504="","",DATE(YEAR($A2504),MONTH($A2504)+IF(AND(IFERROR(N(INDEX(Übersicht!$M$15:$M$22,MATCH($B2504,Übersicht!$A$15:$A$22,0))),0)&gt;1,DAY($A2504)&gt;=IFERROR(N(INDEX(Übersicht!$M$15:$M$22,MATCH($B2504,Übersicht!$A$15:$A$22,0))),0)),1,0),1))</f>
        <v/>
      </c>
    </row>
    <row r="2505">
      <c r="A2505" s="92" t="n"/>
      <c r="B2505" s="55" t="n"/>
      <c r="C2505" s="55" t="n"/>
      <c r="D2505" s="55" t="n"/>
      <c r="E2505" s="93" t="n"/>
      <c r="F2505" s="94" t="n"/>
      <c r="G2505" s="94" t="n"/>
      <c r="H2505" s="94" t="n"/>
      <c r="I2505" s="94" t="n"/>
      <c r="J2505" s="55" t="n"/>
      <c r="K2505" s="95" t="n"/>
      <c r="L2505" s="116">
        <f>IF($A2505="","",DATE(YEAR($A2505),MONTH($A2505)+IF(AND(IFERROR(N(INDEX(Übersicht!$M$15:$M$22,MATCH($B2505,Übersicht!$A$15:$A$22,0))),0)&gt;1,DAY($A2505)&gt;=IFERROR(N(INDEX(Übersicht!$M$15:$M$22,MATCH($B2505,Übersicht!$A$15:$A$22,0))),0)),1,0),1))</f>
        <v/>
      </c>
    </row>
    <row r="2506">
      <c r="A2506" s="92" t="n"/>
      <c r="B2506" s="55" t="n"/>
      <c r="C2506" s="55" t="n"/>
      <c r="D2506" s="55" t="n"/>
      <c r="E2506" s="93" t="n"/>
      <c r="F2506" s="94" t="n"/>
      <c r="G2506" s="94" t="n"/>
      <c r="H2506" s="94" t="n"/>
      <c r="I2506" s="94" t="n"/>
      <c r="J2506" s="55" t="n"/>
      <c r="K2506" s="95" t="n"/>
      <c r="L2506" s="116">
        <f>IF($A2506="","",DATE(YEAR($A2506),MONTH($A2506)+IF(AND(IFERROR(N(INDEX(Übersicht!$M$15:$M$22,MATCH($B2506,Übersicht!$A$15:$A$22,0))),0)&gt;1,DAY($A2506)&gt;=IFERROR(N(INDEX(Übersicht!$M$15:$M$22,MATCH($B2506,Übersicht!$A$15:$A$22,0))),0)),1,0),1))</f>
        <v/>
      </c>
    </row>
    <row r="2507">
      <c r="A2507" s="92" t="n"/>
      <c r="B2507" s="55" t="n"/>
      <c r="C2507" s="55" t="n"/>
      <c r="D2507" s="55" t="n"/>
      <c r="E2507" s="93" t="n"/>
      <c r="F2507" s="94" t="n"/>
      <c r="G2507" s="94" t="n"/>
      <c r="H2507" s="94" t="n"/>
      <c r="I2507" s="94" t="n"/>
      <c r="J2507" s="55" t="n"/>
      <c r="K2507" s="95" t="n"/>
      <c r="L2507" s="116">
        <f>IF($A2507="","",DATE(YEAR($A2507),MONTH($A2507)+IF(AND(IFERROR(N(INDEX(Übersicht!$M$15:$M$22,MATCH($B2507,Übersicht!$A$15:$A$22,0))),0)&gt;1,DAY($A2507)&gt;=IFERROR(N(INDEX(Übersicht!$M$15:$M$22,MATCH($B2507,Übersicht!$A$15:$A$22,0))),0)),1,0),1))</f>
        <v/>
      </c>
    </row>
    <row r="2508">
      <c r="A2508" s="92" t="n"/>
      <c r="B2508" s="55" t="n"/>
      <c r="C2508" s="55" t="n"/>
      <c r="D2508" s="55" t="n"/>
      <c r="E2508" s="93" t="n"/>
      <c r="F2508" s="94" t="n"/>
      <c r="G2508" s="94" t="n"/>
      <c r="H2508" s="94" t="n"/>
      <c r="I2508" s="94" t="n"/>
      <c r="J2508" s="55" t="n"/>
      <c r="K2508" s="95" t="n"/>
      <c r="L2508" s="116">
        <f>IF($A2508="","",DATE(YEAR($A2508),MONTH($A2508)+IF(AND(IFERROR(N(INDEX(Übersicht!$M$15:$M$22,MATCH($B2508,Übersicht!$A$15:$A$22,0))),0)&gt;1,DAY($A2508)&gt;=IFERROR(N(INDEX(Übersicht!$M$15:$M$22,MATCH($B2508,Übersicht!$A$15:$A$22,0))),0)),1,0),1))</f>
        <v/>
      </c>
    </row>
    <row r="2509">
      <c r="A2509" s="92" t="n"/>
      <c r="B2509" s="55" t="n"/>
      <c r="C2509" s="55" t="n"/>
      <c r="D2509" s="55" t="n"/>
      <c r="E2509" s="93" t="n"/>
      <c r="F2509" s="94" t="n"/>
      <c r="G2509" s="94" t="n"/>
      <c r="H2509" s="94" t="n"/>
      <c r="I2509" s="94" t="n"/>
      <c r="J2509" s="55" t="n"/>
      <c r="K2509" s="95" t="n"/>
      <c r="L2509" s="116">
        <f>IF($A2509="","",DATE(YEAR($A2509),MONTH($A2509)+IF(AND(IFERROR(N(INDEX(Übersicht!$M$15:$M$22,MATCH($B2509,Übersicht!$A$15:$A$22,0))),0)&gt;1,DAY($A2509)&gt;=IFERROR(N(INDEX(Übersicht!$M$15:$M$22,MATCH($B2509,Übersicht!$A$15:$A$22,0))),0)),1,0),1))</f>
        <v/>
      </c>
    </row>
    <row r="2510">
      <c r="A2510" s="92" t="n"/>
      <c r="B2510" s="55" t="n"/>
      <c r="C2510" s="55" t="n"/>
      <c r="D2510" s="55" t="n"/>
      <c r="E2510" s="93" t="n"/>
      <c r="F2510" s="94" t="n"/>
      <c r="G2510" s="94" t="n"/>
      <c r="H2510" s="94" t="n"/>
      <c r="I2510" s="94" t="n"/>
      <c r="J2510" s="55" t="n"/>
      <c r="K2510" s="95" t="n"/>
      <c r="L2510" s="116">
        <f>IF($A2510="","",DATE(YEAR($A2510),MONTH($A2510)+IF(AND(IFERROR(N(INDEX(Übersicht!$M$15:$M$22,MATCH($B2510,Übersicht!$A$15:$A$22,0))),0)&gt;1,DAY($A2510)&gt;=IFERROR(N(INDEX(Übersicht!$M$15:$M$22,MATCH($B2510,Übersicht!$A$15:$A$22,0))),0)),1,0),1))</f>
        <v/>
      </c>
    </row>
    <row r="2511">
      <c r="A2511" s="92" t="n"/>
      <c r="B2511" s="55" t="n"/>
      <c r="C2511" s="55" t="n"/>
      <c r="D2511" s="55" t="n"/>
      <c r="E2511" s="93" t="n"/>
      <c r="F2511" s="94" t="n"/>
      <c r="G2511" s="94" t="n"/>
      <c r="H2511" s="94" t="n"/>
      <c r="I2511" s="94" t="n"/>
      <c r="J2511" s="55" t="n"/>
      <c r="K2511" s="95" t="n"/>
      <c r="L2511" s="116">
        <f>IF($A2511="","",DATE(YEAR($A2511),MONTH($A2511)+IF(AND(IFERROR(N(INDEX(Übersicht!$M$15:$M$22,MATCH($B2511,Übersicht!$A$15:$A$22,0))),0)&gt;1,DAY($A2511)&gt;=IFERROR(N(INDEX(Übersicht!$M$15:$M$22,MATCH($B2511,Übersicht!$A$15:$A$22,0))),0)),1,0),1))</f>
        <v/>
      </c>
    </row>
    <row r="2512">
      <c r="A2512" s="92" t="n"/>
      <c r="B2512" s="55" t="n"/>
      <c r="C2512" s="55" t="n"/>
      <c r="D2512" s="55" t="n"/>
      <c r="E2512" s="93" t="n"/>
      <c r="F2512" s="94" t="n"/>
      <c r="G2512" s="94" t="n"/>
      <c r="H2512" s="94" t="n"/>
      <c r="I2512" s="94" t="n"/>
      <c r="J2512" s="55" t="n"/>
      <c r="K2512" s="95" t="n"/>
      <c r="L2512" s="116">
        <f>IF($A2512="","",DATE(YEAR($A2512),MONTH($A2512)+IF(AND(IFERROR(N(INDEX(Übersicht!$M$15:$M$22,MATCH($B2512,Übersicht!$A$15:$A$22,0))),0)&gt;1,DAY($A2512)&gt;=IFERROR(N(INDEX(Übersicht!$M$15:$M$22,MATCH($B2512,Übersicht!$A$15:$A$22,0))),0)),1,0),1))</f>
        <v/>
      </c>
    </row>
    <row r="2513">
      <c r="A2513" s="92" t="n"/>
      <c r="B2513" s="55" t="n"/>
      <c r="C2513" s="55" t="n"/>
      <c r="D2513" s="55" t="n"/>
      <c r="E2513" s="93" t="n"/>
      <c r="F2513" s="94" t="n"/>
      <c r="G2513" s="94" t="n"/>
      <c r="H2513" s="94" t="n"/>
      <c r="I2513" s="94" t="n"/>
      <c r="J2513" s="55" t="n"/>
      <c r="K2513" s="95" t="n"/>
      <c r="L2513" s="116">
        <f>IF($A2513="","",DATE(YEAR($A2513),MONTH($A2513)+IF(AND(IFERROR(N(INDEX(Übersicht!$M$15:$M$22,MATCH($B2513,Übersicht!$A$15:$A$22,0))),0)&gt;1,DAY($A2513)&gt;=IFERROR(N(INDEX(Übersicht!$M$15:$M$22,MATCH($B2513,Übersicht!$A$15:$A$22,0))),0)),1,0),1))</f>
        <v/>
      </c>
    </row>
    <row r="2514">
      <c r="A2514" s="92" t="n"/>
      <c r="B2514" s="55" t="n"/>
      <c r="C2514" s="55" t="n"/>
      <c r="D2514" s="55" t="n"/>
      <c r="E2514" s="93" t="n"/>
      <c r="F2514" s="94" t="n"/>
      <c r="G2514" s="94" t="n"/>
      <c r="H2514" s="94" t="n"/>
      <c r="I2514" s="94" t="n"/>
      <c r="J2514" s="55" t="n"/>
      <c r="K2514" s="95" t="n"/>
      <c r="L2514" s="116">
        <f>IF($A2514="","",DATE(YEAR($A2514),MONTH($A2514)+IF(AND(IFERROR(N(INDEX(Übersicht!$M$15:$M$22,MATCH($B2514,Übersicht!$A$15:$A$22,0))),0)&gt;1,DAY($A2514)&gt;=IFERROR(N(INDEX(Übersicht!$M$15:$M$22,MATCH($B2514,Übersicht!$A$15:$A$22,0))),0)),1,0),1))</f>
        <v/>
      </c>
    </row>
    <row r="2515">
      <c r="A2515" s="92" t="n"/>
      <c r="B2515" s="55" t="n"/>
      <c r="C2515" s="55" t="n"/>
      <c r="D2515" s="55" t="n"/>
      <c r="E2515" s="93" t="n"/>
      <c r="F2515" s="94" t="n"/>
      <c r="G2515" s="94" t="n"/>
      <c r="H2515" s="94" t="n"/>
      <c r="I2515" s="94" t="n"/>
      <c r="J2515" s="55" t="n"/>
      <c r="K2515" s="95" t="n"/>
      <c r="L2515" s="116">
        <f>IF($A2515="","",DATE(YEAR($A2515),MONTH($A2515)+IF(AND(IFERROR(N(INDEX(Übersicht!$M$15:$M$22,MATCH($B2515,Übersicht!$A$15:$A$22,0))),0)&gt;1,DAY($A2515)&gt;=IFERROR(N(INDEX(Übersicht!$M$15:$M$22,MATCH($B2515,Übersicht!$A$15:$A$22,0))),0)),1,0),1))</f>
        <v/>
      </c>
    </row>
    <row r="2516">
      <c r="A2516" s="92" t="n"/>
      <c r="B2516" s="55" t="n"/>
      <c r="C2516" s="55" t="n"/>
      <c r="D2516" s="55" t="n"/>
      <c r="E2516" s="93" t="n"/>
      <c r="F2516" s="94" t="n"/>
      <c r="G2516" s="94" t="n"/>
      <c r="H2516" s="94" t="n"/>
      <c r="I2516" s="94" t="n"/>
      <c r="J2516" s="55" t="n"/>
      <c r="K2516" s="95" t="n"/>
      <c r="L2516" s="116">
        <f>IF($A2516="","",DATE(YEAR($A2516),MONTH($A2516)+IF(AND(IFERROR(N(INDEX(Übersicht!$M$15:$M$22,MATCH($B2516,Übersicht!$A$15:$A$22,0))),0)&gt;1,DAY($A2516)&gt;=IFERROR(N(INDEX(Übersicht!$M$15:$M$22,MATCH($B2516,Übersicht!$A$15:$A$22,0))),0)),1,0),1))</f>
        <v/>
      </c>
    </row>
    <row r="2517">
      <c r="A2517" s="92" t="n"/>
      <c r="B2517" s="55" t="n"/>
      <c r="C2517" s="55" t="n"/>
      <c r="D2517" s="55" t="n"/>
      <c r="E2517" s="93" t="n"/>
      <c r="F2517" s="94" t="n"/>
      <c r="G2517" s="94" t="n"/>
      <c r="H2517" s="94" t="n"/>
      <c r="I2517" s="94" t="n"/>
      <c r="J2517" s="55" t="n"/>
      <c r="K2517" s="95" t="n"/>
      <c r="L2517" s="116">
        <f>IF($A2517="","",DATE(YEAR($A2517),MONTH($A2517)+IF(AND(IFERROR(N(INDEX(Übersicht!$M$15:$M$22,MATCH($B2517,Übersicht!$A$15:$A$22,0))),0)&gt;1,DAY($A2517)&gt;=IFERROR(N(INDEX(Übersicht!$M$15:$M$22,MATCH($B2517,Übersicht!$A$15:$A$22,0))),0)),1,0),1))</f>
        <v/>
      </c>
    </row>
    <row r="2518">
      <c r="A2518" s="92" t="n"/>
      <c r="B2518" s="55" t="n"/>
      <c r="C2518" s="55" t="n"/>
      <c r="D2518" s="55" t="n"/>
      <c r="E2518" s="93" t="n"/>
      <c r="F2518" s="94" t="n"/>
      <c r="G2518" s="94" t="n"/>
      <c r="H2518" s="94" t="n"/>
      <c r="I2518" s="94" t="n"/>
      <c r="J2518" s="55" t="n"/>
      <c r="K2518" s="95" t="n"/>
      <c r="L2518" s="116">
        <f>IF($A2518="","",DATE(YEAR($A2518),MONTH($A2518)+IF(AND(IFERROR(N(INDEX(Übersicht!$M$15:$M$22,MATCH($B2518,Übersicht!$A$15:$A$22,0))),0)&gt;1,DAY($A2518)&gt;=IFERROR(N(INDEX(Übersicht!$M$15:$M$22,MATCH($B2518,Übersicht!$A$15:$A$22,0))),0)),1,0),1))</f>
        <v/>
      </c>
    </row>
    <row r="2519">
      <c r="A2519" s="92" t="n"/>
      <c r="B2519" s="55" t="n"/>
      <c r="C2519" s="55" t="n"/>
      <c r="D2519" s="55" t="n"/>
      <c r="E2519" s="93" t="n"/>
      <c r="F2519" s="94" t="n"/>
      <c r="G2519" s="94" t="n"/>
      <c r="H2519" s="94" t="n"/>
      <c r="I2519" s="94" t="n"/>
      <c r="J2519" s="55" t="n"/>
      <c r="K2519" s="95" t="n"/>
      <c r="L2519" s="116">
        <f>IF($A2519="","",DATE(YEAR($A2519),MONTH($A2519)+IF(AND(IFERROR(N(INDEX(Übersicht!$M$15:$M$22,MATCH($B2519,Übersicht!$A$15:$A$22,0))),0)&gt;1,DAY($A2519)&gt;=IFERROR(N(INDEX(Übersicht!$M$15:$M$22,MATCH($B2519,Übersicht!$A$15:$A$22,0))),0)),1,0),1))</f>
        <v/>
      </c>
    </row>
    <row r="2520">
      <c r="A2520" s="92" t="n"/>
      <c r="B2520" s="55" t="n"/>
      <c r="C2520" s="55" t="n"/>
      <c r="D2520" s="55" t="n"/>
      <c r="E2520" s="93" t="n"/>
      <c r="F2520" s="94" t="n"/>
      <c r="G2520" s="94" t="n"/>
      <c r="H2520" s="94" t="n"/>
      <c r="I2520" s="94" t="n"/>
      <c r="J2520" s="55" t="n"/>
      <c r="K2520" s="95" t="n"/>
      <c r="L2520" s="116">
        <f>IF($A2520="","",DATE(YEAR($A2520),MONTH($A2520)+IF(AND(IFERROR(N(INDEX(Übersicht!$M$15:$M$22,MATCH($B2520,Übersicht!$A$15:$A$22,0))),0)&gt;1,DAY($A2520)&gt;=IFERROR(N(INDEX(Übersicht!$M$15:$M$22,MATCH($B2520,Übersicht!$A$15:$A$22,0))),0)),1,0),1))</f>
        <v/>
      </c>
    </row>
    <row r="2521">
      <c r="A2521" s="92" t="n"/>
      <c r="B2521" s="55" t="n"/>
      <c r="C2521" s="55" t="n"/>
      <c r="D2521" s="55" t="n"/>
      <c r="E2521" s="93" t="n"/>
      <c r="F2521" s="94" t="n"/>
      <c r="G2521" s="94" t="n"/>
      <c r="H2521" s="94" t="n"/>
      <c r="I2521" s="94" t="n"/>
      <c r="J2521" s="55" t="n"/>
      <c r="K2521" s="95" t="n"/>
      <c r="L2521" s="116">
        <f>IF($A2521="","",DATE(YEAR($A2521),MONTH($A2521)+IF(AND(IFERROR(N(INDEX(Übersicht!$M$15:$M$22,MATCH($B2521,Übersicht!$A$15:$A$22,0))),0)&gt;1,DAY($A2521)&gt;=IFERROR(N(INDEX(Übersicht!$M$15:$M$22,MATCH($B2521,Übersicht!$A$15:$A$22,0))),0)),1,0),1))</f>
        <v/>
      </c>
    </row>
    <row r="2522">
      <c r="A2522" s="92" t="n"/>
      <c r="B2522" s="55" t="n"/>
      <c r="C2522" s="55" t="n"/>
      <c r="D2522" s="55" t="n"/>
      <c r="E2522" s="93" t="n"/>
      <c r="F2522" s="94" t="n"/>
      <c r="G2522" s="94" t="n"/>
      <c r="H2522" s="94" t="n"/>
      <c r="I2522" s="94" t="n"/>
      <c r="J2522" s="55" t="n"/>
      <c r="K2522" s="95" t="n"/>
      <c r="L2522" s="116">
        <f>IF($A2522="","",DATE(YEAR($A2522),MONTH($A2522)+IF(AND(IFERROR(N(INDEX(Übersicht!$M$15:$M$22,MATCH($B2522,Übersicht!$A$15:$A$22,0))),0)&gt;1,DAY($A2522)&gt;=IFERROR(N(INDEX(Übersicht!$M$15:$M$22,MATCH($B2522,Übersicht!$A$15:$A$22,0))),0)),1,0),1))</f>
        <v/>
      </c>
    </row>
    <row r="2523">
      <c r="A2523" s="92" t="n"/>
      <c r="B2523" s="55" t="n"/>
      <c r="C2523" s="55" t="n"/>
      <c r="D2523" s="55" t="n"/>
      <c r="E2523" s="93" t="n"/>
      <c r="F2523" s="94" t="n"/>
      <c r="G2523" s="94" t="n"/>
      <c r="H2523" s="94" t="n"/>
      <c r="I2523" s="94" t="n"/>
      <c r="J2523" s="55" t="n"/>
      <c r="K2523" s="95" t="n"/>
      <c r="L2523" s="116">
        <f>IF($A2523="","",DATE(YEAR($A2523),MONTH($A2523)+IF(AND(IFERROR(N(INDEX(Übersicht!$M$15:$M$22,MATCH($B2523,Übersicht!$A$15:$A$22,0))),0)&gt;1,DAY($A2523)&gt;=IFERROR(N(INDEX(Übersicht!$M$15:$M$22,MATCH($B2523,Übersicht!$A$15:$A$22,0))),0)),1,0),1))</f>
        <v/>
      </c>
    </row>
    <row r="2524">
      <c r="A2524" s="92" t="n"/>
      <c r="B2524" s="55" t="n"/>
      <c r="C2524" s="55" t="n"/>
      <c r="D2524" s="55" t="n"/>
      <c r="E2524" s="93" t="n"/>
      <c r="F2524" s="94" t="n"/>
      <c r="G2524" s="94" t="n"/>
      <c r="H2524" s="94" t="n"/>
      <c r="I2524" s="94" t="n"/>
      <c r="J2524" s="55" t="n"/>
      <c r="K2524" s="95" t="n"/>
      <c r="L2524" s="116">
        <f>IF($A2524="","",DATE(YEAR($A2524),MONTH($A2524)+IF(AND(IFERROR(N(INDEX(Übersicht!$M$15:$M$22,MATCH($B2524,Übersicht!$A$15:$A$22,0))),0)&gt;1,DAY($A2524)&gt;=IFERROR(N(INDEX(Übersicht!$M$15:$M$22,MATCH($B2524,Übersicht!$A$15:$A$22,0))),0)),1,0),1))</f>
        <v/>
      </c>
    </row>
    <row r="2525">
      <c r="A2525" s="92" t="n"/>
      <c r="B2525" s="55" t="n"/>
      <c r="C2525" s="55" t="n"/>
      <c r="D2525" s="55" t="n"/>
      <c r="E2525" s="93" t="n"/>
      <c r="F2525" s="94" t="n"/>
      <c r="G2525" s="94" t="n"/>
      <c r="H2525" s="94" t="n"/>
      <c r="I2525" s="94" t="n"/>
      <c r="J2525" s="55" t="n"/>
      <c r="K2525" s="95" t="n"/>
      <c r="L2525" s="116">
        <f>IF($A2525="","",DATE(YEAR($A2525),MONTH($A2525)+IF(AND(IFERROR(N(INDEX(Übersicht!$M$15:$M$22,MATCH($B2525,Übersicht!$A$15:$A$22,0))),0)&gt;1,DAY($A2525)&gt;=IFERROR(N(INDEX(Übersicht!$M$15:$M$22,MATCH($B2525,Übersicht!$A$15:$A$22,0))),0)),1,0),1))</f>
        <v/>
      </c>
    </row>
    <row r="2526">
      <c r="A2526" s="92" t="n"/>
      <c r="B2526" s="55" t="n"/>
      <c r="C2526" s="55" t="n"/>
      <c r="D2526" s="55" t="n"/>
      <c r="E2526" s="93" t="n"/>
      <c r="F2526" s="94" t="n"/>
      <c r="G2526" s="94" t="n"/>
      <c r="H2526" s="94" t="n"/>
      <c r="I2526" s="94" t="n"/>
      <c r="J2526" s="55" t="n"/>
      <c r="K2526" s="95" t="n"/>
      <c r="L2526" s="116">
        <f>IF($A2526="","",DATE(YEAR($A2526),MONTH($A2526)+IF(AND(IFERROR(N(INDEX(Übersicht!$M$15:$M$22,MATCH($B2526,Übersicht!$A$15:$A$22,0))),0)&gt;1,DAY($A2526)&gt;=IFERROR(N(INDEX(Übersicht!$M$15:$M$22,MATCH($B2526,Übersicht!$A$15:$A$22,0))),0)),1,0),1))</f>
        <v/>
      </c>
    </row>
    <row r="2527">
      <c r="A2527" s="92" t="n"/>
      <c r="B2527" s="55" t="n"/>
      <c r="C2527" s="55" t="n"/>
      <c r="D2527" s="55" t="n"/>
      <c r="E2527" s="93" t="n"/>
      <c r="F2527" s="94" t="n"/>
      <c r="G2527" s="94" t="n"/>
      <c r="H2527" s="94" t="n"/>
      <c r="I2527" s="94" t="n"/>
      <c r="J2527" s="55" t="n"/>
      <c r="K2527" s="95" t="n"/>
      <c r="L2527" s="116">
        <f>IF($A2527="","",DATE(YEAR($A2527),MONTH($A2527)+IF(AND(IFERROR(N(INDEX(Übersicht!$M$15:$M$22,MATCH($B2527,Übersicht!$A$15:$A$22,0))),0)&gt;1,DAY($A2527)&gt;=IFERROR(N(INDEX(Übersicht!$M$15:$M$22,MATCH($B2527,Übersicht!$A$15:$A$22,0))),0)),1,0),1))</f>
        <v/>
      </c>
    </row>
    <row r="2528">
      <c r="A2528" s="92" t="n"/>
      <c r="B2528" s="55" t="n"/>
      <c r="C2528" s="55" t="n"/>
      <c r="D2528" s="55" t="n"/>
      <c r="E2528" s="93" t="n"/>
      <c r="F2528" s="94" t="n"/>
      <c r="G2528" s="94" t="n"/>
      <c r="H2528" s="94" t="n"/>
      <c r="I2528" s="94" t="n"/>
      <c r="J2528" s="55" t="n"/>
      <c r="K2528" s="95" t="n"/>
      <c r="L2528" s="116">
        <f>IF($A2528="","",DATE(YEAR($A2528),MONTH($A2528)+IF(AND(IFERROR(N(INDEX(Übersicht!$M$15:$M$22,MATCH($B2528,Übersicht!$A$15:$A$22,0))),0)&gt;1,DAY($A2528)&gt;=IFERROR(N(INDEX(Übersicht!$M$15:$M$22,MATCH($B2528,Übersicht!$A$15:$A$22,0))),0)),1,0),1))</f>
        <v/>
      </c>
    </row>
    <row r="2529">
      <c r="A2529" s="92" t="n"/>
      <c r="B2529" s="55" t="n"/>
      <c r="C2529" s="55" t="n"/>
      <c r="D2529" s="55" t="n"/>
      <c r="E2529" s="93" t="n"/>
      <c r="F2529" s="94" t="n"/>
      <c r="G2529" s="94" t="n"/>
      <c r="H2529" s="94" t="n"/>
      <c r="I2529" s="94" t="n"/>
      <c r="J2529" s="55" t="n"/>
      <c r="K2529" s="95" t="n"/>
      <c r="L2529" s="116">
        <f>IF($A2529="","",DATE(YEAR($A2529),MONTH($A2529)+IF(AND(IFERROR(N(INDEX(Übersicht!$M$15:$M$22,MATCH($B2529,Übersicht!$A$15:$A$22,0))),0)&gt;1,DAY($A2529)&gt;=IFERROR(N(INDEX(Übersicht!$M$15:$M$22,MATCH($B2529,Übersicht!$A$15:$A$22,0))),0)),1,0),1))</f>
        <v/>
      </c>
    </row>
    <row r="2530">
      <c r="A2530" s="92" t="n"/>
      <c r="B2530" s="55" t="n"/>
      <c r="C2530" s="55" t="n"/>
      <c r="D2530" s="55" t="n"/>
      <c r="E2530" s="93" t="n"/>
      <c r="F2530" s="94" t="n"/>
      <c r="G2530" s="94" t="n"/>
      <c r="H2530" s="94" t="n"/>
      <c r="I2530" s="94" t="n"/>
      <c r="J2530" s="55" t="n"/>
      <c r="K2530" s="95" t="n"/>
      <c r="L2530" s="116">
        <f>IF($A2530="","",DATE(YEAR($A2530),MONTH($A2530)+IF(AND(IFERROR(N(INDEX(Übersicht!$M$15:$M$22,MATCH($B2530,Übersicht!$A$15:$A$22,0))),0)&gt;1,DAY($A2530)&gt;=IFERROR(N(INDEX(Übersicht!$M$15:$M$22,MATCH($B2530,Übersicht!$A$15:$A$22,0))),0)),1,0),1))</f>
        <v/>
      </c>
    </row>
    <row r="2531">
      <c r="A2531" s="92" t="n"/>
      <c r="B2531" s="55" t="n"/>
      <c r="C2531" s="55" t="n"/>
      <c r="D2531" s="55" t="n"/>
      <c r="E2531" s="93" t="n"/>
      <c r="F2531" s="94" t="n"/>
      <c r="G2531" s="94" t="n"/>
      <c r="H2531" s="94" t="n"/>
      <c r="I2531" s="94" t="n"/>
      <c r="J2531" s="55" t="n"/>
      <c r="K2531" s="95" t="n"/>
      <c r="L2531" s="116">
        <f>IF($A2531="","",DATE(YEAR($A2531),MONTH($A2531)+IF(AND(IFERROR(N(INDEX(Übersicht!$M$15:$M$22,MATCH($B2531,Übersicht!$A$15:$A$22,0))),0)&gt;1,DAY($A2531)&gt;=IFERROR(N(INDEX(Übersicht!$M$15:$M$22,MATCH($B2531,Übersicht!$A$15:$A$22,0))),0)),1,0),1))</f>
        <v/>
      </c>
    </row>
    <row r="2532">
      <c r="A2532" s="92" t="n"/>
      <c r="B2532" s="55" t="n"/>
      <c r="C2532" s="55" t="n"/>
      <c r="D2532" s="55" t="n"/>
      <c r="E2532" s="93" t="n"/>
      <c r="F2532" s="94" t="n"/>
      <c r="G2532" s="94" t="n"/>
      <c r="H2532" s="94" t="n"/>
      <c r="I2532" s="94" t="n"/>
      <c r="J2532" s="55" t="n"/>
      <c r="K2532" s="95" t="n"/>
      <c r="L2532" s="116">
        <f>IF($A2532="","",DATE(YEAR($A2532),MONTH($A2532)+IF(AND(IFERROR(N(INDEX(Übersicht!$M$15:$M$22,MATCH($B2532,Übersicht!$A$15:$A$22,0))),0)&gt;1,DAY($A2532)&gt;=IFERROR(N(INDEX(Übersicht!$M$15:$M$22,MATCH($B2532,Übersicht!$A$15:$A$22,0))),0)),1,0),1))</f>
        <v/>
      </c>
    </row>
    <row r="2533">
      <c r="A2533" s="92" t="n"/>
      <c r="B2533" s="55" t="n"/>
      <c r="C2533" s="55" t="n"/>
      <c r="D2533" s="55" t="n"/>
      <c r="E2533" s="93" t="n"/>
      <c r="F2533" s="94" t="n"/>
      <c r="G2533" s="94" t="n"/>
      <c r="H2533" s="94" t="n"/>
      <c r="I2533" s="94" t="n"/>
      <c r="J2533" s="55" t="n"/>
      <c r="K2533" s="95" t="n"/>
      <c r="L2533" s="116">
        <f>IF($A2533="","",DATE(YEAR($A2533),MONTH($A2533)+IF(AND(IFERROR(N(INDEX(Übersicht!$M$15:$M$22,MATCH($B2533,Übersicht!$A$15:$A$22,0))),0)&gt;1,DAY($A2533)&gt;=IFERROR(N(INDEX(Übersicht!$M$15:$M$22,MATCH($B2533,Übersicht!$A$15:$A$22,0))),0)),1,0),1))</f>
        <v/>
      </c>
    </row>
    <row r="2534">
      <c r="A2534" s="92" t="n"/>
      <c r="B2534" s="55" t="n"/>
      <c r="C2534" s="55" t="n"/>
      <c r="D2534" s="55" t="n"/>
      <c r="E2534" s="93" t="n"/>
      <c r="F2534" s="94" t="n"/>
      <c r="G2534" s="94" t="n"/>
      <c r="H2534" s="94" t="n"/>
      <c r="I2534" s="94" t="n"/>
      <c r="J2534" s="55" t="n"/>
      <c r="K2534" s="95" t="n"/>
      <c r="L2534" s="116">
        <f>IF($A2534="","",DATE(YEAR($A2534),MONTH($A2534)+IF(AND(IFERROR(N(INDEX(Übersicht!$M$15:$M$22,MATCH($B2534,Übersicht!$A$15:$A$22,0))),0)&gt;1,DAY($A2534)&gt;=IFERROR(N(INDEX(Übersicht!$M$15:$M$22,MATCH($B2534,Übersicht!$A$15:$A$22,0))),0)),1,0),1))</f>
        <v/>
      </c>
    </row>
    <row r="2535">
      <c r="A2535" s="92" t="n"/>
      <c r="B2535" s="55" t="n"/>
      <c r="C2535" s="55" t="n"/>
      <c r="D2535" s="55" t="n"/>
      <c r="E2535" s="93" t="n"/>
      <c r="F2535" s="94" t="n"/>
      <c r="G2535" s="94" t="n"/>
      <c r="H2535" s="94" t="n"/>
      <c r="I2535" s="94" t="n"/>
      <c r="J2535" s="55" t="n"/>
      <c r="K2535" s="95" t="n"/>
      <c r="L2535" s="116">
        <f>IF($A2535="","",DATE(YEAR($A2535),MONTH($A2535)+IF(AND(IFERROR(N(INDEX(Übersicht!$M$15:$M$22,MATCH($B2535,Übersicht!$A$15:$A$22,0))),0)&gt;1,DAY($A2535)&gt;=IFERROR(N(INDEX(Übersicht!$M$15:$M$22,MATCH($B2535,Übersicht!$A$15:$A$22,0))),0)),1,0),1))</f>
        <v/>
      </c>
    </row>
    <row r="2536">
      <c r="A2536" s="92" t="n"/>
      <c r="B2536" s="55" t="n"/>
      <c r="C2536" s="55" t="n"/>
      <c r="D2536" s="55" t="n"/>
      <c r="E2536" s="93" t="n"/>
      <c r="F2536" s="94" t="n"/>
      <c r="G2536" s="94" t="n"/>
      <c r="H2536" s="94" t="n"/>
      <c r="I2536" s="94" t="n"/>
      <c r="J2536" s="55" t="n"/>
      <c r="K2536" s="95" t="n"/>
      <c r="L2536" s="116">
        <f>IF($A2536="","",DATE(YEAR($A2536),MONTH($A2536)+IF(AND(IFERROR(N(INDEX(Übersicht!$M$15:$M$22,MATCH($B2536,Übersicht!$A$15:$A$22,0))),0)&gt;1,DAY($A2536)&gt;=IFERROR(N(INDEX(Übersicht!$M$15:$M$22,MATCH($B2536,Übersicht!$A$15:$A$22,0))),0)),1,0),1))</f>
        <v/>
      </c>
    </row>
    <row r="2537">
      <c r="A2537" s="92" t="n"/>
      <c r="B2537" s="55" t="n"/>
      <c r="C2537" s="55" t="n"/>
      <c r="D2537" s="55" t="n"/>
      <c r="E2537" s="93" t="n"/>
      <c r="F2537" s="94" t="n"/>
      <c r="G2537" s="94" t="n"/>
      <c r="H2537" s="94" t="n"/>
      <c r="I2537" s="94" t="n"/>
      <c r="J2537" s="55" t="n"/>
      <c r="K2537" s="95" t="n"/>
      <c r="L2537" s="116">
        <f>IF($A2537="","",DATE(YEAR($A2537),MONTH($A2537)+IF(AND(IFERROR(N(INDEX(Übersicht!$M$15:$M$22,MATCH($B2537,Übersicht!$A$15:$A$22,0))),0)&gt;1,DAY($A2537)&gt;=IFERROR(N(INDEX(Übersicht!$M$15:$M$22,MATCH($B2537,Übersicht!$A$15:$A$22,0))),0)),1,0),1))</f>
        <v/>
      </c>
    </row>
    <row r="2538">
      <c r="A2538" s="92" t="n"/>
      <c r="B2538" s="55" t="n"/>
      <c r="C2538" s="55" t="n"/>
      <c r="D2538" s="55" t="n"/>
      <c r="E2538" s="93" t="n"/>
      <c r="F2538" s="94" t="n"/>
      <c r="G2538" s="94" t="n"/>
      <c r="H2538" s="94" t="n"/>
      <c r="I2538" s="94" t="n"/>
      <c r="J2538" s="55" t="n"/>
      <c r="K2538" s="95" t="n"/>
      <c r="L2538" s="116">
        <f>IF($A2538="","",DATE(YEAR($A2538),MONTH($A2538)+IF(AND(IFERROR(N(INDEX(Übersicht!$M$15:$M$22,MATCH($B2538,Übersicht!$A$15:$A$22,0))),0)&gt;1,DAY($A2538)&gt;=IFERROR(N(INDEX(Übersicht!$M$15:$M$22,MATCH($B2538,Übersicht!$A$15:$A$22,0))),0)),1,0),1))</f>
        <v/>
      </c>
    </row>
    <row r="2539">
      <c r="A2539" s="92" t="n"/>
      <c r="B2539" s="55" t="n"/>
      <c r="C2539" s="55" t="n"/>
      <c r="D2539" s="55" t="n"/>
      <c r="E2539" s="93" t="n"/>
      <c r="F2539" s="94" t="n"/>
      <c r="G2539" s="94" t="n"/>
      <c r="H2539" s="94" t="n"/>
      <c r="I2539" s="94" t="n"/>
      <c r="J2539" s="55" t="n"/>
      <c r="K2539" s="95" t="n"/>
      <c r="L2539" s="116">
        <f>IF($A2539="","",DATE(YEAR($A2539),MONTH($A2539)+IF(AND(IFERROR(N(INDEX(Übersicht!$M$15:$M$22,MATCH($B2539,Übersicht!$A$15:$A$22,0))),0)&gt;1,DAY($A2539)&gt;=IFERROR(N(INDEX(Übersicht!$M$15:$M$22,MATCH($B2539,Übersicht!$A$15:$A$22,0))),0)),1,0),1))</f>
        <v/>
      </c>
    </row>
    <row r="2540">
      <c r="A2540" s="92" t="n"/>
      <c r="B2540" s="55" t="n"/>
      <c r="C2540" s="55" t="n"/>
      <c r="D2540" s="55" t="n"/>
      <c r="E2540" s="93" t="n"/>
      <c r="F2540" s="94" t="n"/>
      <c r="G2540" s="94" t="n"/>
      <c r="H2540" s="94" t="n"/>
      <c r="I2540" s="94" t="n"/>
      <c r="J2540" s="55" t="n"/>
      <c r="K2540" s="95" t="n"/>
      <c r="L2540" s="116">
        <f>IF($A2540="","",DATE(YEAR($A2540),MONTH($A2540)+IF(AND(IFERROR(N(INDEX(Übersicht!$M$15:$M$22,MATCH($B2540,Übersicht!$A$15:$A$22,0))),0)&gt;1,DAY($A2540)&gt;=IFERROR(N(INDEX(Übersicht!$M$15:$M$22,MATCH($B2540,Übersicht!$A$15:$A$22,0))),0)),1,0),1))</f>
        <v/>
      </c>
    </row>
    <row r="2541">
      <c r="A2541" s="92" t="n"/>
      <c r="B2541" s="55" t="n"/>
      <c r="C2541" s="55" t="n"/>
      <c r="D2541" s="55" t="n"/>
      <c r="E2541" s="93" t="n"/>
      <c r="F2541" s="94" t="n"/>
      <c r="G2541" s="94" t="n"/>
      <c r="H2541" s="94" t="n"/>
      <c r="I2541" s="94" t="n"/>
      <c r="J2541" s="55" t="n"/>
      <c r="K2541" s="95" t="n"/>
      <c r="L2541" s="116">
        <f>IF($A2541="","",DATE(YEAR($A2541),MONTH($A2541)+IF(AND(IFERROR(N(INDEX(Übersicht!$M$15:$M$22,MATCH($B2541,Übersicht!$A$15:$A$22,0))),0)&gt;1,DAY($A2541)&gt;=IFERROR(N(INDEX(Übersicht!$M$15:$M$22,MATCH($B2541,Übersicht!$A$15:$A$22,0))),0)),1,0),1))</f>
        <v/>
      </c>
    </row>
    <row r="2542">
      <c r="A2542" s="92" t="n"/>
      <c r="B2542" s="55" t="n"/>
      <c r="C2542" s="55" t="n"/>
      <c r="D2542" s="55" t="n"/>
      <c r="E2542" s="93" t="n"/>
      <c r="F2542" s="94" t="n"/>
      <c r="G2542" s="94" t="n"/>
      <c r="H2542" s="94" t="n"/>
      <c r="I2542" s="94" t="n"/>
      <c r="J2542" s="55" t="n"/>
      <c r="K2542" s="95" t="n"/>
      <c r="L2542" s="116">
        <f>IF($A2542="","",DATE(YEAR($A2542),MONTH($A2542)+IF(AND(IFERROR(N(INDEX(Übersicht!$M$15:$M$22,MATCH($B2542,Übersicht!$A$15:$A$22,0))),0)&gt;1,DAY($A2542)&gt;=IFERROR(N(INDEX(Übersicht!$M$15:$M$22,MATCH($B2542,Übersicht!$A$15:$A$22,0))),0)),1,0),1))</f>
        <v/>
      </c>
    </row>
    <row r="2543">
      <c r="A2543" s="92" t="n"/>
      <c r="B2543" s="55" t="n"/>
      <c r="C2543" s="55" t="n"/>
      <c r="D2543" s="55" t="n"/>
      <c r="E2543" s="93" t="n"/>
      <c r="F2543" s="94" t="n"/>
      <c r="G2543" s="94" t="n"/>
      <c r="H2543" s="94" t="n"/>
      <c r="I2543" s="94" t="n"/>
      <c r="J2543" s="55" t="n"/>
      <c r="K2543" s="95" t="n"/>
      <c r="L2543" s="116">
        <f>IF($A2543="","",DATE(YEAR($A2543),MONTH($A2543)+IF(AND(IFERROR(N(INDEX(Übersicht!$M$15:$M$22,MATCH($B2543,Übersicht!$A$15:$A$22,0))),0)&gt;1,DAY($A2543)&gt;=IFERROR(N(INDEX(Übersicht!$M$15:$M$22,MATCH($B2543,Übersicht!$A$15:$A$22,0))),0)),1,0),1))</f>
        <v/>
      </c>
    </row>
    <row r="2544">
      <c r="A2544" s="92" t="n"/>
      <c r="B2544" s="55" t="n"/>
      <c r="C2544" s="55" t="n"/>
      <c r="D2544" s="55" t="n"/>
      <c r="E2544" s="93" t="n"/>
      <c r="F2544" s="94" t="n"/>
      <c r="G2544" s="94" t="n"/>
      <c r="H2544" s="94" t="n"/>
      <c r="I2544" s="94" t="n"/>
      <c r="J2544" s="55" t="n"/>
      <c r="K2544" s="95" t="n"/>
      <c r="L2544" s="116">
        <f>IF($A2544="","",DATE(YEAR($A2544),MONTH($A2544)+IF(AND(IFERROR(N(INDEX(Übersicht!$M$15:$M$22,MATCH($B2544,Übersicht!$A$15:$A$22,0))),0)&gt;1,DAY($A2544)&gt;=IFERROR(N(INDEX(Übersicht!$M$15:$M$22,MATCH($B2544,Übersicht!$A$15:$A$22,0))),0)),1,0),1))</f>
        <v/>
      </c>
    </row>
    <row r="2545">
      <c r="A2545" s="92" t="n"/>
      <c r="B2545" s="55" t="n"/>
      <c r="C2545" s="55" t="n"/>
      <c r="D2545" s="55" t="n"/>
      <c r="E2545" s="93" t="n"/>
      <c r="F2545" s="94" t="n"/>
      <c r="G2545" s="94" t="n"/>
      <c r="H2545" s="94" t="n"/>
      <c r="I2545" s="94" t="n"/>
      <c r="J2545" s="55" t="n"/>
      <c r="K2545" s="95" t="n"/>
      <c r="L2545" s="116">
        <f>IF($A2545="","",DATE(YEAR($A2545),MONTH($A2545)+IF(AND(IFERROR(N(INDEX(Übersicht!$M$15:$M$22,MATCH($B2545,Übersicht!$A$15:$A$22,0))),0)&gt;1,DAY($A2545)&gt;=IFERROR(N(INDEX(Übersicht!$M$15:$M$22,MATCH($B2545,Übersicht!$A$15:$A$22,0))),0)),1,0),1))</f>
        <v/>
      </c>
    </row>
    <row r="2546">
      <c r="A2546" s="92" t="n"/>
      <c r="B2546" s="55" t="n"/>
      <c r="C2546" s="55" t="n"/>
      <c r="D2546" s="55" t="n"/>
      <c r="E2546" s="93" t="n"/>
      <c r="F2546" s="94" t="n"/>
      <c r="G2546" s="94" t="n"/>
      <c r="H2546" s="94" t="n"/>
      <c r="I2546" s="94" t="n"/>
      <c r="J2546" s="55" t="n"/>
      <c r="K2546" s="95" t="n"/>
      <c r="L2546" s="116">
        <f>IF($A2546="","",DATE(YEAR($A2546),MONTH($A2546)+IF(AND(IFERROR(N(INDEX(Übersicht!$M$15:$M$22,MATCH($B2546,Übersicht!$A$15:$A$22,0))),0)&gt;1,DAY($A2546)&gt;=IFERROR(N(INDEX(Übersicht!$M$15:$M$22,MATCH($B2546,Übersicht!$A$15:$A$22,0))),0)),1,0),1))</f>
        <v/>
      </c>
    </row>
    <row r="2547">
      <c r="A2547" s="92" t="n"/>
      <c r="B2547" s="55" t="n"/>
      <c r="C2547" s="55" t="n"/>
      <c r="D2547" s="55" t="n"/>
      <c r="E2547" s="93" t="n"/>
      <c r="F2547" s="94" t="n"/>
      <c r="G2547" s="94" t="n"/>
      <c r="H2547" s="94" t="n"/>
      <c r="I2547" s="94" t="n"/>
      <c r="J2547" s="55" t="n"/>
      <c r="K2547" s="95" t="n"/>
      <c r="L2547" s="116">
        <f>IF($A2547="","",DATE(YEAR($A2547),MONTH($A2547)+IF(AND(IFERROR(N(INDEX(Übersicht!$M$15:$M$22,MATCH($B2547,Übersicht!$A$15:$A$22,0))),0)&gt;1,DAY($A2547)&gt;=IFERROR(N(INDEX(Übersicht!$M$15:$M$22,MATCH($B2547,Übersicht!$A$15:$A$22,0))),0)),1,0),1))</f>
        <v/>
      </c>
    </row>
    <row r="2548">
      <c r="A2548" s="92" t="n"/>
      <c r="B2548" s="55" t="n"/>
      <c r="C2548" s="55" t="n"/>
      <c r="D2548" s="55" t="n"/>
      <c r="E2548" s="93" t="n"/>
      <c r="F2548" s="94" t="n"/>
      <c r="G2548" s="94" t="n"/>
      <c r="H2548" s="94" t="n"/>
      <c r="I2548" s="94" t="n"/>
      <c r="J2548" s="55" t="n"/>
      <c r="K2548" s="95" t="n"/>
      <c r="L2548" s="116">
        <f>IF($A2548="","",DATE(YEAR($A2548),MONTH($A2548)+IF(AND(IFERROR(N(INDEX(Übersicht!$M$15:$M$22,MATCH($B2548,Übersicht!$A$15:$A$22,0))),0)&gt;1,DAY($A2548)&gt;=IFERROR(N(INDEX(Übersicht!$M$15:$M$22,MATCH($B2548,Übersicht!$A$15:$A$22,0))),0)),1,0),1))</f>
        <v/>
      </c>
    </row>
    <row r="2549">
      <c r="A2549" s="92" t="n"/>
      <c r="B2549" s="55" t="n"/>
      <c r="C2549" s="55" t="n"/>
      <c r="D2549" s="55" t="n"/>
      <c r="E2549" s="93" t="n"/>
      <c r="F2549" s="94" t="n"/>
      <c r="G2549" s="94" t="n"/>
      <c r="H2549" s="94" t="n"/>
      <c r="I2549" s="94" t="n"/>
      <c r="J2549" s="55" t="n"/>
      <c r="K2549" s="95" t="n"/>
      <c r="L2549" s="116">
        <f>IF($A2549="","",DATE(YEAR($A2549),MONTH($A2549)+IF(AND(IFERROR(N(INDEX(Übersicht!$M$15:$M$22,MATCH($B2549,Übersicht!$A$15:$A$22,0))),0)&gt;1,DAY($A2549)&gt;=IFERROR(N(INDEX(Übersicht!$M$15:$M$22,MATCH($B2549,Übersicht!$A$15:$A$22,0))),0)),1,0),1))</f>
        <v/>
      </c>
    </row>
    <row r="2550">
      <c r="A2550" s="92" t="n"/>
      <c r="B2550" s="55" t="n"/>
      <c r="C2550" s="55" t="n"/>
      <c r="D2550" s="55" t="n"/>
      <c r="E2550" s="93" t="n"/>
      <c r="F2550" s="94" t="n"/>
      <c r="G2550" s="94" t="n"/>
      <c r="H2550" s="94" t="n"/>
      <c r="I2550" s="94" t="n"/>
      <c r="J2550" s="55" t="n"/>
      <c r="K2550" s="95" t="n"/>
      <c r="L2550" s="116">
        <f>IF($A2550="","",DATE(YEAR($A2550),MONTH($A2550)+IF(AND(IFERROR(N(INDEX(Übersicht!$M$15:$M$22,MATCH($B2550,Übersicht!$A$15:$A$22,0))),0)&gt;1,DAY($A2550)&gt;=IFERROR(N(INDEX(Übersicht!$M$15:$M$22,MATCH($B2550,Übersicht!$A$15:$A$22,0))),0)),1,0),1))</f>
        <v/>
      </c>
    </row>
    <row r="2551">
      <c r="A2551" s="92" t="n"/>
      <c r="B2551" s="55" t="n"/>
      <c r="C2551" s="55" t="n"/>
      <c r="D2551" s="55" t="n"/>
      <c r="E2551" s="93" t="n"/>
      <c r="F2551" s="94" t="n"/>
      <c r="G2551" s="94" t="n"/>
      <c r="H2551" s="94" t="n"/>
      <c r="I2551" s="94" t="n"/>
      <c r="J2551" s="55" t="n"/>
      <c r="K2551" s="95" t="n"/>
      <c r="L2551" s="116">
        <f>IF($A2551="","",DATE(YEAR($A2551),MONTH($A2551)+IF(AND(IFERROR(N(INDEX(Übersicht!$M$15:$M$22,MATCH($B2551,Übersicht!$A$15:$A$22,0))),0)&gt;1,DAY($A2551)&gt;=IFERROR(N(INDEX(Übersicht!$M$15:$M$22,MATCH($B2551,Übersicht!$A$15:$A$22,0))),0)),1,0),1))</f>
        <v/>
      </c>
    </row>
    <row r="2552">
      <c r="A2552" s="92" t="n"/>
      <c r="B2552" s="55" t="n"/>
      <c r="C2552" s="55" t="n"/>
      <c r="D2552" s="55" t="n"/>
      <c r="E2552" s="93" t="n"/>
      <c r="F2552" s="94" t="n"/>
      <c r="G2552" s="94" t="n"/>
      <c r="H2552" s="94" t="n"/>
      <c r="I2552" s="94" t="n"/>
      <c r="J2552" s="55" t="n"/>
      <c r="K2552" s="95" t="n"/>
      <c r="L2552" s="116">
        <f>IF($A2552="","",DATE(YEAR($A2552),MONTH($A2552)+IF(AND(IFERROR(N(INDEX(Übersicht!$M$15:$M$22,MATCH($B2552,Übersicht!$A$15:$A$22,0))),0)&gt;1,DAY($A2552)&gt;=IFERROR(N(INDEX(Übersicht!$M$15:$M$22,MATCH($B2552,Übersicht!$A$15:$A$22,0))),0)),1,0),1))</f>
        <v/>
      </c>
    </row>
    <row r="2553">
      <c r="A2553" s="92" t="n"/>
      <c r="B2553" s="55" t="n"/>
      <c r="C2553" s="55" t="n"/>
      <c r="D2553" s="55" t="n"/>
      <c r="E2553" s="93" t="n"/>
      <c r="F2553" s="94" t="n"/>
      <c r="G2553" s="94" t="n"/>
      <c r="H2553" s="94" t="n"/>
      <c r="I2553" s="94" t="n"/>
      <c r="J2553" s="55" t="n"/>
      <c r="K2553" s="95" t="n"/>
      <c r="L2553" s="116">
        <f>IF($A2553="","",DATE(YEAR($A2553),MONTH($A2553)+IF(AND(IFERROR(N(INDEX(Übersicht!$M$15:$M$22,MATCH($B2553,Übersicht!$A$15:$A$22,0))),0)&gt;1,DAY($A2553)&gt;=IFERROR(N(INDEX(Übersicht!$M$15:$M$22,MATCH($B2553,Übersicht!$A$15:$A$22,0))),0)),1,0),1))</f>
        <v/>
      </c>
    </row>
    <row r="2554">
      <c r="A2554" s="92" t="n"/>
      <c r="B2554" s="55" t="n"/>
      <c r="C2554" s="55" t="n"/>
      <c r="D2554" s="55" t="n"/>
      <c r="E2554" s="93" t="n"/>
      <c r="F2554" s="94" t="n"/>
      <c r="G2554" s="94" t="n"/>
      <c r="H2554" s="94" t="n"/>
      <c r="I2554" s="94" t="n"/>
      <c r="J2554" s="55" t="n"/>
      <c r="K2554" s="95" t="n"/>
      <c r="L2554" s="116">
        <f>IF($A2554="","",DATE(YEAR($A2554),MONTH($A2554)+IF(AND(IFERROR(N(INDEX(Übersicht!$M$15:$M$22,MATCH($B2554,Übersicht!$A$15:$A$22,0))),0)&gt;1,DAY($A2554)&gt;=IFERROR(N(INDEX(Übersicht!$M$15:$M$22,MATCH($B2554,Übersicht!$A$15:$A$22,0))),0)),1,0),1))</f>
        <v/>
      </c>
    </row>
    <row r="2555">
      <c r="A2555" s="92" t="n"/>
      <c r="B2555" s="55" t="n"/>
      <c r="C2555" s="55" t="n"/>
      <c r="D2555" s="55" t="n"/>
      <c r="E2555" s="93" t="n"/>
      <c r="F2555" s="94" t="n"/>
      <c r="G2555" s="94" t="n"/>
      <c r="H2555" s="94" t="n"/>
      <c r="I2555" s="94" t="n"/>
      <c r="J2555" s="55" t="n"/>
      <c r="K2555" s="95" t="n"/>
      <c r="L2555" s="116">
        <f>IF($A2555="","",DATE(YEAR($A2555),MONTH($A2555)+IF(AND(IFERROR(N(INDEX(Übersicht!$M$15:$M$22,MATCH($B2555,Übersicht!$A$15:$A$22,0))),0)&gt;1,DAY($A2555)&gt;=IFERROR(N(INDEX(Übersicht!$M$15:$M$22,MATCH($B2555,Übersicht!$A$15:$A$22,0))),0)),1,0),1))</f>
        <v/>
      </c>
    </row>
    <row r="2556">
      <c r="A2556" s="92" t="n"/>
      <c r="B2556" s="55" t="n"/>
      <c r="C2556" s="55" t="n"/>
      <c r="D2556" s="55" t="n"/>
      <c r="E2556" s="93" t="n"/>
      <c r="F2556" s="94" t="n"/>
      <c r="G2556" s="94" t="n"/>
      <c r="H2556" s="94" t="n"/>
      <c r="I2556" s="94" t="n"/>
      <c r="J2556" s="55" t="n"/>
      <c r="K2556" s="95" t="n"/>
      <c r="L2556" s="116">
        <f>IF($A2556="","",DATE(YEAR($A2556),MONTH($A2556)+IF(AND(IFERROR(N(INDEX(Übersicht!$M$15:$M$22,MATCH($B2556,Übersicht!$A$15:$A$22,0))),0)&gt;1,DAY($A2556)&gt;=IFERROR(N(INDEX(Übersicht!$M$15:$M$22,MATCH($B2556,Übersicht!$A$15:$A$22,0))),0)),1,0),1))</f>
        <v/>
      </c>
    </row>
    <row r="2557">
      <c r="A2557" s="92" t="n"/>
      <c r="B2557" s="55" t="n"/>
      <c r="C2557" s="55" t="n"/>
      <c r="D2557" s="55" t="n"/>
      <c r="E2557" s="93" t="n"/>
      <c r="F2557" s="94" t="n"/>
      <c r="G2557" s="94" t="n"/>
      <c r="H2557" s="94" t="n"/>
      <c r="I2557" s="94" t="n"/>
      <c r="J2557" s="55" t="n"/>
      <c r="K2557" s="95" t="n"/>
      <c r="L2557" s="116">
        <f>IF($A2557="","",DATE(YEAR($A2557),MONTH($A2557)+IF(AND(IFERROR(N(INDEX(Übersicht!$M$15:$M$22,MATCH($B2557,Übersicht!$A$15:$A$22,0))),0)&gt;1,DAY($A2557)&gt;=IFERROR(N(INDEX(Übersicht!$M$15:$M$22,MATCH($B2557,Übersicht!$A$15:$A$22,0))),0)),1,0),1))</f>
        <v/>
      </c>
    </row>
    <row r="2558">
      <c r="A2558" s="92" t="n"/>
      <c r="B2558" s="55" t="n"/>
      <c r="C2558" s="55" t="n"/>
      <c r="D2558" s="55" t="n"/>
      <c r="E2558" s="93" t="n"/>
      <c r="F2558" s="94" t="n"/>
      <c r="G2558" s="94" t="n"/>
      <c r="H2558" s="94" t="n"/>
      <c r="I2558" s="94" t="n"/>
      <c r="J2558" s="55" t="n"/>
      <c r="K2558" s="95" t="n"/>
      <c r="L2558" s="116">
        <f>IF($A2558="","",DATE(YEAR($A2558),MONTH($A2558)+IF(AND(IFERROR(N(INDEX(Übersicht!$M$15:$M$22,MATCH($B2558,Übersicht!$A$15:$A$22,0))),0)&gt;1,DAY($A2558)&gt;=IFERROR(N(INDEX(Übersicht!$M$15:$M$22,MATCH($B2558,Übersicht!$A$15:$A$22,0))),0)),1,0),1))</f>
        <v/>
      </c>
    </row>
    <row r="2559">
      <c r="A2559" s="92" t="n"/>
      <c r="B2559" s="55" t="n"/>
      <c r="C2559" s="55" t="n"/>
      <c r="D2559" s="55" t="n"/>
      <c r="E2559" s="93" t="n"/>
      <c r="F2559" s="94" t="n"/>
      <c r="G2559" s="94" t="n"/>
      <c r="H2559" s="94" t="n"/>
      <c r="I2559" s="94" t="n"/>
      <c r="J2559" s="55" t="n"/>
      <c r="K2559" s="95" t="n"/>
      <c r="L2559" s="116">
        <f>IF($A2559="","",DATE(YEAR($A2559),MONTH($A2559)+IF(AND(IFERROR(N(INDEX(Übersicht!$M$15:$M$22,MATCH($B2559,Übersicht!$A$15:$A$22,0))),0)&gt;1,DAY($A2559)&gt;=IFERROR(N(INDEX(Übersicht!$M$15:$M$22,MATCH($B2559,Übersicht!$A$15:$A$22,0))),0)),1,0),1))</f>
        <v/>
      </c>
    </row>
    <row r="2560">
      <c r="A2560" s="92" t="n"/>
      <c r="B2560" s="55" t="n"/>
      <c r="C2560" s="55" t="n"/>
      <c r="D2560" s="55" t="n"/>
      <c r="E2560" s="93" t="n"/>
      <c r="F2560" s="94" t="n"/>
      <c r="G2560" s="94" t="n"/>
      <c r="H2560" s="94" t="n"/>
      <c r="I2560" s="94" t="n"/>
      <c r="J2560" s="55" t="n"/>
      <c r="K2560" s="95" t="n"/>
      <c r="L2560" s="116">
        <f>IF($A2560="","",DATE(YEAR($A2560),MONTH($A2560)+IF(AND(IFERROR(N(INDEX(Übersicht!$M$15:$M$22,MATCH($B2560,Übersicht!$A$15:$A$22,0))),0)&gt;1,DAY($A2560)&gt;=IFERROR(N(INDEX(Übersicht!$M$15:$M$22,MATCH($B2560,Übersicht!$A$15:$A$22,0))),0)),1,0),1))</f>
        <v/>
      </c>
    </row>
    <row r="2561">
      <c r="A2561" s="92" t="n"/>
      <c r="B2561" s="55" t="n"/>
      <c r="C2561" s="55" t="n"/>
      <c r="D2561" s="55" t="n"/>
      <c r="E2561" s="93" t="n"/>
      <c r="F2561" s="94" t="n"/>
      <c r="G2561" s="94" t="n"/>
      <c r="H2561" s="94" t="n"/>
      <c r="I2561" s="94" t="n"/>
      <c r="J2561" s="55" t="n"/>
      <c r="K2561" s="95" t="n"/>
      <c r="L2561" s="116">
        <f>IF($A2561="","",DATE(YEAR($A2561),MONTH($A2561)+IF(AND(IFERROR(N(INDEX(Übersicht!$M$15:$M$22,MATCH($B2561,Übersicht!$A$15:$A$22,0))),0)&gt;1,DAY($A2561)&gt;=IFERROR(N(INDEX(Übersicht!$M$15:$M$22,MATCH($B2561,Übersicht!$A$15:$A$22,0))),0)),1,0),1))</f>
        <v/>
      </c>
    </row>
    <row r="2562">
      <c r="A2562" s="92" t="n"/>
      <c r="B2562" s="55" t="n"/>
      <c r="C2562" s="55" t="n"/>
      <c r="D2562" s="55" t="n"/>
      <c r="E2562" s="93" t="n"/>
      <c r="F2562" s="94" t="n"/>
      <c r="G2562" s="94" t="n"/>
      <c r="H2562" s="94" t="n"/>
      <c r="I2562" s="94" t="n"/>
      <c r="J2562" s="55" t="n"/>
      <c r="K2562" s="95" t="n"/>
      <c r="L2562" s="116">
        <f>IF($A2562="","",DATE(YEAR($A2562),MONTH($A2562)+IF(AND(IFERROR(N(INDEX(Übersicht!$M$15:$M$22,MATCH($B2562,Übersicht!$A$15:$A$22,0))),0)&gt;1,DAY($A2562)&gt;=IFERROR(N(INDEX(Übersicht!$M$15:$M$22,MATCH($B2562,Übersicht!$A$15:$A$22,0))),0)),1,0),1))</f>
        <v/>
      </c>
    </row>
    <row r="2563">
      <c r="A2563" s="92" t="n"/>
      <c r="B2563" s="55" t="n"/>
      <c r="C2563" s="55" t="n"/>
      <c r="D2563" s="55" t="n"/>
      <c r="E2563" s="93" t="n"/>
      <c r="F2563" s="94" t="n"/>
      <c r="G2563" s="94" t="n"/>
      <c r="H2563" s="94" t="n"/>
      <c r="I2563" s="94" t="n"/>
      <c r="J2563" s="55" t="n"/>
      <c r="K2563" s="95" t="n"/>
      <c r="L2563" s="116">
        <f>IF($A2563="","",DATE(YEAR($A2563),MONTH($A2563)+IF(AND(IFERROR(N(INDEX(Übersicht!$M$15:$M$22,MATCH($B2563,Übersicht!$A$15:$A$22,0))),0)&gt;1,DAY($A2563)&gt;=IFERROR(N(INDEX(Übersicht!$M$15:$M$22,MATCH($B2563,Übersicht!$A$15:$A$22,0))),0)),1,0),1))</f>
        <v/>
      </c>
    </row>
    <row r="2564">
      <c r="A2564" s="92" t="n"/>
      <c r="B2564" s="55" t="n"/>
      <c r="C2564" s="55" t="n"/>
      <c r="D2564" s="55" t="n"/>
      <c r="E2564" s="93" t="n"/>
      <c r="F2564" s="94" t="n"/>
      <c r="G2564" s="94" t="n"/>
      <c r="H2564" s="94" t="n"/>
      <c r="I2564" s="94" t="n"/>
      <c r="J2564" s="55" t="n"/>
      <c r="K2564" s="95" t="n"/>
      <c r="L2564" s="116">
        <f>IF($A2564="","",DATE(YEAR($A2564),MONTH($A2564)+IF(AND(IFERROR(N(INDEX(Übersicht!$M$15:$M$22,MATCH($B2564,Übersicht!$A$15:$A$22,0))),0)&gt;1,DAY($A2564)&gt;=IFERROR(N(INDEX(Übersicht!$M$15:$M$22,MATCH($B2564,Übersicht!$A$15:$A$22,0))),0)),1,0),1))</f>
        <v/>
      </c>
    </row>
    <row r="2565">
      <c r="A2565" s="92" t="n"/>
      <c r="B2565" s="55" t="n"/>
      <c r="C2565" s="55" t="n"/>
      <c r="D2565" s="55" t="n"/>
      <c r="E2565" s="93" t="n"/>
      <c r="F2565" s="94" t="n"/>
      <c r="G2565" s="94" t="n"/>
      <c r="H2565" s="94" t="n"/>
      <c r="I2565" s="94" t="n"/>
      <c r="J2565" s="55" t="n"/>
      <c r="K2565" s="95" t="n"/>
      <c r="L2565" s="116">
        <f>IF($A2565="","",DATE(YEAR($A2565),MONTH($A2565)+IF(AND(IFERROR(N(INDEX(Übersicht!$M$15:$M$22,MATCH($B2565,Übersicht!$A$15:$A$22,0))),0)&gt;1,DAY($A2565)&gt;=IFERROR(N(INDEX(Übersicht!$M$15:$M$22,MATCH($B2565,Übersicht!$A$15:$A$22,0))),0)),1,0),1))</f>
        <v/>
      </c>
    </row>
    <row r="2566">
      <c r="A2566" s="92" t="n"/>
      <c r="B2566" s="55" t="n"/>
      <c r="C2566" s="55" t="n"/>
      <c r="D2566" s="55" t="n"/>
      <c r="E2566" s="93" t="n"/>
      <c r="F2566" s="94" t="n"/>
      <c r="G2566" s="94" t="n"/>
      <c r="H2566" s="94" t="n"/>
      <c r="I2566" s="94" t="n"/>
      <c r="J2566" s="55" t="n"/>
      <c r="K2566" s="95" t="n"/>
      <c r="L2566" s="116">
        <f>IF($A2566="","",DATE(YEAR($A2566),MONTH($A2566)+IF(AND(IFERROR(N(INDEX(Übersicht!$M$15:$M$22,MATCH($B2566,Übersicht!$A$15:$A$22,0))),0)&gt;1,DAY($A2566)&gt;=IFERROR(N(INDEX(Übersicht!$M$15:$M$22,MATCH($B2566,Übersicht!$A$15:$A$22,0))),0)),1,0),1))</f>
        <v/>
      </c>
    </row>
    <row r="2567">
      <c r="A2567" s="92" t="n"/>
      <c r="B2567" s="55" t="n"/>
      <c r="C2567" s="55" t="n"/>
      <c r="D2567" s="55" t="n"/>
      <c r="E2567" s="93" t="n"/>
      <c r="F2567" s="94" t="n"/>
      <c r="G2567" s="94" t="n"/>
      <c r="H2567" s="94" t="n"/>
      <c r="I2567" s="94" t="n"/>
      <c r="J2567" s="55" t="n"/>
      <c r="K2567" s="95" t="n"/>
      <c r="L2567" s="116">
        <f>IF($A2567="","",DATE(YEAR($A2567),MONTH($A2567)+IF(AND(IFERROR(N(INDEX(Übersicht!$M$15:$M$22,MATCH($B2567,Übersicht!$A$15:$A$22,0))),0)&gt;1,DAY($A2567)&gt;=IFERROR(N(INDEX(Übersicht!$M$15:$M$22,MATCH($B2567,Übersicht!$A$15:$A$22,0))),0)),1,0),1))</f>
        <v/>
      </c>
    </row>
    <row r="2568">
      <c r="A2568" s="92" t="n"/>
      <c r="B2568" s="55" t="n"/>
      <c r="C2568" s="55" t="n"/>
      <c r="D2568" s="55" t="n"/>
      <c r="E2568" s="93" t="n"/>
      <c r="F2568" s="94" t="n"/>
      <c r="G2568" s="94" t="n"/>
      <c r="H2568" s="94" t="n"/>
      <c r="I2568" s="94" t="n"/>
      <c r="J2568" s="55" t="n"/>
      <c r="K2568" s="95" t="n"/>
      <c r="L2568" s="116">
        <f>IF($A2568="","",DATE(YEAR($A2568),MONTH($A2568)+IF(AND(IFERROR(N(INDEX(Übersicht!$M$15:$M$22,MATCH($B2568,Übersicht!$A$15:$A$22,0))),0)&gt;1,DAY($A2568)&gt;=IFERROR(N(INDEX(Übersicht!$M$15:$M$22,MATCH($B2568,Übersicht!$A$15:$A$22,0))),0)),1,0),1))</f>
        <v/>
      </c>
    </row>
    <row r="2569">
      <c r="A2569" s="92" t="n"/>
      <c r="B2569" s="55" t="n"/>
      <c r="C2569" s="55" t="n"/>
      <c r="D2569" s="55" t="n"/>
      <c r="E2569" s="93" t="n"/>
      <c r="F2569" s="94" t="n"/>
      <c r="G2569" s="94" t="n"/>
      <c r="H2569" s="94" t="n"/>
      <c r="I2569" s="94" t="n"/>
      <c r="J2569" s="55" t="n"/>
      <c r="K2569" s="95" t="n"/>
      <c r="L2569" s="116">
        <f>IF($A2569="","",DATE(YEAR($A2569),MONTH($A2569)+IF(AND(IFERROR(N(INDEX(Übersicht!$M$15:$M$22,MATCH($B2569,Übersicht!$A$15:$A$22,0))),0)&gt;1,DAY($A2569)&gt;=IFERROR(N(INDEX(Übersicht!$M$15:$M$22,MATCH($B2569,Übersicht!$A$15:$A$22,0))),0)),1,0),1))</f>
        <v/>
      </c>
    </row>
    <row r="2570">
      <c r="A2570" s="92" t="n"/>
      <c r="B2570" s="55" t="n"/>
      <c r="C2570" s="55" t="n"/>
      <c r="D2570" s="55" t="n"/>
      <c r="E2570" s="93" t="n"/>
      <c r="F2570" s="94" t="n"/>
      <c r="G2570" s="94" t="n"/>
      <c r="H2570" s="94" t="n"/>
      <c r="I2570" s="94" t="n"/>
      <c r="J2570" s="55" t="n"/>
      <c r="K2570" s="95" t="n"/>
      <c r="L2570" s="116">
        <f>IF($A2570="","",DATE(YEAR($A2570),MONTH($A2570)+IF(AND(IFERROR(N(INDEX(Übersicht!$M$15:$M$22,MATCH($B2570,Übersicht!$A$15:$A$22,0))),0)&gt;1,DAY($A2570)&gt;=IFERROR(N(INDEX(Übersicht!$M$15:$M$22,MATCH($B2570,Übersicht!$A$15:$A$22,0))),0)),1,0),1))</f>
        <v/>
      </c>
    </row>
    <row r="2571">
      <c r="A2571" s="92" t="n"/>
      <c r="B2571" s="55" t="n"/>
      <c r="C2571" s="55" t="n"/>
      <c r="D2571" s="55" t="n"/>
      <c r="E2571" s="93" t="n"/>
      <c r="F2571" s="94" t="n"/>
      <c r="G2571" s="94" t="n"/>
      <c r="H2571" s="94" t="n"/>
      <c r="I2571" s="94" t="n"/>
      <c r="J2571" s="55" t="n"/>
      <c r="K2571" s="95" t="n"/>
      <c r="L2571" s="116">
        <f>IF($A2571="","",DATE(YEAR($A2571),MONTH($A2571)+IF(AND(IFERROR(N(INDEX(Übersicht!$M$15:$M$22,MATCH($B2571,Übersicht!$A$15:$A$22,0))),0)&gt;1,DAY($A2571)&gt;=IFERROR(N(INDEX(Übersicht!$M$15:$M$22,MATCH($B2571,Übersicht!$A$15:$A$22,0))),0)),1,0),1))</f>
        <v/>
      </c>
    </row>
    <row r="2572">
      <c r="A2572" s="92" t="n"/>
      <c r="B2572" s="55" t="n"/>
      <c r="C2572" s="55" t="n"/>
      <c r="D2572" s="55" t="n"/>
      <c r="E2572" s="93" t="n"/>
      <c r="F2572" s="94" t="n"/>
      <c r="G2572" s="94" t="n"/>
      <c r="H2572" s="94" t="n"/>
      <c r="I2572" s="94" t="n"/>
      <c r="J2572" s="55" t="n"/>
      <c r="K2572" s="95" t="n"/>
      <c r="L2572" s="116">
        <f>IF($A2572="","",DATE(YEAR($A2572),MONTH($A2572)+IF(AND(IFERROR(N(INDEX(Übersicht!$M$15:$M$22,MATCH($B2572,Übersicht!$A$15:$A$22,0))),0)&gt;1,DAY($A2572)&gt;=IFERROR(N(INDEX(Übersicht!$M$15:$M$22,MATCH($B2572,Übersicht!$A$15:$A$22,0))),0)),1,0),1))</f>
        <v/>
      </c>
    </row>
    <row r="2573">
      <c r="A2573" s="92" t="n"/>
      <c r="B2573" s="55" t="n"/>
      <c r="C2573" s="55" t="n"/>
      <c r="D2573" s="55" t="n"/>
      <c r="E2573" s="93" t="n"/>
      <c r="F2573" s="94" t="n"/>
      <c r="G2573" s="94" t="n"/>
      <c r="H2573" s="94" t="n"/>
      <c r="I2573" s="94" t="n"/>
      <c r="J2573" s="55" t="n"/>
      <c r="K2573" s="95" t="n"/>
      <c r="L2573" s="116">
        <f>IF($A2573="","",DATE(YEAR($A2573),MONTH($A2573)+IF(AND(IFERROR(N(INDEX(Übersicht!$M$15:$M$22,MATCH($B2573,Übersicht!$A$15:$A$22,0))),0)&gt;1,DAY($A2573)&gt;=IFERROR(N(INDEX(Übersicht!$M$15:$M$22,MATCH($B2573,Übersicht!$A$15:$A$22,0))),0)),1,0),1))</f>
        <v/>
      </c>
    </row>
    <row r="2574">
      <c r="A2574" s="92" t="n"/>
      <c r="B2574" s="55" t="n"/>
      <c r="C2574" s="55" t="n"/>
      <c r="D2574" s="55" t="n"/>
      <c r="E2574" s="93" t="n"/>
      <c r="F2574" s="94" t="n"/>
      <c r="G2574" s="94" t="n"/>
      <c r="H2574" s="94" t="n"/>
      <c r="I2574" s="94" t="n"/>
      <c r="J2574" s="55" t="n"/>
      <c r="K2574" s="95" t="n"/>
      <c r="L2574" s="116">
        <f>IF($A2574="","",DATE(YEAR($A2574),MONTH($A2574)+IF(AND(IFERROR(N(INDEX(Übersicht!$M$15:$M$22,MATCH($B2574,Übersicht!$A$15:$A$22,0))),0)&gt;1,DAY($A2574)&gt;=IFERROR(N(INDEX(Übersicht!$M$15:$M$22,MATCH($B2574,Übersicht!$A$15:$A$22,0))),0)),1,0),1))</f>
        <v/>
      </c>
    </row>
    <row r="2575">
      <c r="A2575" s="92" t="n"/>
      <c r="B2575" s="55" t="n"/>
      <c r="C2575" s="55" t="n"/>
      <c r="D2575" s="55" t="n"/>
      <c r="E2575" s="93" t="n"/>
      <c r="F2575" s="94" t="n"/>
      <c r="G2575" s="94" t="n"/>
      <c r="H2575" s="94" t="n"/>
      <c r="I2575" s="94" t="n"/>
      <c r="J2575" s="55" t="n"/>
      <c r="K2575" s="95" t="n"/>
      <c r="L2575" s="116">
        <f>IF($A2575="","",DATE(YEAR($A2575),MONTH($A2575)+IF(AND(IFERROR(N(INDEX(Übersicht!$M$15:$M$22,MATCH($B2575,Übersicht!$A$15:$A$22,0))),0)&gt;1,DAY($A2575)&gt;=IFERROR(N(INDEX(Übersicht!$M$15:$M$22,MATCH($B2575,Übersicht!$A$15:$A$22,0))),0)),1,0),1))</f>
        <v/>
      </c>
    </row>
    <row r="2576">
      <c r="A2576" s="92" t="n"/>
      <c r="B2576" s="55" t="n"/>
      <c r="C2576" s="55" t="n"/>
      <c r="D2576" s="55" t="n"/>
      <c r="E2576" s="93" t="n"/>
      <c r="F2576" s="94" t="n"/>
      <c r="G2576" s="94" t="n"/>
      <c r="H2576" s="94" t="n"/>
      <c r="I2576" s="94" t="n"/>
      <c r="J2576" s="55" t="n"/>
      <c r="K2576" s="95" t="n"/>
      <c r="L2576" s="116">
        <f>IF($A2576="","",DATE(YEAR($A2576),MONTH($A2576)+IF(AND(IFERROR(N(INDEX(Übersicht!$M$15:$M$22,MATCH($B2576,Übersicht!$A$15:$A$22,0))),0)&gt;1,DAY($A2576)&gt;=IFERROR(N(INDEX(Übersicht!$M$15:$M$22,MATCH($B2576,Übersicht!$A$15:$A$22,0))),0)),1,0),1))</f>
        <v/>
      </c>
    </row>
    <row r="2577">
      <c r="A2577" s="92" t="n"/>
      <c r="B2577" s="55" t="n"/>
      <c r="C2577" s="55" t="n"/>
      <c r="D2577" s="55" t="n"/>
      <c r="E2577" s="93" t="n"/>
      <c r="F2577" s="94" t="n"/>
      <c r="G2577" s="94" t="n"/>
      <c r="H2577" s="94" t="n"/>
      <c r="I2577" s="94" t="n"/>
      <c r="J2577" s="55" t="n"/>
      <c r="K2577" s="95" t="n"/>
      <c r="L2577" s="116">
        <f>IF($A2577="","",DATE(YEAR($A2577),MONTH($A2577)+IF(AND(IFERROR(N(INDEX(Übersicht!$M$15:$M$22,MATCH($B2577,Übersicht!$A$15:$A$22,0))),0)&gt;1,DAY($A2577)&gt;=IFERROR(N(INDEX(Übersicht!$M$15:$M$22,MATCH($B2577,Übersicht!$A$15:$A$22,0))),0)),1,0),1))</f>
        <v/>
      </c>
    </row>
    <row r="2578">
      <c r="A2578" s="92" t="n"/>
      <c r="B2578" s="55" t="n"/>
      <c r="C2578" s="55" t="n"/>
      <c r="D2578" s="55" t="n"/>
      <c r="E2578" s="93" t="n"/>
      <c r="F2578" s="94" t="n"/>
      <c r="G2578" s="94" t="n"/>
      <c r="H2578" s="94" t="n"/>
      <c r="I2578" s="94" t="n"/>
      <c r="J2578" s="55" t="n"/>
      <c r="K2578" s="95" t="n"/>
      <c r="L2578" s="116">
        <f>IF($A2578="","",DATE(YEAR($A2578),MONTH($A2578)+IF(AND(IFERROR(N(INDEX(Übersicht!$M$15:$M$22,MATCH($B2578,Übersicht!$A$15:$A$22,0))),0)&gt;1,DAY($A2578)&gt;=IFERROR(N(INDEX(Übersicht!$M$15:$M$22,MATCH($B2578,Übersicht!$A$15:$A$22,0))),0)),1,0),1))</f>
        <v/>
      </c>
    </row>
    <row r="2579">
      <c r="A2579" s="92" t="n"/>
      <c r="B2579" s="55" t="n"/>
      <c r="C2579" s="55" t="n"/>
      <c r="D2579" s="55" t="n"/>
      <c r="E2579" s="93" t="n"/>
      <c r="F2579" s="94" t="n"/>
      <c r="G2579" s="94" t="n"/>
      <c r="H2579" s="94" t="n"/>
      <c r="I2579" s="94" t="n"/>
      <c r="J2579" s="55" t="n"/>
      <c r="K2579" s="95" t="n"/>
      <c r="L2579" s="116">
        <f>IF($A2579="","",DATE(YEAR($A2579),MONTH($A2579)+IF(AND(IFERROR(N(INDEX(Übersicht!$M$15:$M$22,MATCH($B2579,Übersicht!$A$15:$A$22,0))),0)&gt;1,DAY($A2579)&gt;=IFERROR(N(INDEX(Übersicht!$M$15:$M$22,MATCH($B2579,Übersicht!$A$15:$A$22,0))),0)),1,0),1))</f>
        <v/>
      </c>
    </row>
    <row r="2580">
      <c r="A2580" s="92" t="n"/>
      <c r="B2580" s="55" t="n"/>
      <c r="C2580" s="55" t="n"/>
      <c r="D2580" s="55" t="n"/>
      <c r="E2580" s="93" t="n"/>
      <c r="F2580" s="94" t="n"/>
      <c r="G2580" s="94" t="n"/>
      <c r="H2580" s="94" t="n"/>
      <c r="I2580" s="94" t="n"/>
      <c r="J2580" s="55" t="n"/>
      <c r="K2580" s="95" t="n"/>
      <c r="L2580" s="116">
        <f>IF($A2580="","",DATE(YEAR($A2580),MONTH($A2580)+IF(AND(IFERROR(N(INDEX(Übersicht!$M$15:$M$22,MATCH($B2580,Übersicht!$A$15:$A$22,0))),0)&gt;1,DAY($A2580)&gt;=IFERROR(N(INDEX(Übersicht!$M$15:$M$22,MATCH($B2580,Übersicht!$A$15:$A$22,0))),0)),1,0),1))</f>
        <v/>
      </c>
    </row>
    <row r="2581">
      <c r="A2581" s="92" t="n"/>
      <c r="B2581" s="55" t="n"/>
      <c r="C2581" s="55" t="n"/>
      <c r="D2581" s="55" t="n"/>
      <c r="E2581" s="93" t="n"/>
      <c r="F2581" s="94" t="n"/>
      <c r="G2581" s="94" t="n"/>
      <c r="H2581" s="94" t="n"/>
      <c r="I2581" s="94" t="n"/>
      <c r="J2581" s="55" t="n"/>
      <c r="K2581" s="95" t="n"/>
      <c r="L2581" s="116">
        <f>IF($A2581="","",DATE(YEAR($A2581),MONTH($A2581)+IF(AND(IFERROR(N(INDEX(Übersicht!$M$15:$M$22,MATCH($B2581,Übersicht!$A$15:$A$22,0))),0)&gt;1,DAY($A2581)&gt;=IFERROR(N(INDEX(Übersicht!$M$15:$M$22,MATCH($B2581,Übersicht!$A$15:$A$22,0))),0)),1,0),1))</f>
        <v/>
      </c>
    </row>
    <row r="2582">
      <c r="A2582" s="92" t="n"/>
      <c r="B2582" s="55" t="n"/>
      <c r="C2582" s="55" t="n"/>
      <c r="D2582" s="55" t="n"/>
      <c r="E2582" s="93" t="n"/>
      <c r="F2582" s="94" t="n"/>
      <c r="G2582" s="94" t="n"/>
      <c r="H2582" s="94" t="n"/>
      <c r="I2582" s="94" t="n"/>
      <c r="J2582" s="55" t="n"/>
      <c r="K2582" s="95" t="n"/>
      <c r="L2582" s="116">
        <f>IF($A2582="","",DATE(YEAR($A2582),MONTH($A2582)+IF(AND(IFERROR(N(INDEX(Übersicht!$M$15:$M$22,MATCH($B2582,Übersicht!$A$15:$A$22,0))),0)&gt;1,DAY($A2582)&gt;=IFERROR(N(INDEX(Übersicht!$M$15:$M$22,MATCH($B2582,Übersicht!$A$15:$A$22,0))),0)),1,0),1))</f>
        <v/>
      </c>
    </row>
    <row r="2583">
      <c r="A2583" s="92" t="n"/>
      <c r="B2583" s="55" t="n"/>
      <c r="C2583" s="55" t="n"/>
      <c r="D2583" s="55" t="n"/>
      <c r="E2583" s="93" t="n"/>
      <c r="F2583" s="94" t="n"/>
      <c r="G2583" s="94" t="n"/>
      <c r="H2583" s="94" t="n"/>
      <c r="I2583" s="94" t="n"/>
      <c r="J2583" s="55" t="n"/>
      <c r="K2583" s="95" t="n"/>
      <c r="L2583" s="116">
        <f>IF($A2583="","",DATE(YEAR($A2583),MONTH($A2583)+IF(AND(IFERROR(N(INDEX(Übersicht!$M$15:$M$22,MATCH($B2583,Übersicht!$A$15:$A$22,0))),0)&gt;1,DAY($A2583)&gt;=IFERROR(N(INDEX(Übersicht!$M$15:$M$22,MATCH($B2583,Übersicht!$A$15:$A$22,0))),0)),1,0),1))</f>
        <v/>
      </c>
    </row>
    <row r="2584">
      <c r="A2584" s="92" t="n"/>
      <c r="B2584" s="55" t="n"/>
      <c r="C2584" s="55" t="n"/>
      <c r="D2584" s="55" t="n"/>
      <c r="E2584" s="93" t="n"/>
      <c r="F2584" s="94" t="n"/>
      <c r="G2584" s="94" t="n"/>
      <c r="H2584" s="94" t="n"/>
      <c r="I2584" s="94" t="n"/>
      <c r="J2584" s="55" t="n"/>
      <c r="K2584" s="95" t="n"/>
      <c r="L2584" s="116">
        <f>IF($A2584="","",DATE(YEAR($A2584),MONTH($A2584)+IF(AND(IFERROR(N(INDEX(Übersicht!$M$15:$M$22,MATCH($B2584,Übersicht!$A$15:$A$22,0))),0)&gt;1,DAY($A2584)&gt;=IFERROR(N(INDEX(Übersicht!$M$15:$M$22,MATCH($B2584,Übersicht!$A$15:$A$22,0))),0)),1,0),1))</f>
        <v/>
      </c>
    </row>
    <row r="2585">
      <c r="A2585" s="92" t="n"/>
      <c r="B2585" s="55" t="n"/>
      <c r="C2585" s="55" t="n"/>
      <c r="D2585" s="55" t="n"/>
      <c r="E2585" s="93" t="n"/>
      <c r="F2585" s="94" t="n"/>
      <c r="G2585" s="94" t="n"/>
      <c r="H2585" s="94" t="n"/>
      <c r="I2585" s="94" t="n"/>
      <c r="J2585" s="55" t="n"/>
      <c r="K2585" s="95" t="n"/>
      <c r="L2585" s="116">
        <f>IF($A2585="","",DATE(YEAR($A2585),MONTH($A2585)+IF(AND(IFERROR(N(INDEX(Übersicht!$M$15:$M$22,MATCH($B2585,Übersicht!$A$15:$A$22,0))),0)&gt;1,DAY($A2585)&gt;=IFERROR(N(INDEX(Übersicht!$M$15:$M$22,MATCH($B2585,Übersicht!$A$15:$A$22,0))),0)),1,0),1))</f>
        <v/>
      </c>
    </row>
    <row r="2586">
      <c r="A2586" s="92" t="n"/>
      <c r="B2586" s="55" t="n"/>
      <c r="C2586" s="55" t="n"/>
      <c r="D2586" s="55" t="n"/>
      <c r="E2586" s="93" t="n"/>
      <c r="F2586" s="94" t="n"/>
      <c r="G2586" s="94" t="n"/>
      <c r="H2586" s="94" t="n"/>
      <c r="I2586" s="94" t="n"/>
      <c r="J2586" s="55" t="n"/>
      <c r="K2586" s="95" t="n"/>
      <c r="L2586" s="116">
        <f>IF($A2586="","",DATE(YEAR($A2586),MONTH($A2586)+IF(AND(IFERROR(N(INDEX(Übersicht!$M$15:$M$22,MATCH($B2586,Übersicht!$A$15:$A$22,0))),0)&gt;1,DAY($A2586)&gt;=IFERROR(N(INDEX(Übersicht!$M$15:$M$22,MATCH($B2586,Übersicht!$A$15:$A$22,0))),0)),1,0),1))</f>
        <v/>
      </c>
    </row>
    <row r="2587">
      <c r="A2587" s="92" t="n"/>
      <c r="B2587" s="55" t="n"/>
      <c r="C2587" s="55" t="n"/>
      <c r="D2587" s="55" t="n"/>
      <c r="E2587" s="93" t="n"/>
      <c r="F2587" s="94" t="n"/>
      <c r="G2587" s="94" t="n"/>
      <c r="H2587" s="94" t="n"/>
      <c r="I2587" s="94" t="n"/>
      <c r="J2587" s="55" t="n"/>
      <c r="K2587" s="95" t="n"/>
      <c r="L2587" s="116">
        <f>IF($A2587="","",DATE(YEAR($A2587),MONTH($A2587)+IF(AND(IFERROR(N(INDEX(Übersicht!$M$15:$M$22,MATCH($B2587,Übersicht!$A$15:$A$22,0))),0)&gt;1,DAY($A2587)&gt;=IFERROR(N(INDEX(Übersicht!$M$15:$M$22,MATCH($B2587,Übersicht!$A$15:$A$22,0))),0)),1,0),1))</f>
        <v/>
      </c>
    </row>
    <row r="2588">
      <c r="A2588" s="92" t="n"/>
      <c r="B2588" s="55" t="n"/>
      <c r="C2588" s="55" t="n"/>
      <c r="D2588" s="55" t="n"/>
      <c r="E2588" s="93" t="n"/>
      <c r="F2588" s="94" t="n"/>
      <c r="G2588" s="94" t="n"/>
      <c r="H2588" s="94" t="n"/>
      <c r="I2588" s="94" t="n"/>
      <c r="J2588" s="55" t="n"/>
      <c r="K2588" s="95" t="n"/>
      <c r="L2588" s="116">
        <f>IF($A2588="","",DATE(YEAR($A2588),MONTH($A2588)+IF(AND(IFERROR(N(INDEX(Übersicht!$M$15:$M$22,MATCH($B2588,Übersicht!$A$15:$A$22,0))),0)&gt;1,DAY($A2588)&gt;=IFERROR(N(INDEX(Übersicht!$M$15:$M$22,MATCH($B2588,Übersicht!$A$15:$A$22,0))),0)),1,0),1))</f>
        <v/>
      </c>
    </row>
    <row r="2589">
      <c r="A2589" s="92" t="n"/>
      <c r="B2589" s="55" t="n"/>
      <c r="C2589" s="55" t="n"/>
      <c r="D2589" s="55" t="n"/>
      <c r="E2589" s="93" t="n"/>
      <c r="F2589" s="94" t="n"/>
      <c r="G2589" s="94" t="n"/>
      <c r="H2589" s="94" t="n"/>
      <c r="I2589" s="94" t="n"/>
      <c r="J2589" s="55" t="n"/>
      <c r="K2589" s="95" t="n"/>
      <c r="L2589" s="116">
        <f>IF($A2589="","",DATE(YEAR($A2589),MONTH($A2589)+IF(AND(IFERROR(N(INDEX(Übersicht!$M$15:$M$22,MATCH($B2589,Übersicht!$A$15:$A$22,0))),0)&gt;1,DAY($A2589)&gt;=IFERROR(N(INDEX(Übersicht!$M$15:$M$22,MATCH($B2589,Übersicht!$A$15:$A$22,0))),0)),1,0),1))</f>
        <v/>
      </c>
    </row>
    <row r="2590">
      <c r="A2590" s="92" t="n"/>
      <c r="B2590" s="55" t="n"/>
      <c r="C2590" s="55" t="n"/>
      <c r="D2590" s="55" t="n"/>
      <c r="E2590" s="93" t="n"/>
      <c r="F2590" s="94" t="n"/>
      <c r="G2590" s="94" t="n"/>
      <c r="H2590" s="94" t="n"/>
      <c r="I2590" s="94" t="n"/>
      <c r="J2590" s="55" t="n"/>
      <c r="K2590" s="95" t="n"/>
      <c r="L2590" s="116">
        <f>IF($A2590="","",DATE(YEAR($A2590),MONTH($A2590)+IF(AND(IFERROR(N(INDEX(Übersicht!$M$15:$M$22,MATCH($B2590,Übersicht!$A$15:$A$22,0))),0)&gt;1,DAY($A2590)&gt;=IFERROR(N(INDEX(Übersicht!$M$15:$M$22,MATCH($B2590,Übersicht!$A$15:$A$22,0))),0)),1,0),1))</f>
        <v/>
      </c>
    </row>
    <row r="2591">
      <c r="A2591" s="92" t="n"/>
      <c r="B2591" s="55" t="n"/>
      <c r="C2591" s="55" t="n"/>
      <c r="D2591" s="55" t="n"/>
      <c r="E2591" s="93" t="n"/>
      <c r="F2591" s="94" t="n"/>
      <c r="G2591" s="94" t="n"/>
      <c r="H2591" s="94" t="n"/>
      <c r="I2591" s="94" t="n"/>
      <c r="J2591" s="55" t="n"/>
      <c r="K2591" s="95" t="n"/>
      <c r="L2591" s="116">
        <f>IF($A2591="","",DATE(YEAR($A2591),MONTH($A2591)+IF(AND(IFERROR(N(INDEX(Übersicht!$M$15:$M$22,MATCH($B2591,Übersicht!$A$15:$A$22,0))),0)&gt;1,DAY($A2591)&gt;=IFERROR(N(INDEX(Übersicht!$M$15:$M$22,MATCH($B2591,Übersicht!$A$15:$A$22,0))),0)),1,0),1))</f>
        <v/>
      </c>
    </row>
    <row r="2592">
      <c r="A2592" s="92" t="n"/>
      <c r="B2592" s="55" t="n"/>
      <c r="C2592" s="55" t="n"/>
      <c r="D2592" s="55" t="n"/>
      <c r="E2592" s="93" t="n"/>
      <c r="F2592" s="94" t="n"/>
      <c r="G2592" s="94" t="n"/>
      <c r="H2592" s="94" t="n"/>
      <c r="I2592" s="94" t="n"/>
      <c r="J2592" s="55" t="n"/>
      <c r="K2592" s="95" t="n"/>
      <c r="L2592" s="116">
        <f>IF($A2592="","",DATE(YEAR($A2592),MONTH($A2592)+IF(AND(IFERROR(N(INDEX(Übersicht!$M$15:$M$22,MATCH($B2592,Übersicht!$A$15:$A$22,0))),0)&gt;1,DAY($A2592)&gt;=IFERROR(N(INDEX(Übersicht!$M$15:$M$22,MATCH($B2592,Übersicht!$A$15:$A$22,0))),0)),1,0),1))</f>
        <v/>
      </c>
    </row>
    <row r="2593">
      <c r="A2593" s="92" t="n"/>
      <c r="B2593" s="55" t="n"/>
      <c r="C2593" s="55" t="n"/>
      <c r="D2593" s="55" t="n"/>
      <c r="E2593" s="93" t="n"/>
      <c r="F2593" s="94" t="n"/>
      <c r="G2593" s="94" t="n"/>
      <c r="H2593" s="94" t="n"/>
      <c r="I2593" s="94" t="n"/>
      <c r="J2593" s="55" t="n"/>
      <c r="K2593" s="95" t="n"/>
      <c r="L2593" s="116">
        <f>IF($A2593="","",DATE(YEAR($A2593),MONTH($A2593)+IF(AND(IFERROR(N(INDEX(Übersicht!$M$15:$M$22,MATCH($B2593,Übersicht!$A$15:$A$22,0))),0)&gt;1,DAY($A2593)&gt;=IFERROR(N(INDEX(Übersicht!$M$15:$M$22,MATCH($B2593,Übersicht!$A$15:$A$22,0))),0)),1,0),1))</f>
        <v/>
      </c>
    </row>
    <row r="2594">
      <c r="A2594" s="92" t="n"/>
      <c r="B2594" s="55" t="n"/>
      <c r="C2594" s="55" t="n"/>
      <c r="D2594" s="55" t="n"/>
      <c r="E2594" s="93" t="n"/>
      <c r="F2594" s="94" t="n"/>
      <c r="G2594" s="94" t="n"/>
      <c r="H2594" s="94" t="n"/>
      <c r="I2594" s="94" t="n"/>
      <c r="J2594" s="55" t="n"/>
      <c r="K2594" s="95" t="n"/>
      <c r="L2594" s="116">
        <f>IF($A2594="","",DATE(YEAR($A2594),MONTH($A2594)+IF(AND(IFERROR(N(INDEX(Übersicht!$M$15:$M$22,MATCH($B2594,Übersicht!$A$15:$A$22,0))),0)&gt;1,DAY($A2594)&gt;=IFERROR(N(INDEX(Übersicht!$M$15:$M$22,MATCH($B2594,Übersicht!$A$15:$A$22,0))),0)),1,0),1))</f>
        <v/>
      </c>
    </row>
    <row r="2595">
      <c r="A2595" s="92" t="n"/>
      <c r="B2595" s="55" t="n"/>
      <c r="C2595" s="55" t="n"/>
      <c r="D2595" s="55" t="n"/>
      <c r="E2595" s="93" t="n"/>
      <c r="F2595" s="94" t="n"/>
      <c r="G2595" s="94" t="n"/>
      <c r="H2595" s="94" t="n"/>
      <c r="I2595" s="94" t="n"/>
      <c r="J2595" s="55" t="n"/>
      <c r="K2595" s="95" t="n"/>
      <c r="L2595" s="116">
        <f>IF($A2595="","",DATE(YEAR($A2595),MONTH($A2595)+IF(AND(IFERROR(N(INDEX(Übersicht!$M$15:$M$22,MATCH($B2595,Übersicht!$A$15:$A$22,0))),0)&gt;1,DAY($A2595)&gt;=IFERROR(N(INDEX(Übersicht!$M$15:$M$22,MATCH($B2595,Übersicht!$A$15:$A$22,0))),0)),1,0),1))</f>
        <v/>
      </c>
    </row>
    <row r="2596">
      <c r="A2596" s="92" t="n"/>
      <c r="B2596" s="55" t="n"/>
      <c r="C2596" s="55" t="n"/>
      <c r="D2596" s="55" t="n"/>
      <c r="E2596" s="93" t="n"/>
      <c r="F2596" s="94" t="n"/>
      <c r="G2596" s="94" t="n"/>
      <c r="H2596" s="94" t="n"/>
      <c r="I2596" s="94" t="n"/>
      <c r="J2596" s="55" t="n"/>
      <c r="K2596" s="95" t="n"/>
      <c r="L2596" s="116">
        <f>IF($A2596="","",DATE(YEAR($A2596),MONTH($A2596)+IF(AND(IFERROR(N(INDEX(Übersicht!$M$15:$M$22,MATCH($B2596,Übersicht!$A$15:$A$22,0))),0)&gt;1,DAY($A2596)&gt;=IFERROR(N(INDEX(Übersicht!$M$15:$M$22,MATCH($B2596,Übersicht!$A$15:$A$22,0))),0)),1,0),1))</f>
        <v/>
      </c>
    </row>
    <row r="2597">
      <c r="A2597" s="92" t="n"/>
      <c r="B2597" s="55" t="n"/>
      <c r="C2597" s="55" t="n"/>
      <c r="D2597" s="55" t="n"/>
      <c r="E2597" s="93" t="n"/>
      <c r="F2597" s="94" t="n"/>
      <c r="G2597" s="94" t="n"/>
      <c r="H2597" s="94" t="n"/>
      <c r="I2597" s="94" t="n"/>
      <c r="J2597" s="55" t="n"/>
      <c r="K2597" s="95" t="n"/>
      <c r="L2597" s="116">
        <f>IF($A2597="","",DATE(YEAR($A2597),MONTH($A2597)+IF(AND(IFERROR(N(INDEX(Übersicht!$M$15:$M$22,MATCH($B2597,Übersicht!$A$15:$A$22,0))),0)&gt;1,DAY($A2597)&gt;=IFERROR(N(INDEX(Übersicht!$M$15:$M$22,MATCH($B2597,Übersicht!$A$15:$A$22,0))),0)),1,0),1))</f>
        <v/>
      </c>
    </row>
    <row r="2598">
      <c r="A2598" s="92" t="n"/>
      <c r="B2598" s="55" t="n"/>
      <c r="C2598" s="55" t="n"/>
      <c r="D2598" s="55" t="n"/>
      <c r="E2598" s="93" t="n"/>
      <c r="F2598" s="94" t="n"/>
      <c r="G2598" s="94" t="n"/>
      <c r="H2598" s="94" t="n"/>
      <c r="I2598" s="94" t="n"/>
      <c r="J2598" s="55" t="n"/>
      <c r="K2598" s="95" t="n"/>
      <c r="L2598" s="116">
        <f>IF($A2598="","",DATE(YEAR($A2598),MONTH($A2598)+IF(AND(IFERROR(N(INDEX(Übersicht!$M$15:$M$22,MATCH($B2598,Übersicht!$A$15:$A$22,0))),0)&gt;1,DAY($A2598)&gt;=IFERROR(N(INDEX(Übersicht!$M$15:$M$22,MATCH($B2598,Übersicht!$A$15:$A$22,0))),0)),1,0),1))</f>
        <v/>
      </c>
    </row>
    <row r="2599">
      <c r="A2599" s="92" t="n"/>
      <c r="B2599" s="55" t="n"/>
      <c r="C2599" s="55" t="n"/>
      <c r="D2599" s="55" t="n"/>
      <c r="E2599" s="93" t="n"/>
      <c r="F2599" s="94" t="n"/>
      <c r="G2599" s="94" t="n"/>
      <c r="H2599" s="94" t="n"/>
      <c r="I2599" s="94" t="n"/>
      <c r="J2599" s="55" t="n"/>
      <c r="K2599" s="95" t="n"/>
      <c r="L2599" s="116">
        <f>IF($A2599="","",DATE(YEAR($A2599),MONTH($A2599)+IF(AND(IFERROR(N(INDEX(Übersicht!$M$15:$M$22,MATCH($B2599,Übersicht!$A$15:$A$22,0))),0)&gt;1,DAY($A2599)&gt;=IFERROR(N(INDEX(Übersicht!$M$15:$M$22,MATCH($B2599,Übersicht!$A$15:$A$22,0))),0)),1,0),1))</f>
        <v/>
      </c>
    </row>
    <row r="2600">
      <c r="A2600" s="92" t="n"/>
      <c r="B2600" s="55" t="n"/>
      <c r="C2600" s="55" t="n"/>
      <c r="D2600" s="55" t="n"/>
      <c r="E2600" s="93" t="n"/>
      <c r="F2600" s="94" t="n"/>
      <c r="G2600" s="94" t="n"/>
      <c r="H2600" s="94" t="n"/>
      <c r="I2600" s="94" t="n"/>
      <c r="J2600" s="55" t="n"/>
      <c r="K2600" s="95" t="n"/>
      <c r="L2600" s="116">
        <f>IF($A2600="","",DATE(YEAR($A2600),MONTH($A2600)+IF(AND(IFERROR(N(INDEX(Übersicht!$M$15:$M$22,MATCH($B2600,Übersicht!$A$15:$A$22,0))),0)&gt;1,DAY($A2600)&gt;=IFERROR(N(INDEX(Übersicht!$M$15:$M$22,MATCH($B2600,Übersicht!$A$15:$A$22,0))),0)),1,0),1))</f>
        <v/>
      </c>
    </row>
    <row r="2601">
      <c r="A2601" s="92" t="n"/>
      <c r="B2601" s="55" t="n"/>
      <c r="C2601" s="55" t="n"/>
      <c r="D2601" s="55" t="n"/>
      <c r="E2601" s="93" t="n"/>
      <c r="F2601" s="94" t="n"/>
      <c r="G2601" s="94" t="n"/>
      <c r="H2601" s="94" t="n"/>
      <c r="I2601" s="94" t="n"/>
      <c r="J2601" s="55" t="n"/>
      <c r="K2601" s="95" t="n"/>
      <c r="L2601" s="116">
        <f>IF($A2601="","",DATE(YEAR($A2601),MONTH($A2601)+IF(AND(IFERROR(N(INDEX(Übersicht!$M$15:$M$22,MATCH($B2601,Übersicht!$A$15:$A$22,0))),0)&gt;1,DAY($A2601)&gt;=IFERROR(N(INDEX(Übersicht!$M$15:$M$22,MATCH($B2601,Übersicht!$A$15:$A$22,0))),0)),1,0),1))</f>
        <v/>
      </c>
    </row>
    <row r="2602">
      <c r="A2602" s="92" t="n"/>
      <c r="B2602" s="55" t="n"/>
      <c r="C2602" s="55" t="n"/>
      <c r="D2602" s="55" t="n"/>
      <c r="E2602" s="93" t="n"/>
      <c r="F2602" s="94" t="n"/>
      <c r="G2602" s="94" t="n"/>
      <c r="H2602" s="94" t="n"/>
      <c r="I2602" s="94" t="n"/>
      <c r="J2602" s="55" t="n"/>
      <c r="K2602" s="95" t="n"/>
      <c r="L2602" s="116">
        <f>IF($A2602="","",DATE(YEAR($A2602),MONTH($A2602)+IF(AND(IFERROR(N(INDEX(Übersicht!$M$15:$M$22,MATCH($B2602,Übersicht!$A$15:$A$22,0))),0)&gt;1,DAY($A2602)&gt;=IFERROR(N(INDEX(Übersicht!$M$15:$M$22,MATCH($B2602,Übersicht!$A$15:$A$22,0))),0)),1,0),1))</f>
        <v/>
      </c>
    </row>
    <row r="2603">
      <c r="A2603" s="92" t="n"/>
      <c r="B2603" s="55" t="n"/>
      <c r="C2603" s="55" t="n"/>
      <c r="D2603" s="55" t="n"/>
      <c r="E2603" s="93" t="n"/>
      <c r="F2603" s="94" t="n"/>
      <c r="G2603" s="94" t="n"/>
      <c r="H2603" s="94" t="n"/>
      <c r="I2603" s="94" t="n"/>
      <c r="J2603" s="55" t="n"/>
      <c r="K2603" s="95" t="n"/>
      <c r="L2603" s="116">
        <f>IF($A2603="","",DATE(YEAR($A2603),MONTH($A2603)+IF(AND(IFERROR(N(INDEX(Übersicht!$M$15:$M$22,MATCH($B2603,Übersicht!$A$15:$A$22,0))),0)&gt;1,DAY($A2603)&gt;=IFERROR(N(INDEX(Übersicht!$M$15:$M$22,MATCH($B2603,Übersicht!$A$15:$A$22,0))),0)),1,0),1))</f>
        <v/>
      </c>
    </row>
    <row r="2604">
      <c r="A2604" s="92" t="n"/>
      <c r="B2604" s="55" t="n"/>
      <c r="C2604" s="55" t="n"/>
      <c r="D2604" s="55" t="n"/>
      <c r="E2604" s="93" t="n"/>
      <c r="F2604" s="94" t="n"/>
      <c r="G2604" s="94" t="n"/>
      <c r="H2604" s="94" t="n"/>
      <c r="I2604" s="94" t="n"/>
      <c r="J2604" s="55" t="n"/>
      <c r="K2604" s="95" t="n"/>
      <c r="L2604" s="116">
        <f>IF($A2604="","",DATE(YEAR($A2604),MONTH($A2604)+IF(AND(IFERROR(N(INDEX(Übersicht!$M$15:$M$22,MATCH($B2604,Übersicht!$A$15:$A$22,0))),0)&gt;1,DAY($A2604)&gt;=IFERROR(N(INDEX(Übersicht!$M$15:$M$22,MATCH($B2604,Übersicht!$A$15:$A$22,0))),0)),1,0),1))</f>
        <v/>
      </c>
    </row>
    <row r="2605">
      <c r="A2605" s="92" t="n"/>
      <c r="B2605" s="55" t="n"/>
      <c r="C2605" s="55" t="n"/>
      <c r="D2605" s="55" t="n"/>
      <c r="E2605" s="93" t="n"/>
      <c r="F2605" s="94" t="n"/>
      <c r="G2605" s="94" t="n"/>
      <c r="H2605" s="94" t="n"/>
      <c r="I2605" s="94" t="n"/>
      <c r="J2605" s="55" t="n"/>
      <c r="K2605" s="95" t="n"/>
      <c r="L2605" s="116">
        <f>IF($A2605="","",DATE(YEAR($A2605),MONTH($A2605)+IF(AND(IFERROR(N(INDEX(Übersicht!$M$15:$M$22,MATCH($B2605,Übersicht!$A$15:$A$22,0))),0)&gt;1,DAY($A2605)&gt;=IFERROR(N(INDEX(Übersicht!$M$15:$M$22,MATCH($B2605,Übersicht!$A$15:$A$22,0))),0)),1,0),1))</f>
        <v/>
      </c>
    </row>
    <row r="2606">
      <c r="A2606" s="92" t="n"/>
      <c r="B2606" s="55" t="n"/>
      <c r="C2606" s="55" t="n"/>
      <c r="D2606" s="55" t="n"/>
      <c r="E2606" s="93" t="n"/>
      <c r="F2606" s="94" t="n"/>
      <c r="G2606" s="94" t="n"/>
      <c r="H2606" s="94" t="n"/>
      <c r="I2606" s="94" t="n"/>
      <c r="J2606" s="55" t="n"/>
      <c r="K2606" s="95" t="n"/>
      <c r="L2606" s="116">
        <f>IF($A2606="","",DATE(YEAR($A2606),MONTH($A2606)+IF(AND(IFERROR(N(INDEX(Übersicht!$M$15:$M$22,MATCH($B2606,Übersicht!$A$15:$A$22,0))),0)&gt;1,DAY($A2606)&gt;=IFERROR(N(INDEX(Übersicht!$M$15:$M$22,MATCH($B2606,Übersicht!$A$15:$A$22,0))),0)),1,0),1))</f>
        <v/>
      </c>
    </row>
    <row r="2607">
      <c r="A2607" s="92" t="n"/>
      <c r="B2607" s="55" t="n"/>
      <c r="C2607" s="55" t="n"/>
      <c r="D2607" s="55" t="n"/>
      <c r="E2607" s="93" t="n"/>
      <c r="F2607" s="94" t="n"/>
      <c r="G2607" s="94" t="n"/>
      <c r="H2607" s="94" t="n"/>
      <c r="I2607" s="94" t="n"/>
      <c r="J2607" s="55" t="n"/>
      <c r="K2607" s="95" t="n"/>
      <c r="L2607" s="116">
        <f>IF($A2607="","",DATE(YEAR($A2607),MONTH($A2607)+IF(AND(IFERROR(N(INDEX(Übersicht!$M$15:$M$22,MATCH($B2607,Übersicht!$A$15:$A$22,0))),0)&gt;1,DAY($A2607)&gt;=IFERROR(N(INDEX(Übersicht!$M$15:$M$22,MATCH($B2607,Übersicht!$A$15:$A$22,0))),0)),1,0),1))</f>
        <v/>
      </c>
    </row>
    <row r="2608">
      <c r="A2608" s="92" t="n"/>
      <c r="B2608" s="55" t="n"/>
      <c r="C2608" s="55" t="n"/>
      <c r="D2608" s="55" t="n"/>
      <c r="E2608" s="93" t="n"/>
      <c r="F2608" s="94" t="n"/>
      <c r="G2608" s="94" t="n"/>
      <c r="H2608" s="94" t="n"/>
      <c r="I2608" s="94" t="n"/>
      <c r="J2608" s="55" t="n"/>
      <c r="K2608" s="95" t="n"/>
      <c r="L2608" s="116">
        <f>IF($A2608="","",DATE(YEAR($A2608),MONTH($A2608)+IF(AND(IFERROR(N(INDEX(Übersicht!$M$15:$M$22,MATCH($B2608,Übersicht!$A$15:$A$22,0))),0)&gt;1,DAY($A2608)&gt;=IFERROR(N(INDEX(Übersicht!$M$15:$M$22,MATCH($B2608,Übersicht!$A$15:$A$22,0))),0)),1,0),1))</f>
        <v/>
      </c>
    </row>
    <row r="2609">
      <c r="A2609" s="92" t="n"/>
      <c r="B2609" s="55" t="n"/>
      <c r="C2609" s="55" t="n"/>
      <c r="D2609" s="55" t="n"/>
      <c r="E2609" s="93" t="n"/>
      <c r="F2609" s="94" t="n"/>
      <c r="G2609" s="94" t="n"/>
      <c r="H2609" s="94" t="n"/>
      <c r="I2609" s="94" t="n"/>
      <c r="J2609" s="55" t="n"/>
      <c r="K2609" s="95" t="n"/>
      <c r="L2609" s="116">
        <f>IF($A2609="","",DATE(YEAR($A2609),MONTH($A2609)+IF(AND(IFERROR(N(INDEX(Übersicht!$M$15:$M$22,MATCH($B2609,Übersicht!$A$15:$A$22,0))),0)&gt;1,DAY($A2609)&gt;=IFERROR(N(INDEX(Übersicht!$M$15:$M$22,MATCH($B2609,Übersicht!$A$15:$A$22,0))),0)),1,0),1))</f>
        <v/>
      </c>
    </row>
    <row r="2610">
      <c r="A2610" s="92" t="n"/>
      <c r="B2610" s="55" t="n"/>
      <c r="C2610" s="55" t="n"/>
      <c r="D2610" s="55" t="n"/>
      <c r="E2610" s="93" t="n"/>
      <c r="F2610" s="94" t="n"/>
      <c r="G2610" s="94" t="n"/>
      <c r="H2610" s="94" t="n"/>
      <c r="I2610" s="94" t="n"/>
      <c r="J2610" s="55" t="n"/>
      <c r="K2610" s="95" t="n"/>
      <c r="L2610" s="116">
        <f>IF($A2610="","",DATE(YEAR($A2610),MONTH($A2610)+IF(AND(IFERROR(N(INDEX(Übersicht!$M$15:$M$22,MATCH($B2610,Übersicht!$A$15:$A$22,0))),0)&gt;1,DAY($A2610)&gt;=IFERROR(N(INDEX(Übersicht!$M$15:$M$22,MATCH($B2610,Übersicht!$A$15:$A$22,0))),0)),1,0),1))</f>
        <v/>
      </c>
    </row>
    <row r="2611">
      <c r="A2611" s="92" t="n"/>
      <c r="B2611" s="55" t="n"/>
      <c r="C2611" s="55" t="n"/>
      <c r="D2611" s="55" t="n"/>
      <c r="E2611" s="93" t="n"/>
      <c r="F2611" s="94" t="n"/>
      <c r="G2611" s="94" t="n"/>
      <c r="H2611" s="94" t="n"/>
      <c r="I2611" s="94" t="n"/>
      <c r="J2611" s="55" t="n"/>
      <c r="K2611" s="95" t="n"/>
      <c r="L2611" s="116">
        <f>IF($A2611="","",DATE(YEAR($A2611),MONTH($A2611)+IF(AND(IFERROR(N(INDEX(Übersicht!$M$15:$M$22,MATCH($B2611,Übersicht!$A$15:$A$22,0))),0)&gt;1,DAY($A2611)&gt;=IFERROR(N(INDEX(Übersicht!$M$15:$M$22,MATCH($B2611,Übersicht!$A$15:$A$22,0))),0)),1,0),1))</f>
        <v/>
      </c>
    </row>
    <row r="2612">
      <c r="A2612" s="92" t="n"/>
      <c r="B2612" s="55" t="n"/>
      <c r="C2612" s="55" t="n"/>
      <c r="D2612" s="55" t="n"/>
      <c r="E2612" s="93" t="n"/>
      <c r="F2612" s="94" t="n"/>
      <c r="G2612" s="94" t="n"/>
      <c r="H2612" s="94" t="n"/>
      <c r="I2612" s="94" t="n"/>
      <c r="J2612" s="55" t="n"/>
      <c r="K2612" s="95" t="n"/>
      <c r="L2612" s="116">
        <f>IF($A2612="","",DATE(YEAR($A2612),MONTH($A2612)+IF(AND(IFERROR(N(INDEX(Übersicht!$M$15:$M$22,MATCH($B2612,Übersicht!$A$15:$A$22,0))),0)&gt;1,DAY($A2612)&gt;=IFERROR(N(INDEX(Übersicht!$M$15:$M$22,MATCH($B2612,Übersicht!$A$15:$A$22,0))),0)),1,0),1))</f>
        <v/>
      </c>
    </row>
    <row r="2613">
      <c r="A2613" s="92" t="n"/>
      <c r="B2613" s="55" t="n"/>
      <c r="C2613" s="55" t="n"/>
      <c r="D2613" s="55" t="n"/>
      <c r="E2613" s="93" t="n"/>
      <c r="F2613" s="94" t="n"/>
      <c r="G2613" s="94" t="n"/>
      <c r="H2613" s="94" t="n"/>
      <c r="I2613" s="94" t="n"/>
      <c r="J2613" s="55" t="n"/>
      <c r="K2613" s="95" t="n"/>
      <c r="L2613" s="116">
        <f>IF($A2613="","",DATE(YEAR($A2613),MONTH($A2613)+IF(AND(IFERROR(N(INDEX(Übersicht!$M$15:$M$22,MATCH($B2613,Übersicht!$A$15:$A$22,0))),0)&gt;1,DAY($A2613)&gt;=IFERROR(N(INDEX(Übersicht!$M$15:$M$22,MATCH($B2613,Übersicht!$A$15:$A$22,0))),0)),1,0),1))</f>
        <v/>
      </c>
    </row>
    <row r="2614">
      <c r="A2614" s="92" t="n"/>
      <c r="B2614" s="55" t="n"/>
      <c r="C2614" s="55" t="n"/>
      <c r="D2614" s="55" t="n"/>
      <c r="E2614" s="93" t="n"/>
      <c r="F2614" s="94" t="n"/>
      <c r="G2614" s="94" t="n"/>
      <c r="H2614" s="94" t="n"/>
      <c r="I2614" s="94" t="n"/>
      <c r="J2614" s="55" t="n"/>
      <c r="K2614" s="95" t="n"/>
      <c r="L2614" s="116">
        <f>IF($A2614="","",DATE(YEAR($A2614),MONTH($A2614)+IF(AND(IFERROR(N(INDEX(Übersicht!$M$15:$M$22,MATCH($B2614,Übersicht!$A$15:$A$22,0))),0)&gt;1,DAY($A2614)&gt;=IFERROR(N(INDEX(Übersicht!$M$15:$M$22,MATCH($B2614,Übersicht!$A$15:$A$22,0))),0)),1,0),1))</f>
        <v/>
      </c>
    </row>
    <row r="2615">
      <c r="A2615" s="92" t="n"/>
      <c r="B2615" s="55" t="n"/>
      <c r="C2615" s="55" t="n"/>
      <c r="D2615" s="55" t="n"/>
      <c r="E2615" s="93" t="n"/>
      <c r="F2615" s="94" t="n"/>
      <c r="G2615" s="94" t="n"/>
      <c r="H2615" s="94" t="n"/>
      <c r="I2615" s="94" t="n"/>
      <c r="J2615" s="55" t="n"/>
      <c r="K2615" s="95" t="n"/>
      <c r="L2615" s="116">
        <f>IF($A2615="","",DATE(YEAR($A2615),MONTH($A2615)+IF(AND(IFERROR(N(INDEX(Übersicht!$M$15:$M$22,MATCH($B2615,Übersicht!$A$15:$A$22,0))),0)&gt;1,DAY($A2615)&gt;=IFERROR(N(INDEX(Übersicht!$M$15:$M$22,MATCH($B2615,Übersicht!$A$15:$A$22,0))),0)),1,0),1))</f>
        <v/>
      </c>
    </row>
    <row r="2616">
      <c r="A2616" s="92" t="n"/>
      <c r="B2616" s="55" t="n"/>
      <c r="C2616" s="55" t="n"/>
      <c r="D2616" s="55" t="n"/>
      <c r="E2616" s="93" t="n"/>
      <c r="F2616" s="94" t="n"/>
      <c r="G2616" s="94" t="n"/>
      <c r="H2616" s="94" t="n"/>
      <c r="I2616" s="94" t="n"/>
      <c r="J2616" s="55" t="n"/>
      <c r="K2616" s="95" t="n"/>
      <c r="L2616" s="116">
        <f>IF($A2616="","",DATE(YEAR($A2616),MONTH($A2616)+IF(AND(IFERROR(N(INDEX(Übersicht!$M$15:$M$22,MATCH($B2616,Übersicht!$A$15:$A$22,0))),0)&gt;1,DAY($A2616)&gt;=IFERROR(N(INDEX(Übersicht!$M$15:$M$22,MATCH($B2616,Übersicht!$A$15:$A$22,0))),0)),1,0),1))</f>
        <v/>
      </c>
    </row>
    <row r="2617">
      <c r="A2617" s="92" t="n"/>
      <c r="B2617" s="55" t="n"/>
      <c r="C2617" s="55" t="n"/>
      <c r="D2617" s="55" t="n"/>
      <c r="E2617" s="93" t="n"/>
      <c r="F2617" s="94" t="n"/>
      <c r="G2617" s="94" t="n"/>
      <c r="H2617" s="94" t="n"/>
      <c r="I2617" s="94" t="n"/>
      <c r="J2617" s="55" t="n"/>
      <c r="K2617" s="95" t="n"/>
      <c r="L2617" s="116">
        <f>IF($A2617="","",DATE(YEAR($A2617),MONTH($A2617)+IF(AND(IFERROR(N(INDEX(Übersicht!$M$15:$M$22,MATCH($B2617,Übersicht!$A$15:$A$22,0))),0)&gt;1,DAY($A2617)&gt;=IFERROR(N(INDEX(Übersicht!$M$15:$M$22,MATCH($B2617,Übersicht!$A$15:$A$22,0))),0)),1,0),1))</f>
        <v/>
      </c>
    </row>
    <row r="2618">
      <c r="A2618" s="92" t="n"/>
      <c r="B2618" s="55" t="n"/>
      <c r="C2618" s="55" t="n"/>
      <c r="D2618" s="55" t="n"/>
      <c r="E2618" s="93" t="n"/>
      <c r="F2618" s="94" t="n"/>
      <c r="G2618" s="94" t="n"/>
      <c r="H2618" s="94" t="n"/>
      <c r="I2618" s="94" t="n"/>
      <c r="J2618" s="55" t="n"/>
      <c r="K2618" s="95" t="n"/>
      <c r="L2618" s="116">
        <f>IF($A2618="","",DATE(YEAR($A2618),MONTH($A2618)+IF(AND(IFERROR(N(INDEX(Übersicht!$M$15:$M$22,MATCH($B2618,Übersicht!$A$15:$A$22,0))),0)&gt;1,DAY($A2618)&gt;=IFERROR(N(INDEX(Übersicht!$M$15:$M$22,MATCH($B2618,Übersicht!$A$15:$A$22,0))),0)),1,0),1))</f>
        <v/>
      </c>
    </row>
    <row r="2619">
      <c r="A2619" s="92" t="n"/>
      <c r="B2619" s="55" t="n"/>
      <c r="C2619" s="55" t="n"/>
      <c r="D2619" s="55" t="n"/>
      <c r="E2619" s="93" t="n"/>
      <c r="F2619" s="94" t="n"/>
      <c r="G2619" s="94" t="n"/>
      <c r="H2619" s="94" t="n"/>
      <c r="I2619" s="94" t="n"/>
      <c r="J2619" s="55" t="n"/>
      <c r="K2619" s="95" t="n"/>
      <c r="L2619" s="116">
        <f>IF($A2619="","",DATE(YEAR($A2619),MONTH($A2619)+IF(AND(IFERROR(N(INDEX(Übersicht!$M$15:$M$22,MATCH($B2619,Übersicht!$A$15:$A$22,0))),0)&gt;1,DAY($A2619)&gt;=IFERROR(N(INDEX(Übersicht!$M$15:$M$22,MATCH($B2619,Übersicht!$A$15:$A$22,0))),0)),1,0),1))</f>
        <v/>
      </c>
    </row>
    <row r="2620">
      <c r="A2620" s="92" t="n"/>
      <c r="B2620" s="55" t="n"/>
      <c r="C2620" s="55" t="n"/>
      <c r="D2620" s="55" t="n"/>
      <c r="E2620" s="93" t="n"/>
      <c r="F2620" s="94" t="n"/>
      <c r="G2620" s="94" t="n"/>
      <c r="H2620" s="94" t="n"/>
      <c r="I2620" s="94" t="n"/>
      <c r="J2620" s="55" t="n"/>
      <c r="K2620" s="95" t="n"/>
      <c r="L2620" s="116">
        <f>IF($A2620="","",DATE(YEAR($A2620),MONTH($A2620)+IF(AND(IFERROR(N(INDEX(Übersicht!$M$15:$M$22,MATCH($B2620,Übersicht!$A$15:$A$22,0))),0)&gt;1,DAY($A2620)&gt;=IFERROR(N(INDEX(Übersicht!$M$15:$M$22,MATCH($B2620,Übersicht!$A$15:$A$22,0))),0)),1,0),1))</f>
        <v/>
      </c>
    </row>
    <row r="2621">
      <c r="A2621" s="92" t="n"/>
      <c r="B2621" s="55" t="n"/>
      <c r="C2621" s="55" t="n"/>
      <c r="D2621" s="55" t="n"/>
      <c r="E2621" s="93" t="n"/>
      <c r="F2621" s="94" t="n"/>
      <c r="G2621" s="94" t="n"/>
      <c r="H2621" s="94" t="n"/>
      <c r="I2621" s="94" t="n"/>
      <c r="J2621" s="55" t="n"/>
      <c r="K2621" s="95" t="n"/>
      <c r="L2621" s="116">
        <f>IF($A2621="","",DATE(YEAR($A2621),MONTH($A2621)+IF(AND(IFERROR(N(INDEX(Übersicht!$M$15:$M$22,MATCH($B2621,Übersicht!$A$15:$A$22,0))),0)&gt;1,DAY($A2621)&gt;=IFERROR(N(INDEX(Übersicht!$M$15:$M$22,MATCH($B2621,Übersicht!$A$15:$A$22,0))),0)),1,0),1))</f>
        <v/>
      </c>
    </row>
    <row r="2622">
      <c r="A2622" s="92" t="n"/>
      <c r="B2622" s="55" t="n"/>
      <c r="C2622" s="55" t="n"/>
      <c r="D2622" s="55" t="n"/>
      <c r="E2622" s="93" t="n"/>
      <c r="F2622" s="94" t="n"/>
      <c r="G2622" s="94" t="n"/>
      <c r="H2622" s="94" t="n"/>
      <c r="I2622" s="94" t="n"/>
      <c r="J2622" s="55" t="n"/>
      <c r="K2622" s="95" t="n"/>
      <c r="L2622" s="116">
        <f>IF($A2622="","",DATE(YEAR($A2622),MONTH($A2622)+IF(AND(IFERROR(N(INDEX(Übersicht!$M$15:$M$22,MATCH($B2622,Übersicht!$A$15:$A$22,0))),0)&gt;1,DAY($A2622)&gt;=IFERROR(N(INDEX(Übersicht!$M$15:$M$22,MATCH($B2622,Übersicht!$A$15:$A$22,0))),0)),1,0),1))</f>
        <v/>
      </c>
    </row>
    <row r="2623">
      <c r="A2623" s="92" t="n"/>
      <c r="B2623" s="55" t="n"/>
      <c r="C2623" s="55" t="n"/>
      <c r="D2623" s="55" t="n"/>
      <c r="E2623" s="93" t="n"/>
      <c r="F2623" s="94" t="n"/>
      <c r="G2623" s="94" t="n"/>
      <c r="H2623" s="94" t="n"/>
      <c r="I2623" s="94" t="n"/>
      <c r="J2623" s="55" t="n"/>
      <c r="K2623" s="95" t="n"/>
      <c r="L2623" s="116">
        <f>IF($A2623="","",DATE(YEAR($A2623),MONTH($A2623)+IF(AND(IFERROR(N(INDEX(Übersicht!$M$15:$M$22,MATCH($B2623,Übersicht!$A$15:$A$22,0))),0)&gt;1,DAY($A2623)&gt;=IFERROR(N(INDEX(Übersicht!$M$15:$M$22,MATCH($B2623,Übersicht!$A$15:$A$22,0))),0)),1,0),1))</f>
        <v/>
      </c>
    </row>
    <row r="2624">
      <c r="A2624" s="92" t="n"/>
      <c r="B2624" s="55" t="n"/>
      <c r="C2624" s="55" t="n"/>
      <c r="D2624" s="55" t="n"/>
      <c r="E2624" s="93" t="n"/>
      <c r="F2624" s="94" t="n"/>
      <c r="G2624" s="94" t="n"/>
      <c r="H2624" s="94" t="n"/>
      <c r="I2624" s="94" t="n"/>
      <c r="J2624" s="55" t="n"/>
      <c r="K2624" s="95" t="n"/>
      <c r="L2624" s="116">
        <f>IF($A2624="","",DATE(YEAR($A2624),MONTH($A2624)+IF(AND(IFERROR(N(INDEX(Übersicht!$M$15:$M$22,MATCH($B2624,Übersicht!$A$15:$A$22,0))),0)&gt;1,DAY($A2624)&gt;=IFERROR(N(INDEX(Übersicht!$M$15:$M$22,MATCH($B2624,Übersicht!$A$15:$A$22,0))),0)),1,0),1))</f>
        <v/>
      </c>
    </row>
    <row r="2625">
      <c r="A2625" s="92" t="n"/>
      <c r="B2625" s="55" t="n"/>
      <c r="C2625" s="55" t="n"/>
      <c r="D2625" s="55" t="n"/>
      <c r="E2625" s="93" t="n"/>
      <c r="F2625" s="94" t="n"/>
      <c r="G2625" s="94" t="n"/>
      <c r="H2625" s="94" t="n"/>
      <c r="I2625" s="94" t="n"/>
      <c r="J2625" s="55" t="n"/>
      <c r="K2625" s="95" t="n"/>
      <c r="L2625" s="116">
        <f>IF($A2625="","",DATE(YEAR($A2625),MONTH($A2625)+IF(AND(IFERROR(N(INDEX(Übersicht!$M$15:$M$22,MATCH($B2625,Übersicht!$A$15:$A$22,0))),0)&gt;1,DAY($A2625)&gt;=IFERROR(N(INDEX(Übersicht!$M$15:$M$22,MATCH($B2625,Übersicht!$A$15:$A$22,0))),0)),1,0),1))</f>
        <v/>
      </c>
    </row>
    <row r="2626">
      <c r="A2626" s="92" t="n"/>
      <c r="B2626" s="55" t="n"/>
      <c r="C2626" s="55" t="n"/>
      <c r="D2626" s="55" t="n"/>
      <c r="E2626" s="93" t="n"/>
      <c r="F2626" s="94" t="n"/>
      <c r="G2626" s="94" t="n"/>
      <c r="H2626" s="94" t="n"/>
      <c r="I2626" s="94" t="n"/>
      <c r="J2626" s="55" t="n"/>
      <c r="K2626" s="95" t="n"/>
      <c r="L2626" s="116">
        <f>IF($A2626="","",DATE(YEAR($A2626),MONTH($A2626)+IF(AND(IFERROR(N(INDEX(Übersicht!$M$15:$M$22,MATCH($B2626,Übersicht!$A$15:$A$22,0))),0)&gt;1,DAY($A2626)&gt;=IFERROR(N(INDEX(Übersicht!$M$15:$M$22,MATCH($B2626,Übersicht!$A$15:$A$22,0))),0)),1,0),1))</f>
        <v/>
      </c>
    </row>
    <row r="2627">
      <c r="A2627" s="92" t="n"/>
      <c r="B2627" s="55" t="n"/>
      <c r="C2627" s="55" t="n"/>
      <c r="D2627" s="55" t="n"/>
      <c r="E2627" s="93" t="n"/>
      <c r="F2627" s="94" t="n"/>
      <c r="G2627" s="94" t="n"/>
      <c r="H2627" s="94" t="n"/>
      <c r="I2627" s="94" t="n"/>
      <c r="J2627" s="55" t="n"/>
      <c r="K2627" s="95" t="n"/>
      <c r="L2627" s="116">
        <f>IF($A2627="","",DATE(YEAR($A2627),MONTH($A2627)+IF(AND(IFERROR(N(INDEX(Übersicht!$M$15:$M$22,MATCH($B2627,Übersicht!$A$15:$A$22,0))),0)&gt;1,DAY($A2627)&gt;=IFERROR(N(INDEX(Übersicht!$M$15:$M$22,MATCH($B2627,Übersicht!$A$15:$A$22,0))),0)),1,0),1))</f>
        <v/>
      </c>
    </row>
    <row r="2628">
      <c r="A2628" s="92" t="n"/>
      <c r="B2628" s="55" t="n"/>
      <c r="C2628" s="55" t="n"/>
      <c r="D2628" s="55" t="n"/>
      <c r="E2628" s="93" t="n"/>
      <c r="F2628" s="94" t="n"/>
      <c r="G2628" s="94" t="n"/>
      <c r="H2628" s="94" t="n"/>
      <c r="I2628" s="94" t="n"/>
      <c r="J2628" s="55" t="n"/>
      <c r="K2628" s="95" t="n"/>
      <c r="L2628" s="116">
        <f>IF($A2628="","",DATE(YEAR($A2628),MONTH($A2628)+IF(AND(IFERROR(N(INDEX(Übersicht!$M$15:$M$22,MATCH($B2628,Übersicht!$A$15:$A$22,0))),0)&gt;1,DAY($A2628)&gt;=IFERROR(N(INDEX(Übersicht!$M$15:$M$22,MATCH($B2628,Übersicht!$A$15:$A$22,0))),0)),1,0),1))</f>
        <v/>
      </c>
    </row>
    <row r="2629">
      <c r="A2629" s="92" t="n"/>
      <c r="B2629" s="55" t="n"/>
      <c r="C2629" s="55" t="n"/>
      <c r="D2629" s="55" t="n"/>
      <c r="E2629" s="93" t="n"/>
      <c r="F2629" s="94" t="n"/>
      <c r="G2629" s="94" t="n"/>
      <c r="H2629" s="94" t="n"/>
      <c r="I2629" s="94" t="n"/>
      <c r="J2629" s="55" t="n"/>
      <c r="K2629" s="95" t="n"/>
      <c r="L2629" s="116">
        <f>IF($A2629="","",DATE(YEAR($A2629),MONTH($A2629)+IF(AND(IFERROR(N(INDEX(Übersicht!$M$15:$M$22,MATCH($B2629,Übersicht!$A$15:$A$22,0))),0)&gt;1,DAY($A2629)&gt;=IFERROR(N(INDEX(Übersicht!$M$15:$M$22,MATCH($B2629,Übersicht!$A$15:$A$22,0))),0)),1,0),1))</f>
        <v/>
      </c>
    </row>
    <row r="2630">
      <c r="A2630" s="92" t="n"/>
      <c r="B2630" s="55" t="n"/>
      <c r="C2630" s="55" t="n"/>
      <c r="D2630" s="55" t="n"/>
      <c r="E2630" s="93" t="n"/>
      <c r="F2630" s="94" t="n"/>
      <c r="G2630" s="94" t="n"/>
      <c r="H2630" s="94" t="n"/>
      <c r="I2630" s="94" t="n"/>
      <c r="J2630" s="55" t="n"/>
      <c r="K2630" s="95" t="n"/>
      <c r="L2630" s="116">
        <f>IF($A2630="","",DATE(YEAR($A2630),MONTH($A2630)+IF(AND(IFERROR(N(INDEX(Übersicht!$M$15:$M$22,MATCH($B2630,Übersicht!$A$15:$A$22,0))),0)&gt;1,DAY($A2630)&gt;=IFERROR(N(INDEX(Übersicht!$M$15:$M$22,MATCH($B2630,Übersicht!$A$15:$A$22,0))),0)),1,0),1))</f>
        <v/>
      </c>
    </row>
    <row r="2631">
      <c r="A2631" s="92" t="n"/>
      <c r="B2631" s="55" t="n"/>
      <c r="C2631" s="55" t="n"/>
      <c r="D2631" s="55" t="n"/>
      <c r="E2631" s="93" t="n"/>
      <c r="F2631" s="94" t="n"/>
      <c r="G2631" s="94" t="n"/>
      <c r="H2631" s="94" t="n"/>
      <c r="I2631" s="94" t="n"/>
      <c r="J2631" s="55" t="n"/>
      <c r="K2631" s="95" t="n"/>
      <c r="L2631" s="116">
        <f>IF($A2631="","",DATE(YEAR($A2631),MONTH($A2631)+IF(AND(IFERROR(N(INDEX(Übersicht!$M$15:$M$22,MATCH($B2631,Übersicht!$A$15:$A$22,0))),0)&gt;1,DAY($A2631)&gt;=IFERROR(N(INDEX(Übersicht!$M$15:$M$22,MATCH($B2631,Übersicht!$A$15:$A$22,0))),0)),1,0),1))</f>
        <v/>
      </c>
    </row>
    <row r="2632">
      <c r="A2632" s="92" t="n"/>
      <c r="B2632" s="55" t="n"/>
      <c r="C2632" s="55" t="n"/>
      <c r="D2632" s="55" t="n"/>
      <c r="E2632" s="93" t="n"/>
      <c r="F2632" s="94" t="n"/>
      <c r="G2632" s="94" t="n"/>
      <c r="H2632" s="94" t="n"/>
      <c r="I2632" s="94" t="n"/>
      <c r="J2632" s="55" t="n"/>
      <c r="K2632" s="95" t="n"/>
      <c r="L2632" s="116">
        <f>IF($A2632="","",DATE(YEAR($A2632),MONTH($A2632)+IF(AND(IFERROR(N(INDEX(Übersicht!$M$15:$M$22,MATCH($B2632,Übersicht!$A$15:$A$22,0))),0)&gt;1,DAY($A2632)&gt;=IFERROR(N(INDEX(Übersicht!$M$15:$M$22,MATCH($B2632,Übersicht!$A$15:$A$22,0))),0)),1,0),1))</f>
        <v/>
      </c>
    </row>
    <row r="2633">
      <c r="A2633" s="92" t="n"/>
      <c r="B2633" s="55" t="n"/>
      <c r="C2633" s="55" t="n"/>
      <c r="D2633" s="55" t="n"/>
      <c r="E2633" s="93" t="n"/>
      <c r="F2633" s="94" t="n"/>
      <c r="G2633" s="94" t="n"/>
      <c r="H2633" s="94" t="n"/>
      <c r="I2633" s="94" t="n"/>
      <c r="J2633" s="55" t="n"/>
      <c r="K2633" s="95" t="n"/>
      <c r="L2633" s="116">
        <f>IF($A2633="","",DATE(YEAR($A2633),MONTH($A2633)+IF(AND(IFERROR(N(INDEX(Übersicht!$M$15:$M$22,MATCH($B2633,Übersicht!$A$15:$A$22,0))),0)&gt;1,DAY($A2633)&gt;=IFERROR(N(INDEX(Übersicht!$M$15:$M$22,MATCH($B2633,Übersicht!$A$15:$A$22,0))),0)),1,0),1))</f>
        <v/>
      </c>
    </row>
    <row r="2634">
      <c r="A2634" s="92" t="n"/>
      <c r="B2634" s="55" t="n"/>
      <c r="C2634" s="55" t="n"/>
      <c r="D2634" s="55" t="n"/>
      <c r="E2634" s="93" t="n"/>
      <c r="F2634" s="94" t="n"/>
      <c r="G2634" s="94" t="n"/>
      <c r="H2634" s="94" t="n"/>
      <c r="I2634" s="94" t="n"/>
      <c r="J2634" s="55" t="n"/>
      <c r="K2634" s="95" t="n"/>
      <c r="L2634" s="116">
        <f>IF($A2634="","",DATE(YEAR($A2634),MONTH($A2634)+IF(AND(IFERROR(N(INDEX(Übersicht!$M$15:$M$22,MATCH($B2634,Übersicht!$A$15:$A$22,0))),0)&gt;1,DAY($A2634)&gt;=IFERROR(N(INDEX(Übersicht!$M$15:$M$22,MATCH($B2634,Übersicht!$A$15:$A$22,0))),0)),1,0),1))</f>
        <v/>
      </c>
    </row>
    <row r="2635">
      <c r="A2635" s="92" t="n"/>
      <c r="B2635" s="55" t="n"/>
      <c r="C2635" s="55" t="n"/>
      <c r="D2635" s="55" t="n"/>
      <c r="E2635" s="93" t="n"/>
      <c r="F2635" s="94" t="n"/>
      <c r="G2635" s="94" t="n"/>
      <c r="H2635" s="94" t="n"/>
      <c r="I2635" s="94" t="n"/>
      <c r="J2635" s="55" t="n"/>
      <c r="K2635" s="95" t="n"/>
      <c r="L2635" s="116">
        <f>IF($A2635="","",DATE(YEAR($A2635),MONTH($A2635)+IF(AND(IFERROR(N(INDEX(Übersicht!$M$15:$M$22,MATCH($B2635,Übersicht!$A$15:$A$22,0))),0)&gt;1,DAY($A2635)&gt;=IFERROR(N(INDEX(Übersicht!$M$15:$M$22,MATCH($B2635,Übersicht!$A$15:$A$22,0))),0)),1,0),1))</f>
        <v/>
      </c>
    </row>
    <row r="2636">
      <c r="A2636" s="92" t="n"/>
      <c r="B2636" s="55" t="n"/>
      <c r="C2636" s="55" t="n"/>
      <c r="D2636" s="55" t="n"/>
      <c r="E2636" s="93" t="n"/>
      <c r="F2636" s="94" t="n"/>
      <c r="G2636" s="94" t="n"/>
      <c r="H2636" s="94" t="n"/>
      <c r="I2636" s="94" t="n"/>
      <c r="J2636" s="55" t="n"/>
      <c r="K2636" s="95" t="n"/>
      <c r="L2636" s="116">
        <f>IF($A2636="","",DATE(YEAR($A2636),MONTH($A2636)+IF(AND(IFERROR(N(INDEX(Übersicht!$M$15:$M$22,MATCH($B2636,Übersicht!$A$15:$A$22,0))),0)&gt;1,DAY($A2636)&gt;=IFERROR(N(INDEX(Übersicht!$M$15:$M$22,MATCH($B2636,Übersicht!$A$15:$A$22,0))),0)),1,0),1))</f>
        <v/>
      </c>
    </row>
    <row r="2637">
      <c r="A2637" s="92" t="n"/>
      <c r="B2637" s="55" t="n"/>
      <c r="C2637" s="55" t="n"/>
      <c r="D2637" s="55" t="n"/>
      <c r="E2637" s="93" t="n"/>
      <c r="F2637" s="94" t="n"/>
      <c r="G2637" s="94" t="n"/>
      <c r="H2637" s="94" t="n"/>
      <c r="I2637" s="94" t="n"/>
      <c r="J2637" s="55" t="n"/>
      <c r="K2637" s="95" t="n"/>
      <c r="L2637" s="116">
        <f>IF($A2637="","",DATE(YEAR($A2637),MONTH($A2637)+IF(AND(IFERROR(N(INDEX(Übersicht!$M$15:$M$22,MATCH($B2637,Übersicht!$A$15:$A$22,0))),0)&gt;1,DAY($A2637)&gt;=IFERROR(N(INDEX(Übersicht!$M$15:$M$22,MATCH($B2637,Übersicht!$A$15:$A$22,0))),0)),1,0),1))</f>
        <v/>
      </c>
    </row>
    <row r="2638">
      <c r="A2638" s="92" t="n"/>
      <c r="B2638" s="55" t="n"/>
      <c r="C2638" s="55" t="n"/>
      <c r="D2638" s="55" t="n"/>
      <c r="E2638" s="93" t="n"/>
      <c r="F2638" s="94" t="n"/>
      <c r="G2638" s="94" t="n"/>
      <c r="H2638" s="94" t="n"/>
      <c r="I2638" s="94" t="n"/>
      <c r="J2638" s="55" t="n"/>
      <c r="K2638" s="95" t="n"/>
      <c r="L2638" s="116">
        <f>IF($A2638="","",DATE(YEAR($A2638),MONTH($A2638)+IF(AND(IFERROR(N(INDEX(Übersicht!$M$15:$M$22,MATCH($B2638,Übersicht!$A$15:$A$22,0))),0)&gt;1,DAY($A2638)&gt;=IFERROR(N(INDEX(Übersicht!$M$15:$M$22,MATCH($B2638,Übersicht!$A$15:$A$22,0))),0)),1,0),1))</f>
        <v/>
      </c>
    </row>
    <row r="2639">
      <c r="A2639" s="92" t="n"/>
      <c r="B2639" s="55" t="n"/>
      <c r="C2639" s="55" t="n"/>
      <c r="D2639" s="55" t="n"/>
      <c r="E2639" s="93" t="n"/>
      <c r="F2639" s="94" t="n"/>
      <c r="G2639" s="94" t="n"/>
      <c r="H2639" s="94" t="n"/>
      <c r="I2639" s="94" t="n"/>
      <c r="J2639" s="55" t="n"/>
      <c r="K2639" s="95" t="n"/>
      <c r="L2639" s="116">
        <f>IF($A2639="","",DATE(YEAR($A2639),MONTH($A2639)+IF(AND(IFERROR(N(INDEX(Übersicht!$M$15:$M$22,MATCH($B2639,Übersicht!$A$15:$A$22,0))),0)&gt;1,DAY($A2639)&gt;=IFERROR(N(INDEX(Übersicht!$M$15:$M$22,MATCH($B2639,Übersicht!$A$15:$A$22,0))),0)),1,0),1))</f>
        <v/>
      </c>
    </row>
    <row r="2640">
      <c r="A2640" s="92" t="n"/>
      <c r="B2640" s="55" t="n"/>
      <c r="C2640" s="55" t="n"/>
      <c r="D2640" s="55" t="n"/>
      <c r="E2640" s="93" t="n"/>
      <c r="F2640" s="94" t="n"/>
      <c r="G2640" s="94" t="n"/>
      <c r="H2640" s="94" t="n"/>
      <c r="I2640" s="94" t="n"/>
      <c r="J2640" s="55" t="n"/>
      <c r="K2640" s="95" t="n"/>
      <c r="L2640" s="116">
        <f>IF($A2640="","",DATE(YEAR($A2640),MONTH($A2640)+IF(AND(IFERROR(N(INDEX(Übersicht!$M$15:$M$22,MATCH($B2640,Übersicht!$A$15:$A$22,0))),0)&gt;1,DAY($A2640)&gt;=IFERROR(N(INDEX(Übersicht!$M$15:$M$22,MATCH($B2640,Übersicht!$A$15:$A$22,0))),0)),1,0),1))</f>
        <v/>
      </c>
    </row>
    <row r="2641">
      <c r="A2641" s="92" t="n"/>
      <c r="B2641" s="55" t="n"/>
      <c r="C2641" s="55" t="n"/>
      <c r="D2641" s="55" t="n"/>
      <c r="E2641" s="93" t="n"/>
      <c r="F2641" s="94" t="n"/>
      <c r="G2641" s="94" t="n"/>
      <c r="H2641" s="94" t="n"/>
      <c r="I2641" s="94" t="n"/>
      <c r="J2641" s="55" t="n"/>
      <c r="K2641" s="95" t="n"/>
      <c r="L2641" s="116">
        <f>IF($A2641="","",DATE(YEAR($A2641),MONTH($A2641)+IF(AND(IFERROR(N(INDEX(Übersicht!$M$15:$M$22,MATCH($B2641,Übersicht!$A$15:$A$22,0))),0)&gt;1,DAY($A2641)&gt;=IFERROR(N(INDEX(Übersicht!$M$15:$M$22,MATCH($B2641,Übersicht!$A$15:$A$22,0))),0)),1,0),1))</f>
        <v/>
      </c>
    </row>
    <row r="2642">
      <c r="A2642" s="92" t="n"/>
      <c r="B2642" s="55" t="n"/>
      <c r="C2642" s="55" t="n"/>
      <c r="D2642" s="55" t="n"/>
      <c r="E2642" s="93" t="n"/>
      <c r="F2642" s="94" t="n"/>
      <c r="G2642" s="94" t="n"/>
      <c r="H2642" s="94" t="n"/>
      <c r="I2642" s="94" t="n"/>
      <c r="J2642" s="55" t="n"/>
      <c r="K2642" s="95" t="n"/>
      <c r="L2642" s="116">
        <f>IF($A2642="","",DATE(YEAR($A2642),MONTH($A2642)+IF(AND(IFERROR(N(INDEX(Übersicht!$M$15:$M$22,MATCH($B2642,Übersicht!$A$15:$A$22,0))),0)&gt;1,DAY($A2642)&gt;=IFERROR(N(INDEX(Übersicht!$M$15:$M$22,MATCH($B2642,Übersicht!$A$15:$A$22,0))),0)),1,0),1))</f>
        <v/>
      </c>
    </row>
    <row r="2643">
      <c r="A2643" s="92" t="n"/>
      <c r="B2643" s="55" t="n"/>
      <c r="C2643" s="55" t="n"/>
      <c r="D2643" s="55" t="n"/>
      <c r="E2643" s="93" t="n"/>
      <c r="F2643" s="94" t="n"/>
      <c r="G2643" s="94" t="n"/>
      <c r="H2643" s="94" t="n"/>
      <c r="I2643" s="94" t="n"/>
      <c r="J2643" s="55" t="n"/>
      <c r="K2643" s="95" t="n"/>
      <c r="L2643" s="116">
        <f>IF($A2643="","",DATE(YEAR($A2643),MONTH($A2643)+IF(AND(IFERROR(N(INDEX(Übersicht!$M$15:$M$22,MATCH($B2643,Übersicht!$A$15:$A$22,0))),0)&gt;1,DAY($A2643)&gt;=IFERROR(N(INDEX(Übersicht!$M$15:$M$22,MATCH($B2643,Übersicht!$A$15:$A$22,0))),0)),1,0),1))</f>
        <v/>
      </c>
    </row>
    <row r="2644">
      <c r="A2644" s="92" t="n"/>
      <c r="B2644" s="55" t="n"/>
      <c r="C2644" s="55" t="n"/>
      <c r="D2644" s="55" t="n"/>
      <c r="E2644" s="93" t="n"/>
      <c r="F2644" s="94" t="n"/>
      <c r="G2644" s="94" t="n"/>
      <c r="H2644" s="94" t="n"/>
      <c r="I2644" s="94" t="n"/>
      <c r="J2644" s="55" t="n"/>
      <c r="K2644" s="95" t="n"/>
      <c r="L2644" s="116">
        <f>IF($A2644="","",DATE(YEAR($A2644),MONTH($A2644)+IF(AND(IFERROR(N(INDEX(Übersicht!$M$15:$M$22,MATCH($B2644,Übersicht!$A$15:$A$22,0))),0)&gt;1,DAY($A2644)&gt;=IFERROR(N(INDEX(Übersicht!$M$15:$M$22,MATCH($B2644,Übersicht!$A$15:$A$22,0))),0)),1,0),1))</f>
        <v/>
      </c>
    </row>
    <row r="2645">
      <c r="A2645" s="92" t="n"/>
      <c r="B2645" s="55" t="n"/>
      <c r="C2645" s="55" t="n"/>
      <c r="D2645" s="55" t="n"/>
      <c r="E2645" s="93" t="n"/>
      <c r="F2645" s="94" t="n"/>
      <c r="G2645" s="94" t="n"/>
      <c r="H2645" s="94" t="n"/>
      <c r="I2645" s="94" t="n"/>
      <c r="J2645" s="55" t="n"/>
      <c r="K2645" s="95" t="n"/>
      <c r="L2645" s="116">
        <f>IF($A2645="","",DATE(YEAR($A2645),MONTH($A2645)+IF(AND(IFERROR(N(INDEX(Übersicht!$M$15:$M$22,MATCH($B2645,Übersicht!$A$15:$A$22,0))),0)&gt;1,DAY($A2645)&gt;=IFERROR(N(INDEX(Übersicht!$M$15:$M$22,MATCH($B2645,Übersicht!$A$15:$A$22,0))),0)),1,0),1))</f>
        <v/>
      </c>
    </row>
    <row r="2646">
      <c r="A2646" s="92" t="n"/>
      <c r="B2646" s="55" t="n"/>
      <c r="C2646" s="55" t="n"/>
      <c r="D2646" s="55" t="n"/>
      <c r="E2646" s="93" t="n"/>
      <c r="F2646" s="94" t="n"/>
      <c r="G2646" s="94" t="n"/>
      <c r="H2646" s="94" t="n"/>
      <c r="I2646" s="94" t="n"/>
      <c r="J2646" s="55" t="n"/>
      <c r="K2646" s="95" t="n"/>
      <c r="L2646" s="116">
        <f>IF($A2646="","",DATE(YEAR($A2646),MONTH($A2646)+IF(AND(IFERROR(N(INDEX(Übersicht!$M$15:$M$22,MATCH($B2646,Übersicht!$A$15:$A$22,0))),0)&gt;1,DAY($A2646)&gt;=IFERROR(N(INDEX(Übersicht!$M$15:$M$22,MATCH($B2646,Übersicht!$A$15:$A$22,0))),0)),1,0),1))</f>
        <v/>
      </c>
    </row>
    <row r="2647">
      <c r="A2647" s="92" t="n"/>
      <c r="B2647" s="55" t="n"/>
      <c r="C2647" s="55" t="n"/>
      <c r="D2647" s="55" t="n"/>
      <c r="E2647" s="93" t="n"/>
      <c r="F2647" s="94" t="n"/>
      <c r="G2647" s="94" t="n"/>
      <c r="H2647" s="94" t="n"/>
      <c r="I2647" s="94" t="n"/>
      <c r="J2647" s="55" t="n"/>
      <c r="K2647" s="95" t="n"/>
      <c r="L2647" s="116">
        <f>IF($A2647="","",DATE(YEAR($A2647),MONTH($A2647)+IF(AND(IFERROR(N(INDEX(Übersicht!$M$15:$M$22,MATCH($B2647,Übersicht!$A$15:$A$22,0))),0)&gt;1,DAY($A2647)&gt;=IFERROR(N(INDEX(Übersicht!$M$15:$M$22,MATCH($B2647,Übersicht!$A$15:$A$22,0))),0)),1,0),1))</f>
        <v/>
      </c>
    </row>
    <row r="2648">
      <c r="A2648" s="92" t="n"/>
      <c r="B2648" s="55" t="n"/>
      <c r="C2648" s="55" t="n"/>
      <c r="D2648" s="55" t="n"/>
      <c r="E2648" s="93" t="n"/>
      <c r="F2648" s="94" t="n"/>
      <c r="G2648" s="94" t="n"/>
      <c r="H2648" s="94" t="n"/>
      <c r="I2648" s="94" t="n"/>
      <c r="J2648" s="55" t="n"/>
      <c r="K2648" s="95" t="n"/>
      <c r="L2648" s="116">
        <f>IF($A2648="","",DATE(YEAR($A2648),MONTH($A2648)+IF(AND(IFERROR(N(INDEX(Übersicht!$M$15:$M$22,MATCH($B2648,Übersicht!$A$15:$A$22,0))),0)&gt;1,DAY($A2648)&gt;=IFERROR(N(INDEX(Übersicht!$M$15:$M$22,MATCH($B2648,Übersicht!$A$15:$A$22,0))),0)),1,0),1))</f>
        <v/>
      </c>
    </row>
    <row r="2649">
      <c r="A2649" s="92" t="n"/>
      <c r="B2649" s="55" t="n"/>
      <c r="C2649" s="55" t="n"/>
      <c r="D2649" s="55" t="n"/>
      <c r="E2649" s="93" t="n"/>
      <c r="F2649" s="94" t="n"/>
      <c r="G2649" s="94" t="n"/>
      <c r="H2649" s="94" t="n"/>
      <c r="I2649" s="94" t="n"/>
      <c r="J2649" s="55" t="n"/>
      <c r="K2649" s="95" t="n"/>
      <c r="L2649" s="116">
        <f>IF($A2649="","",DATE(YEAR($A2649),MONTH($A2649)+IF(AND(IFERROR(N(INDEX(Übersicht!$M$15:$M$22,MATCH($B2649,Übersicht!$A$15:$A$22,0))),0)&gt;1,DAY($A2649)&gt;=IFERROR(N(INDEX(Übersicht!$M$15:$M$22,MATCH($B2649,Übersicht!$A$15:$A$22,0))),0)),1,0),1))</f>
        <v/>
      </c>
    </row>
    <row r="2650">
      <c r="A2650" s="92" t="n"/>
      <c r="B2650" s="55" t="n"/>
      <c r="C2650" s="55" t="n"/>
      <c r="D2650" s="55" t="n"/>
      <c r="E2650" s="93" t="n"/>
      <c r="F2650" s="94" t="n"/>
      <c r="G2650" s="94" t="n"/>
      <c r="H2650" s="94" t="n"/>
      <c r="I2650" s="94" t="n"/>
      <c r="J2650" s="55" t="n"/>
      <c r="K2650" s="95" t="n"/>
      <c r="L2650" s="116">
        <f>IF($A2650="","",DATE(YEAR($A2650),MONTH($A2650)+IF(AND(IFERROR(N(INDEX(Übersicht!$M$15:$M$22,MATCH($B2650,Übersicht!$A$15:$A$22,0))),0)&gt;1,DAY($A2650)&gt;=IFERROR(N(INDEX(Übersicht!$M$15:$M$22,MATCH($B2650,Übersicht!$A$15:$A$22,0))),0)),1,0),1))</f>
        <v/>
      </c>
    </row>
    <row r="2651">
      <c r="A2651" s="92" t="n"/>
      <c r="B2651" s="55" t="n"/>
      <c r="C2651" s="55" t="n"/>
      <c r="D2651" s="55" t="n"/>
      <c r="E2651" s="93" t="n"/>
      <c r="F2651" s="94" t="n"/>
      <c r="G2651" s="94" t="n"/>
      <c r="H2651" s="94" t="n"/>
      <c r="I2651" s="94" t="n"/>
      <c r="J2651" s="55" t="n"/>
      <c r="K2651" s="95" t="n"/>
      <c r="L2651" s="116">
        <f>IF($A2651="","",DATE(YEAR($A2651),MONTH($A2651)+IF(AND(IFERROR(N(INDEX(Übersicht!$M$15:$M$22,MATCH($B2651,Übersicht!$A$15:$A$22,0))),0)&gt;1,DAY($A2651)&gt;=IFERROR(N(INDEX(Übersicht!$M$15:$M$22,MATCH($B2651,Übersicht!$A$15:$A$22,0))),0)),1,0),1))</f>
        <v/>
      </c>
    </row>
    <row r="2652">
      <c r="A2652" s="92" t="n"/>
      <c r="B2652" s="55" t="n"/>
      <c r="C2652" s="55" t="n"/>
      <c r="D2652" s="55" t="n"/>
      <c r="E2652" s="93" t="n"/>
      <c r="F2652" s="94" t="n"/>
      <c r="G2652" s="94" t="n"/>
      <c r="H2652" s="94" t="n"/>
      <c r="I2652" s="94" t="n"/>
      <c r="J2652" s="55" t="n"/>
      <c r="K2652" s="95" t="n"/>
      <c r="L2652" s="116">
        <f>IF($A2652="","",DATE(YEAR($A2652),MONTH($A2652)+IF(AND(IFERROR(N(INDEX(Übersicht!$M$15:$M$22,MATCH($B2652,Übersicht!$A$15:$A$22,0))),0)&gt;1,DAY($A2652)&gt;=IFERROR(N(INDEX(Übersicht!$M$15:$M$22,MATCH($B2652,Übersicht!$A$15:$A$22,0))),0)),1,0),1))</f>
        <v/>
      </c>
    </row>
    <row r="2653">
      <c r="A2653" s="92" t="n"/>
      <c r="B2653" s="55" t="n"/>
      <c r="C2653" s="55" t="n"/>
      <c r="D2653" s="55" t="n"/>
      <c r="E2653" s="93" t="n"/>
      <c r="F2653" s="94" t="n"/>
      <c r="G2653" s="94" t="n"/>
      <c r="H2653" s="94" t="n"/>
      <c r="I2653" s="94" t="n"/>
      <c r="J2653" s="55" t="n"/>
      <c r="K2653" s="95" t="n"/>
      <c r="L2653" s="116">
        <f>IF($A2653="","",DATE(YEAR($A2653),MONTH($A2653)+IF(AND(IFERROR(N(INDEX(Übersicht!$M$15:$M$22,MATCH($B2653,Übersicht!$A$15:$A$22,0))),0)&gt;1,DAY($A2653)&gt;=IFERROR(N(INDEX(Übersicht!$M$15:$M$22,MATCH($B2653,Übersicht!$A$15:$A$22,0))),0)),1,0),1))</f>
        <v/>
      </c>
    </row>
    <row r="2654">
      <c r="A2654" s="92" t="n"/>
      <c r="B2654" s="55" t="n"/>
      <c r="C2654" s="55" t="n"/>
      <c r="D2654" s="55" t="n"/>
      <c r="E2654" s="93" t="n"/>
      <c r="F2654" s="94" t="n"/>
      <c r="G2654" s="94" t="n"/>
      <c r="H2654" s="94" t="n"/>
      <c r="I2654" s="94" t="n"/>
      <c r="J2654" s="55" t="n"/>
      <c r="K2654" s="95" t="n"/>
      <c r="L2654" s="116">
        <f>IF($A2654="","",DATE(YEAR($A2654),MONTH($A2654)+IF(AND(IFERROR(N(INDEX(Übersicht!$M$15:$M$22,MATCH($B2654,Übersicht!$A$15:$A$22,0))),0)&gt;1,DAY($A2654)&gt;=IFERROR(N(INDEX(Übersicht!$M$15:$M$22,MATCH($B2654,Übersicht!$A$15:$A$22,0))),0)),1,0),1))</f>
        <v/>
      </c>
    </row>
    <row r="2655">
      <c r="A2655" s="92" t="n"/>
      <c r="B2655" s="55" t="n"/>
      <c r="C2655" s="55" t="n"/>
      <c r="D2655" s="55" t="n"/>
      <c r="E2655" s="93" t="n"/>
      <c r="F2655" s="94" t="n"/>
      <c r="G2655" s="94" t="n"/>
      <c r="H2655" s="94" t="n"/>
      <c r="I2655" s="94" t="n"/>
      <c r="J2655" s="55" t="n"/>
      <c r="K2655" s="95" t="n"/>
      <c r="L2655" s="116">
        <f>IF($A2655="","",DATE(YEAR($A2655),MONTH($A2655)+IF(AND(IFERROR(N(INDEX(Übersicht!$M$15:$M$22,MATCH($B2655,Übersicht!$A$15:$A$22,0))),0)&gt;1,DAY($A2655)&gt;=IFERROR(N(INDEX(Übersicht!$M$15:$M$22,MATCH($B2655,Übersicht!$A$15:$A$22,0))),0)),1,0),1))</f>
        <v/>
      </c>
    </row>
    <row r="2656">
      <c r="A2656" s="92" t="n"/>
      <c r="B2656" s="55" t="n"/>
      <c r="C2656" s="55" t="n"/>
      <c r="D2656" s="55" t="n"/>
      <c r="E2656" s="93" t="n"/>
      <c r="F2656" s="94" t="n"/>
      <c r="G2656" s="94" t="n"/>
      <c r="H2656" s="94" t="n"/>
      <c r="I2656" s="94" t="n"/>
      <c r="J2656" s="55" t="n"/>
      <c r="K2656" s="95" t="n"/>
      <c r="L2656" s="116">
        <f>IF($A2656="","",DATE(YEAR($A2656),MONTH($A2656)+IF(AND(IFERROR(N(INDEX(Übersicht!$M$15:$M$22,MATCH($B2656,Übersicht!$A$15:$A$22,0))),0)&gt;1,DAY($A2656)&gt;=IFERROR(N(INDEX(Übersicht!$M$15:$M$22,MATCH($B2656,Übersicht!$A$15:$A$22,0))),0)),1,0),1))</f>
        <v/>
      </c>
    </row>
    <row r="2657">
      <c r="A2657" s="92" t="n"/>
      <c r="B2657" s="55" t="n"/>
      <c r="C2657" s="55" t="n"/>
      <c r="D2657" s="55" t="n"/>
      <c r="E2657" s="93" t="n"/>
      <c r="F2657" s="94" t="n"/>
      <c r="G2657" s="94" t="n"/>
      <c r="H2657" s="94" t="n"/>
      <c r="I2657" s="94" t="n"/>
      <c r="J2657" s="55" t="n"/>
      <c r="K2657" s="95" t="n"/>
      <c r="L2657" s="116">
        <f>IF($A2657="","",DATE(YEAR($A2657),MONTH($A2657)+IF(AND(IFERROR(N(INDEX(Übersicht!$M$15:$M$22,MATCH($B2657,Übersicht!$A$15:$A$22,0))),0)&gt;1,DAY($A2657)&gt;=IFERROR(N(INDEX(Übersicht!$M$15:$M$22,MATCH($B2657,Übersicht!$A$15:$A$22,0))),0)),1,0),1))</f>
        <v/>
      </c>
    </row>
    <row r="2658">
      <c r="A2658" s="92" t="n"/>
      <c r="B2658" s="55" t="n"/>
      <c r="C2658" s="55" t="n"/>
      <c r="D2658" s="55" t="n"/>
      <c r="E2658" s="93" t="n"/>
      <c r="F2658" s="94" t="n"/>
      <c r="G2658" s="94" t="n"/>
      <c r="H2658" s="94" t="n"/>
      <c r="I2658" s="94" t="n"/>
      <c r="J2658" s="55" t="n"/>
      <c r="K2658" s="95" t="n"/>
      <c r="L2658" s="116">
        <f>IF($A2658="","",DATE(YEAR($A2658),MONTH($A2658)+IF(AND(IFERROR(N(INDEX(Übersicht!$M$15:$M$22,MATCH($B2658,Übersicht!$A$15:$A$22,0))),0)&gt;1,DAY($A2658)&gt;=IFERROR(N(INDEX(Übersicht!$M$15:$M$22,MATCH($B2658,Übersicht!$A$15:$A$22,0))),0)),1,0),1))</f>
        <v/>
      </c>
    </row>
    <row r="2659">
      <c r="A2659" s="92" t="n"/>
      <c r="B2659" s="55" t="n"/>
      <c r="C2659" s="55" t="n"/>
      <c r="D2659" s="55" t="n"/>
      <c r="E2659" s="93" t="n"/>
      <c r="F2659" s="94" t="n"/>
      <c r="G2659" s="94" t="n"/>
      <c r="H2659" s="94" t="n"/>
      <c r="I2659" s="94" t="n"/>
      <c r="J2659" s="55" t="n"/>
      <c r="K2659" s="95" t="n"/>
      <c r="L2659" s="116">
        <f>IF($A2659="","",DATE(YEAR($A2659),MONTH($A2659)+IF(AND(IFERROR(N(INDEX(Übersicht!$M$15:$M$22,MATCH($B2659,Übersicht!$A$15:$A$22,0))),0)&gt;1,DAY($A2659)&gt;=IFERROR(N(INDEX(Übersicht!$M$15:$M$22,MATCH($B2659,Übersicht!$A$15:$A$22,0))),0)),1,0),1))</f>
        <v/>
      </c>
    </row>
    <row r="2660">
      <c r="A2660" s="92" t="n"/>
      <c r="B2660" s="55" t="n"/>
      <c r="C2660" s="55" t="n"/>
      <c r="D2660" s="55" t="n"/>
      <c r="E2660" s="93" t="n"/>
      <c r="F2660" s="94" t="n"/>
      <c r="G2660" s="94" t="n"/>
      <c r="H2660" s="94" t="n"/>
      <c r="I2660" s="94" t="n"/>
      <c r="J2660" s="55" t="n"/>
      <c r="K2660" s="95" t="n"/>
      <c r="L2660" s="116">
        <f>IF($A2660="","",DATE(YEAR($A2660),MONTH($A2660)+IF(AND(IFERROR(N(INDEX(Übersicht!$M$15:$M$22,MATCH($B2660,Übersicht!$A$15:$A$22,0))),0)&gt;1,DAY($A2660)&gt;=IFERROR(N(INDEX(Übersicht!$M$15:$M$22,MATCH($B2660,Übersicht!$A$15:$A$22,0))),0)),1,0),1))</f>
        <v/>
      </c>
    </row>
    <row r="2661">
      <c r="A2661" s="92" t="n"/>
      <c r="B2661" s="55" t="n"/>
      <c r="C2661" s="55" t="n"/>
      <c r="D2661" s="55" t="n"/>
      <c r="E2661" s="93" t="n"/>
      <c r="F2661" s="94" t="n"/>
      <c r="G2661" s="94" t="n"/>
      <c r="H2661" s="94" t="n"/>
      <c r="I2661" s="94" t="n"/>
      <c r="J2661" s="55" t="n"/>
      <c r="K2661" s="95" t="n"/>
      <c r="L2661" s="116">
        <f>IF($A2661="","",DATE(YEAR($A2661),MONTH($A2661)+IF(AND(IFERROR(N(INDEX(Übersicht!$M$15:$M$22,MATCH($B2661,Übersicht!$A$15:$A$22,0))),0)&gt;1,DAY($A2661)&gt;=IFERROR(N(INDEX(Übersicht!$M$15:$M$22,MATCH($B2661,Übersicht!$A$15:$A$22,0))),0)),1,0),1))</f>
        <v/>
      </c>
    </row>
    <row r="2662">
      <c r="A2662" s="92" t="n"/>
      <c r="B2662" s="55" t="n"/>
      <c r="C2662" s="55" t="n"/>
      <c r="D2662" s="55" t="n"/>
      <c r="E2662" s="93" t="n"/>
      <c r="F2662" s="94" t="n"/>
      <c r="G2662" s="94" t="n"/>
      <c r="H2662" s="94" t="n"/>
      <c r="I2662" s="94" t="n"/>
      <c r="J2662" s="55" t="n"/>
      <c r="K2662" s="95" t="n"/>
      <c r="L2662" s="116">
        <f>IF($A2662="","",DATE(YEAR($A2662),MONTH($A2662)+IF(AND(IFERROR(N(INDEX(Übersicht!$M$15:$M$22,MATCH($B2662,Übersicht!$A$15:$A$22,0))),0)&gt;1,DAY($A2662)&gt;=IFERROR(N(INDEX(Übersicht!$M$15:$M$22,MATCH($B2662,Übersicht!$A$15:$A$22,0))),0)),1,0),1))</f>
        <v/>
      </c>
    </row>
    <row r="2663">
      <c r="A2663" s="92" t="n"/>
      <c r="B2663" s="55" t="n"/>
      <c r="C2663" s="55" t="n"/>
      <c r="D2663" s="55" t="n"/>
      <c r="E2663" s="93" t="n"/>
      <c r="F2663" s="94" t="n"/>
      <c r="G2663" s="94" t="n"/>
      <c r="H2663" s="94" t="n"/>
      <c r="I2663" s="94" t="n"/>
      <c r="J2663" s="55" t="n"/>
      <c r="K2663" s="95" t="n"/>
      <c r="L2663" s="116">
        <f>IF($A2663="","",DATE(YEAR($A2663),MONTH($A2663)+IF(AND(IFERROR(N(INDEX(Übersicht!$M$15:$M$22,MATCH($B2663,Übersicht!$A$15:$A$22,0))),0)&gt;1,DAY($A2663)&gt;=IFERROR(N(INDEX(Übersicht!$M$15:$M$22,MATCH($B2663,Übersicht!$A$15:$A$22,0))),0)),1,0),1))</f>
        <v/>
      </c>
    </row>
    <row r="2664">
      <c r="A2664" s="92" t="n"/>
      <c r="B2664" s="55" t="n"/>
      <c r="C2664" s="55" t="n"/>
      <c r="D2664" s="55" t="n"/>
      <c r="E2664" s="93" t="n"/>
      <c r="F2664" s="94" t="n"/>
      <c r="G2664" s="94" t="n"/>
      <c r="H2664" s="94" t="n"/>
      <c r="I2664" s="94" t="n"/>
      <c r="J2664" s="55" t="n"/>
      <c r="K2664" s="95" t="n"/>
      <c r="L2664" s="116">
        <f>IF($A2664="","",DATE(YEAR($A2664),MONTH($A2664)+IF(AND(IFERROR(N(INDEX(Übersicht!$M$15:$M$22,MATCH($B2664,Übersicht!$A$15:$A$22,0))),0)&gt;1,DAY($A2664)&gt;=IFERROR(N(INDEX(Übersicht!$M$15:$M$22,MATCH($B2664,Übersicht!$A$15:$A$22,0))),0)),1,0),1))</f>
        <v/>
      </c>
    </row>
    <row r="2665">
      <c r="A2665" s="92" t="n"/>
      <c r="B2665" s="55" t="n"/>
      <c r="C2665" s="55" t="n"/>
      <c r="D2665" s="55" t="n"/>
      <c r="E2665" s="93" t="n"/>
      <c r="F2665" s="94" t="n"/>
      <c r="G2665" s="94" t="n"/>
      <c r="H2665" s="94" t="n"/>
      <c r="I2665" s="94" t="n"/>
      <c r="J2665" s="55" t="n"/>
      <c r="K2665" s="95" t="n"/>
      <c r="L2665" s="116">
        <f>IF($A2665="","",DATE(YEAR($A2665),MONTH($A2665)+IF(AND(IFERROR(N(INDEX(Übersicht!$M$15:$M$22,MATCH($B2665,Übersicht!$A$15:$A$22,0))),0)&gt;1,DAY($A2665)&gt;=IFERROR(N(INDEX(Übersicht!$M$15:$M$22,MATCH($B2665,Übersicht!$A$15:$A$22,0))),0)),1,0),1))</f>
        <v/>
      </c>
    </row>
    <row r="2666">
      <c r="A2666" s="92" t="n"/>
      <c r="B2666" s="55" t="n"/>
      <c r="C2666" s="55" t="n"/>
      <c r="D2666" s="55" t="n"/>
      <c r="E2666" s="93" t="n"/>
      <c r="F2666" s="94" t="n"/>
      <c r="G2666" s="94" t="n"/>
      <c r="H2666" s="94" t="n"/>
      <c r="I2666" s="94" t="n"/>
      <c r="J2666" s="55" t="n"/>
      <c r="K2666" s="95" t="n"/>
      <c r="L2666" s="116">
        <f>IF($A2666="","",DATE(YEAR($A2666),MONTH($A2666)+IF(AND(IFERROR(N(INDEX(Übersicht!$M$15:$M$22,MATCH($B2666,Übersicht!$A$15:$A$22,0))),0)&gt;1,DAY($A2666)&gt;=IFERROR(N(INDEX(Übersicht!$M$15:$M$22,MATCH($B2666,Übersicht!$A$15:$A$22,0))),0)),1,0),1))</f>
        <v/>
      </c>
    </row>
    <row r="2667">
      <c r="A2667" s="92" t="n"/>
      <c r="B2667" s="55" t="n"/>
      <c r="C2667" s="55" t="n"/>
      <c r="D2667" s="55" t="n"/>
      <c r="E2667" s="93" t="n"/>
      <c r="F2667" s="94" t="n"/>
      <c r="G2667" s="94" t="n"/>
      <c r="H2667" s="94" t="n"/>
      <c r="I2667" s="94" t="n"/>
      <c r="J2667" s="55" t="n"/>
      <c r="K2667" s="95" t="n"/>
      <c r="L2667" s="116">
        <f>IF($A2667="","",DATE(YEAR($A2667),MONTH($A2667)+IF(AND(IFERROR(N(INDEX(Übersicht!$M$15:$M$22,MATCH($B2667,Übersicht!$A$15:$A$22,0))),0)&gt;1,DAY($A2667)&gt;=IFERROR(N(INDEX(Übersicht!$M$15:$M$22,MATCH($B2667,Übersicht!$A$15:$A$22,0))),0)),1,0),1))</f>
        <v/>
      </c>
    </row>
    <row r="2668">
      <c r="A2668" s="92" t="n"/>
      <c r="B2668" s="55" t="n"/>
      <c r="C2668" s="55" t="n"/>
      <c r="D2668" s="55" t="n"/>
      <c r="E2668" s="93" t="n"/>
      <c r="F2668" s="94" t="n"/>
      <c r="G2668" s="94" t="n"/>
      <c r="H2668" s="94" t="n"/>
      <c r="I2668" s="94" t="n"/>
      <c r="J2668" s="55" t="n"/>
      <c r="K2668" s="95" t="n"/>
      <c r="L2668" s="116">
        <f>IF($A2668="","",DATE(YEAR($A2668),MONTH($A2668)+IF(AND(IFERROR(N(INDEX(Übersicht!$M$15:$M$22,MATCH($B2668,Übersicht!$A$15:$A$22,0))),0)&gt;1,DAY($A2668)&gt;=IFERROR(N(INDEX(Übersicht!$M$15:$M$22,MATCH($B2668,Übersicht!$A$15:$A$22,0))),0)),1,0),1))</f>
        <v/>
      </c>
    </row>
    <row r="2669">
      <c r="A2669" s="92" t="n"/>
      <c r="B2669" s="55" t="n"/>
      <c r="C2669" s="55" t="n"/>
      <c r="D2669" s="55" t="n"/>
      <c r="E2669" s="93" t="n"/>
      <c r="F2669" s="94" t="n"/>
      <c r="G2669" s="94" t="n"/>
      <c r="H2669" s="94" t="n"/>
      <c r="I2669" s="94" t="n"/>
      <c r="J2669" s="55" t="n"/>
      <c r="K2669" s="95" t="n"/>
      <c r="L2669" s="116">
        <f>IF($A2669="","",DATE(YEAR($A2669),MONTH($A2669)+IF(AND(IFERROR(N(INDEX(Übersicht!$M$15:$M$22,MATCH($B2669,Übersicht!$A$15:$A$22,0))),0)&gt;1,DAY($A2669)&gt;=IFERROR(N(INDEX(Übersicht!$M$15:$M$22,MATCH($B2669,Übersicht!$A$15:$A$22,0))),0)),1,0),1))</f>
        <v/>
      </c>
    </row>
    <row r="2670">
      <c r="A2670" s="92" t="n"/>
      <c r="B2670" s="55" t="n"/>
      <c r="C2670" s="55" t="n"/>
      <c r="D2670" s="55" t="n"/>
      <c r="E2670" s="93" t="n"/>
      <c r="F2670" s="94" t="n"/>
      <c r="G2670" s="94" t="n"/>
      <c r="H2670" s="94" t="n"/>
      <c r="I2670" s="94" t="n"/>
      <c r="J2670" s="55" t="n"/>
      <c r="K2670" s="95" t="n"/>
      <c r="L2670" s="116">
        <f>IF($A2670="","",DATE(YEAR($A2670),MONTH($A2670)+IF(AND(IFERROR(N(INDEX(Übersicht!$M$15:$M$22,MATCH($B2670,Übersicht!$A$15:$A$22,0))),0)&gt;1,DAY($A2670)&gt;=IFERROR(N(INDEX(Übersicht!$M$15:$M$22,MATCH($B2670,Übersicht!$A$15:$A$22,0))),0)),1,0),1))</f>
        <v/>
      </c>
    </row>
    <row r="2671">
      <c r="A2671" s="92" t="n"/>
      <c r="B2671" s="55" t="n"/>
      <c r="C2671" s="55" t="n"/>
      <c r="D2671" s="55" t="n"/>
      <c r="E2671" s="93" t="n"/>
      <c r="F2671" s="94" t="n"/>
      <c r="G2671" s="94" t="n"/>
      <c r="H2671" s="94" t="n"/>
      <c r="I2671" s="94" t="n"/>
      <c r="J2671" s="55" t="n"/>
      <c r="K2671" s="95" t="n"/>
      <c r="L2671" s="116">
        <f>IF($A2671="","",DATE(YEAR($A2671),MONTH($A2671)+IF(AND(IFERROR(N(INDEX(Übersicht!$M$15:$M$22,MATCH($B2671,Übersicht!$A$15:$A$22,0))),0)&gt;1,DAY($A2671)&gt;=IFERROR(N(INDEX(Übersicht!$M$15:$M$22,MATCH($B2671,Übersicht!$A$15:$A$22,0))),0)),1,0),1))</f>
        <v/>
      </c>
    </row>
    <row r="2672">
      <c r="A2672" s="92" t="n"/>
      <c r="B2672" s="55" t="n"/>
      <c r="C2672" s="55" t="n"/>
      <c r="D2672" s="55" t="n"/>
      <c r="E2672" s="93" t="n"/>
      <c r="F2672" s="94" t="n"/>
      <c r="G2672" s="94" t="n"/>
      <c r="H2672" s="94" t="n"/>
      <c r="I2672" s="94" t="n"/>
      <c r="J2672" s="55" t="n"/>
      <c r="K2672" s="95" t="n"/>
      <c r="L2672" s="116">
        <f>IF($A2672="","",DATE(YEAR($A2672),MONTH($A2672)+IF(AND(IFERROR(N(INDEX(Übersicht!$M$15:$M$22,MATCH($B2672,Übersicht!$A$15:$A$22,0))),0)&gt;1,DAY($A2672)&gt;=IFERROR(N(INDEX(Übersicht!$M$15:$M$22,MATCH($B2672,Übersicht!$A$15:$A$22,0))),0)),1,0),1))</f>
        <v/>
      </c>
    </row>
    <row r="2673">
      <c r="A2673" s="92" t="n"/>
      <c r="B2673" s="55" t="n"/>
      <c r="C2673" s="55" t="n"/>
      <c r="D2673" s="55" t="n"/>
      <c r="E2673" s="93" t="n"/>
      <c r="F2673" s="94" t="n"/>
      <c r="G2673" s="94" t="n"/>
      <c r="H2673" s="94" t="n"/>
      <c r="I2673" s="94" t="n"/>
      <c r="J2673" s="55" t="n"/>
      <c r="K2673" s="95" t="n"/>
      <c r="L2673" s="116">
        <f>IF($A2673="","",DATE(YEAR($A2673),MONTH($A2673)+IF(AND(IFERROR(N(INDEX(Übersicht!$M$15:$M$22,MATCH($B2673,Übersicht!$A$15:$A$22,0))),0)&gt;1,DAY($A2673)&gt;=IFERROR(N(INDEX(Übersicht!$M$15:$M$22,MATCH($B2673,Übersicht!$A$15:$A$22,0))),0)),1,0),1))</f>
        <v/>
      </c>
    </row>
    <row r="2674">
      <c r="A2674" s="92" t="n"/>
      <c r="B2674" s="55" t="n"/>
      <c r="C2674" s="55" t="n"/>
      <c r="D2674" s="55" t="n"/>
      <c r="E2674" s="93" t="n"/>
      <c r="F2674" s="94" t="n"/>
      <c r="G2674" s="94" t="n"/>
      <c r="H2674" s="94" t="n"/>
      <c r="I2674" s="94" t="n"/>
      <c r="J2674" s="55" t="n"/>
      <c r="K2674" s="95" t="n"/>
      <c r="L2674" s="116">
        <f>IF($A2674="","",DATE(YEAR($A2674),MONTH($A2674)+IF(AND(IFERROR(N(INDEX(Übersicht!$M$15:$M$22,MATCH($B2674,Übersicht!$A$15:$A$22,0))),0)&gt;1,DAY($A2674)&gt;=IFERROR(N(INDEX(Übersicht!$M$15:$M$22,MATCH($B2674,Übersicht!$A$15:$A$22,0))),0)),1,0),1))</f>
        <v/>
      </c>
    </row>
    <row r="2675">
      <c r="A2675" s="92" t="n"/>
      <c r="B2675" s="55" t="n"/>
      <c r="C2675" s="55" t="n"/>
      <c r="D2675" s="55" t="n"/>
      <c r="E2675" s="93" t="n"/>
      <c r="F2675" s="94" t="n"/>
      <c r="G2675" s="94" t="n"/>
      <c r="H2675" s="94" t="n"/>
      <c r="I2675" s="94" t="n"/>
      <c r="J2675" s="55" t="n"/>
      <c r="K2675" s="95" t="n"/>
      <c r="L2675" s="116">
        <f>IF($A2675="","",DATE(YEAR($A2675),MONTH($A2675)+IF(AND(IFERROR(N(INDEX(Übersicht!$M$15:$M$22,MATCH($B2675,Übersicht!$A$15:$A$22,0))),0)&gt;1,DAY($A2675)&gt;=IFERROR(N(INDEX(Übersicht!$M$15:$M$22,MATCH($B2675,Übersicht!$A$15:$A$22,0))),0)),1,0),1))</f>
        <v/>
      </c>
    </row>
    <row r="2676">
      <c r="A2676" s="92" t="n"/>
      <c r="B2676" s="55" t="n"/>
      <c r="C2676" s="55" t="n"/>
      <c r="D2676" s="55" t="n"/>
      <c r="E2676" s="93" t="n"/>
      <c r="F2676" s="94" t="n"/>
      <c r="G2676" s="94" t="n"/>
      <c r="H2676" s="94" t="n"/>
      <c r="I2676" s="94" t="n"/>
      <c r="J2676" s="55" t="n"/>
      <c r="K2676" s="95" t="n"/>
      <c r="L2676" s="116">
        <f>IF($A2676="","",DATE(YEAR($A2676),MONTH($A2676)+IF(AND(IFERROR(N(INDEX(Übersicht!$M$15:$M$22,MATCH($B2676,Übersicht!$A$15:$A$22,0))),0)&gt;1,DAY($A2676)&gt;=IFERROR(N(INDEX(Übersicht!$M$15:$M$22,MATCH($B2676,Übersicht!$A$15:$A$22,0))),0)),1,0),1))</f>
        <v/>
      </c>
    </row>
    <row r="2677">
      <c r="A2677" s="92" t="n"/>
      <c r="B2677" s="55" t="n"/>
      <c r="C2677" s="55" t="n"/>
      <c r="D2677" s="55" t="n"/>
      <c r="E2677" s="93" t="n"/>
      <c r="F2677" s="94" t="n"/>
      <c r="G2677" s="94" t="n"/>
      <c r="H2677" s="94" t="n"/>
      <c r="I2677" s="94" t="n"/>
      <c r="J2677" s="55" t="n"/>
      <c r="K2677" s="95" t="n"/>
      <c r="L2677" s="116">
        <f>IF($A2677="","",DATE(YEAR($A2677),MONTH($A2677)+IF(AND(IFERROR(N(INDEX(Übersicht!$M$15:$M$22,MATCH($B2677,Übersicht!$A$15:$A$22,0))),0)&gt;1,DAY($A2677)&gt;=IFERROR(N(INDEX(Übersicht!$M$15:$M$22,MATCH($B2677,Übersicht!$A$15:$A$22,0))),0)),1,0),1))</f>
        <v/>
      </c>
    </row>
    <row r="2678">
      <c r="A2678" s="92" t="n"/>
      <c r="B2678" s="55" t="n"/>
      <c r="C2678" s="55" t="n"/>
      <c r="D2678" s="55" t="n"/>
      <c r="E2678" s="93" t="n"/>
      <c r="F2678" s="94" t="n"/>
      <c r="G2678" s="94" t="n"/>
      <c r="H2678" s="94" t="n"/>
      <c r="I2678" s="94" t="n"/>
      <c r="J2678" s="55" t="n"/>
      <c r="K2678" s="95" t="n"/>
      <c r="L2678" s="116">
        <f>IF($A2678="","",DATE(YEAR($A2678),MONTH($A2678)+IF(AND(IFERROR(N(INDEX(Übersicht!$M$15:$M$22,MATCH($B2678,Übersicht!$A$15:$A$22,0))),0)&gt;1,DAY($A2678)&gt;=IFERROR(N(INDEX(Übersicht!$M$15:$M$22,MATCH($B2678,Übersicht!$A$15:$A$22,0))),0)),1,0),1))</f>
        <v/>
      </c>
    </row>
    <row r="2679">
      <c r="A2679" s="92" t="n"/>
      <c r="B2679" s="55" t="n"/>
      <c r="C2679" s="55" t="n"/>
      <c r="D2679" s="55" t="n"/>
      <c r="E2679" s="93" t="n"/>
      <c r="F2679" s="94" t="n"/>
      <c r="G2679" s="94" t="n"/>
      <c r="H2679" s="94" t="n"/>
      <c r="I2679" s="94" t="n"/>
      <c r="J2679" s="55" t="n"/>
      <c r="K2679" s="95" t="n"/>
      <c r="L2679" s="116">
        <f>IF($A2679="","",DATE(YEAR($A2679),MONTH($A2679)+IF(AND(IFERROR(N(INDEX(Übersicht!$M$15:$M$22,MATCH($B2679,Übersicht!$A$15:$A$22,0))),0)&gt;1,DAY($A2679)&gt;=IFERROR(N(INDEX(Übersicht!$M$15:$M$22,MATCH($B2679,Übersicht!$A$15:$A$22,0))),0)),1,0),1))</f>
        <v/>
      </c>
    </row>
    <row r="2680">
      <c r="A2680" s="92" t="n"/>
      <c r="B2680" s="55" t="n"/>
      <c r="C2680" s="55" t="n"/>
      <c r="D2680" s="55" t="n"/>
      <c r="E2680" s="93" t="n"/>
      <c r="F2680" s="94" t="n"/>
      <c r="G2680" s="94" t="n"/>
      <c r="H2680" s="94" t="n"/>
      <c r="I2680" s="94" t="n"/>
      <c r="J2680" s="55" t="n"/>
      <c r="K2680" s="95" t="n"/>
      <c r="L2680" s="116">
        <f>IF($A2680="","",DATE(YEAR($A2680),MONTH($A2680)+IF(AND(IFERROR(N(INDEX(Übersicht!$M$15:$M$22,MATCH($B2680,Übersicht!$A$15:$A$22,0))),0)&gt;1,DAY($A2680)&gt;=IFERROR(N(INDEX(Übersicht!$M$15:$M$22,MATCH($B2680,Übersicht!$A$15:$A$22,0))),0)),1,0),1))</f>
        <v/>
      </c>
    </row>
    <row r="2681">
      <c r="A2681" s="92" t="n"/>
      <c r="B2681" s="55" t="n"/>
      <c r="C2681" s="55" t="n"/>
      <c r="D2681" s="55" t="n"/>
      <c r="E2681" s="93" t="n"/>
      <c r="F2681" s="94" t="n"/>
      <c r="G2681" s="94" t="n"/>
      <c r="H2681" s="94" t="n"/>
      <c r="I2681" s="94" t="n"/>
      <c r="J2681" s="55" t="n"/>
      <c r="K2681" s="95" t="n"/>
      <c r="L2681" s="116">
        <f>IF($A2681="","",DATE(YEAR($A2681),MONTH($A2681)+IF(AND(IFERROR(N(INDEX(Übersicht!$M$15:$M$22,MATCH($B2681,Übersicht!$A$15:$A$22,0))),0)&gt;1,DAY($A2681)&gt;=IFERROR(N(INDEX(Übersicht!$M$15:$M$22,MATCH($B2681,Übersicht!$A$15:$A$22,0))),0)),1,0),1))</f>
        <v/>
      </c>
    </row>
    <row r="2682">
      <c r="A2682" s="92" t="n"/>
      <c r="B2682" s="55" t="n"/>
      <c r="C2682" s="55" t="n"/>
      <c r="D2682" s="55" t="n"/>
      <c r="E2682" s="93" t="n"/>
      <c r="F2682" s="94" t="n"/>
      <c r="G2682" s="94" t="n"/>
      <c r="H2682" s="94" t="n"/>
      <c r="I2682" s="94" t="n"/>
      <c r="J2682" s="55" t="n"/>
      <c r="K2682" s="95" t="n"/>
      <c r="L2682" s="116">
        <f>IF($A2682="","",DATE(YEAR($A2682),MONTH($A2682)+IF(AND(IFERROR(N(INDEX(Übersicht!$M$15:$M$22,MATCH($B2682,Übersicht!$A$15:$A$22,0))),0)&gt;1,DAY($A2682)&gt;=IFERROR(N(INDEX(Übersicht!$M$15:$M$22,MATCH($B2682,Übersicht!$A$15:$A$22,0))),0)),1,0),1))</f>
        <v/>
      </c>
    </row>
    <row r="2683">
      <c r="A2683" s="92" t="n"/>
      <c r="B2683" s="55" t="n"/>
      <c r="C2683" s="55" t="n"/>
      <c r="D2683" s="55" t="n"/>
      <c r="E2683" s="93" t="n"/>
      <c r="F2683" s="94" t="n"/>
      <c r="G2683" s="94" t="n"/>
      <c r="H2683" s="94" t="n"/>
      <c r="I2683" s="94" t="n"/>
      <c r="J2683" s="55" t="n"/>
      <c r="K2683" s="95" t="n"/>
      <c r="L2683" s="116">
        <f>IF($A2683="","",DATE(YEAR($A2683),MONTH($A2683)+IF(AND(IFERROR(N(INDEX(Übersicht!$M$15:$M$22,MATCH($B2683,Übersicht!$A$15:$A$22,0))),0)&gt;1,DAY($A2683)&gt;=IFERROR(N(INDEX(Übersicht!$M$15:$M$22,MATCH($B2683,Übersicht!$A$15:$A$22,0))),0)),1,0),1))</f>
        <v/>
      </c>
    </row>
    <row r="2684">
      <c r="A2684" s="92" t="n"/>
      <c r="B2684" s="55" t="n"/>
      <c r="C2684" s="55" t="n"/>
      <c r="D2684" s="55" t="n"/>
      <c r="E2684" s="93" t="n"/>
      <c r="F2684" s="94" t="n"/>
      <c r="G2684" s="94" t="n"/>
      <c r="H2684" s="94" t="n"/>
      <c r="I2684" s="94" t="n"/>
      <c r="J2684" s="55" t="n"/>
      <c r="K2684" s="95" t="n"/>
      <c r="L2684" s="116">
        <f>IF($A2684="","",DATE(YEAR($A2684),MONTH($A2684)+IF(AND(IFERROR(N(INDEX(Übersicht!$M$15:$M$22,MATCH($B2684,Übersicht!$A$15:$A$22,0))),0)&gt;1,DAY($A2684)&gt;=IFERROR(N(INDEX(Übersicht!$M$15:$M$22,MATCH($B2684,Übersicht!$A$15:$A$22,0))),0)),1,0),1))</f>
        <v/>
      </c>
    </row>
    <row r="2685">
      <c r="A2685" s="92" t="n"/>
      <c r="B2685" s="55" t="n"/>
      <c r="C2685" s="55" t="n"/>
      <c r="D2685" s="55" t="n"/>
      <c r="E2685" s="93" t="n"/>
      <c r="F2685" s="94" t="n"/>
      <c r="G2685" s="94" t="n"/>
      <c r="H2685" s="94" t="n"/>
      <c r="I2685" s="94" t="n"/>
      <c r="J2685" s="55" t="n"/>
      <c r="K2685" s="95" t="n"/>
      <c r="L2685" s="116">
        <f>IF($A2685="","",DATE(YEAR($A2685),MONTH($A2685)+IF(AND(IFERROR(N(INDEX(Übersicht!$M$15:$M$22,MATCH($B2685,Übersicht!$A$15:$A$22,0))),0)&gt;1,DAY($A2685)&gt;=IFERROR(N(INDEX(Übersicht!$M$15:$M$22,MATCH($B2685,Übersicht!$A$15:$A$22,0))),0)),1,0),1))</f>
        <v/>
      </c>
    </row>
    <row r="2686">
      <c r="A2686" s="92" t="n"/>
      <c r="B2686" s="55" t="n"/>
      <c r="C2686" s="55" t="n"/>
      <c r="D2686" s="55" t="n"/>
      <c r="E2686" s="93" t="n"/>
      <c r="F2686" s="94" t="n"/>
      <c r="G2686" s="94" t="n"/>
      <c r="H2686" s="94" t="n"/>
      <c r="I2686" s="94" t="n"/>
      <c r="J2686" s="55" t="n"/>
      <c r="K2686" s="95" t="n"/>
      <c r="L2686" s="116">
        <f>IF($A2686="","",DATE(YEAR($A2686),MONTH($A2686)+IF(AND(IFERROR(N(INDEX(Übersicht!$M$15:$M$22,MATCH($B2686,Übersicht!$A$15:$A$22,0))),0)&gt;1,DAY($A2686)&gt;=IFERROR(N(INDEX(Übersicht!$M$15:$M$22,MATCH($B2686,Übersicht!$A$15:$A$22,0))),0)),1,0),1))</f>
        <v/>
      </c>
    </row>
    <row r="2687">
      <c r="A2687" s="92" t="n"/>
      <c r="B2687" s="55" t="n"/>
      <c r="C2687" s="55" t="n"/>
      <c r="D2687" s="55" t="n"/>
      <c r="E2687" s="93" t="n"/>
      <c r="F2687" s="94" t="n"/>
      <c r="G2687" s="94" t="n"/>
      <c r="H2687" s="94" t="n"/>
      <c r="I2687" s="94" t="n"/>
      <c r="J2687" s="55" t="n"/>
      <c r="K2687" s="95" t="n"/>
      <c r="L2687" s="116">
        <f>IF($A2687="","",DATE(YEAR($A2687),MONTH($A2687)+IF(AND(IFERROR(N(INDEX(Übersicht!$M$15:$M$22,MATCH($B2687,Übersicht!$A$15:$A$22,0))),0)&gt;1,DAY($A2687)&gt;=IFERROR(N(INDEX(Übersicht!$M$15:$M$22,MATCH($B2687,Übersicht!$A$15:$A$22,0))),0)),1,0),1))</f>
        <v/>
      </c>
    </row>
    <row r="2688">
      <c r="A2688" s="92" t="n"/>
      <c r="B2688" s="55" t="n"/>
      <c r="C2688" s="55" t="n"/>
      <c r="D2688" s="55" t="n"/>
      <c r="E2688" s="93" t="n"/>
      <c r="F2688" s="94" t="n"/>
      <c r="G2688" s="94" t="n"/>
      <c r="H2688" s="94" t="n"/>
      <c r="I2688" s="94" t="n"/>
      <c r="J2688" s="55" t="n"/>
      <c r="K2688" s="95" t="n"/>
      <c r="L2688" s="116">
        <f>IF($A2688="","",DATE(YEAR($A2688),MONTH($A2688)+IF(AND(IFERROR(N(INDEX(Übersicht!$M$15:$M$22,MATCH($B2688,Übersicht!$A$15:$A$22,0))),0)&gt;1,DAY($A2688)&gt;=IFERROR(N(INDEX(Übersicht!$M$15:$M$22,MATCH($B2688,Übersicht!$A$15:$A$22,0))),0)),1,0),1))</f>
        <v/>
      </c>
    </row>
    <row r="2689">
      <c r="A2689" s="92" t="n"/>
      <c r="B2689" s="55" t="n"/>
      <c r="C2689" s="55" t="n"/>
      <c r="D2689" s="55" t="n"/>
      <c r="E2689" s="93" t="n"/>
      <c r="F2689" s="94" t="n"/>
      <c r="G2689" s="94" t="n"/>
      <c r="H2689" s="94" t="n"/>
      <c r="I2689" s="94" t="n"/>
      <c r="J2689" s="55" t="n"/>
      <c r="K2689" s="95" t="n"/>
      <c r="L2689" s="116">
        <f>IF($A2689="","",DATE(YEAR($A2689),MONTH($A2689)+IF(AND(IFERROR(N(INDEX(Übersicht!$M$15:$M$22,MATCH($B2689,Übersicht!$A$15:$A$22,0))),0)&gt;1,DAY($A2689)&gt;=IFERROR(N(INDEX(Übersicht!$M$15:$M$22,MATCH($B2689,Übersicht!$A$15:$A$22,0))),0)),1,0),1))</f>
        <v/>
      </c>
    </row>
    <row r="2690">
      <c r="A2690" s="92" t="n"/>
      <c r="B2690" s="55" t="n"/>
      <c r="C2690" s="55" t="n"/>
      <c r="D2690" s="55" t="n"/>
      <c r="E2690" s="93" t="n"/>
      <c r="F2690" s="94" t="n"/>
      <c r="G2690" s="94" t="n"/>
      <c r="H2690" s="94" t="n"/>
      <c r="I2690" s="94" t="n"/>
      <c r="J2690" s="55" t="n"/>
      <c r="K2690" s="95" t="n"/>
      <c r="L2690" s="116">
        <f>IF($A2690="","",DATE(YEAR($A2690),MONTH($A2690)+IF(AND(IFERROR(N(INDEX(Übersicht!$M$15:$M$22,MATCH($B2690,Übersicht!$A$15:$A$22,0))),0)&gt;1,DAY($A2690)&gt;=IFERROR(N(INDEX(Übersicht!$M$15:$M$22,MATCH($B2690,Übersicht!$A$15:$A$22,0))),0)),1,0),1))</f>
        <v/>
      </c>
    </row>
    <row r="2691">
      <c r="A2691" s="92" t="n"/>
      <c r="B2691" s="55" t="n"/>
      <c r="C2691" s="55" t="n"/>
      <c r="D2691" s="55" t="n"/>
      <c r="E2691" s="93" t="n"/>
      <c r="F2691" s="94" t="n"/>
      <c r="G2691" s="94" t="n"/>
      <c r="H2691" s="94" t="n"/>
      <c r="I2691" s="94" t="n"/>
      <c r="J2691" s="55" t="n"/>
      <c r="K2691" s="95" t="n"/>
      <c r="L2691" s="116">
        <f>IF($A2691="","",DATE(YEAR($A2691),MONTH($A2691)+IF(AND(IFERROR(N(INDEX(Übersicht!$M$15:$M$22,MATCH($B2691,Übersicht!$A$15:$A$22,0))),0)&gt;1,DAY($A2691)&gt;=IFERROR(N(INDEX(Übersicht!$M$15:$M$22,MATCH($B2691,Übersicht!$A$15:$A$22,0))),0)),1,0),1))</f>
        <v/>
      </c>
    </row>
    <row r="2692">
      <c r="A2692" s="92" t="n"/>
      <c r="B2692" s="55" t="n"/>
      <c r="C2692" s="55" t="n"/>
      <c r="D2692" s="55" t="n"/>
      <c r="E2692" s="93" t="n"/>
      <c r="F2692" s="94" t="n"/>
      <c r="G2692" s="94" t="n"/>
      <c r="H2692" s="94" t="n"/>
      <c r="I2692" s="94" t="n"/>
      <c r="J2692" s="55" t="n"/>
      <c r="K2692" s="95" t="n"/>
      <c r="L2692" s="116">
        <f>IF($A2692="","",DATE(YEAR($A2692),MONTH($A2692)+IF(AND(IFERROR(N(INDEX(Übersicht!$M$15:$M$22,MATCH($B2692,Übersicht!$A$15:$A$22,0))),0)&gt;1,DAY($A2692)&gt;=IFERROR(N(INDEX(Übersicht!$M$15:$M$22,MATCH($B2692,Übersicht!$A$15:$A$22,0))),0)),1,0),1))</f>
        <v/>
      </c>
    </row>
    <row r="2693">
      <c r="A2693" s="92" t="n"/>
      <c r="B2693" s="55" t="n"/>
      <c r="C2693" s="55" t="n"/>
      <c r="D2693" s="55" t="n"/>
      <c r="E2693" s="93" t="n"/>
      <c r="F2693" s="94" t="n"/>
      <c r="G2693" s="94" t="n"/>
      <c r="H2693" s="94" t="n"/>
      <c r="I2693" s="94" t="n"/>
      <c r="J2693" s="55" t="n"/>
      <c r="K2693" s="95" t="n"/>
      <c r="L2693" s="116">
        <f>IF($A2693="","",DATE(YEAR($A2693),MONTH($A2693)+IF(AND(IFERROR(N(INDEX(Übersicht!$M$15:$M$22,MATCH($B2693,Übersicht!$A$15:$A$22,0))),0)&gt;1,DAY($A2693)&gt;=IFERROR(N(INDEX(Übersicht!$M$15:$M$22,MATCH($B2693,Übersicht!$A$15:$A$22,0))),0)),1,0),1))</f>
        <v/>
      </c>
    </row>
    <row r="2694">
      <c r="A2694" s="92" t="n"/>
      <c r="B2694" s="55" t="n"/>
      <c r="C2694" s="55" t="n"/>
      <c r="D2694" s="55" t="n"/>
      <c r="E2694" s="93" t="n"/>
      <c r="F2694" s="94" t="n"/>
      <c r="G2694" s="94" t="n"/>
      <c r="H2694" s="94" t="n"/>
      <c r="I2694" s="94" t="n"/>
      <c r="J2694" s="55" t="n"/>
      <c r="K2694" s="95" t="n"/>
      <c r="L2694" s="116">
        <f>IF($A2694="","",DATE(YEAR($A2694),MONTH($A2694)+IF(AND(IFERROR(N(INDEX(Übersicht!$M$15:$M$22,MATCH($B2694,Übersicht!$A$15:$A$22,0))),0)&gt;1,DAY($A2694)&gt;=IFERROR(N(INDEX(Übersicht!$M$15:$M$22,MATCH($B2694,Übersicht!$A$15:$A$22,0))),0)),1,0),1))</f>
        <v/>
      </c>
    </row>
    <row r="2695">
      <c r="A2695" s="92" t="n"/>
      <c r="B2695" s="55" t="n"/>
      <c r="C2695" s="55" t="n"/>
      <c r="D2695" s="55" t="n"/>
      <c r="E2695" s="93" t="n"/>
      <c r="F2695" s="94" t="n"/>
      <c r="G2695" s="94" t="n"/>
      <c r="H2695" s="94" t="n"/>
      <c r="I2695" s="94" t="n"/>
      <c r="J2695" s="55" t="n"/>
      <c r="K2695" s="95" t="n"/>
      <c r="L2695" s="116">
        <f>IF($A2695="","",DATE(YEAR($A2695),MONTH($A2695)+IF(AND(IFERROR(N(INDEX(Übersicht!$M$15:$M$22,MATCH($B2695,Übersicht!$A$15:$A$22,0))),0)&gt;1,DAY($A2695)&gt;=IFERROR(N(INDEX(Übersicht!$M$15:$M$22,MATCH($B2695,Übersicht!$A$15:$A$22,0))),0)),1,0),1))</f>
        <v/>
      </c>
    </row>
    <row r="2696">
      <c r="A2696" s="92" t="n"/>
      <c r="B2696" s="55" t="n"/>
      <c r="C2696" s="55" t="n"/>
      <c r="D2696" s="55" t="n"/>
      <c r="E2696" s="93" t="n"/>
      <c r="F2696" s="94" t="n"/>
      <c r="G2696" s="94" t="n"/>
      <c r="H2696" s="94" t="n"/>
      <c r="I2696" s="94" t="n"/>
      <c r="J2696" s="55" t="n"/>
      <c r="K2696" s="95" t="n"/>
      <c r="L2696" s="116">
        <f>IF($A2696="","",DATE(YEAR($A2696),MONTH($A2696)+IF(AND(IFERROR(N(INDEX(Übersicht!$M$15:$M$22,MATCH($B2696,Übersicht!$A$15:$A$22,0))),0)&gt;1,DAY($A2696)&gt;=IFERROR(N(INDEX(Übersicht!$M$15:$M$22,MATCH($B2696,Übersicht!$A$15:$A$22,0))),0)),1,0),1))</f>
        <v/>
      </c>
    </row>
    <row r="2697">
      <c r="A2697" s="92" t="n"/>
      <c r="B2697" s="55" t="n"/>
      <c r="C2697" s="55" t="n"/>
      <c r="D2697" s="55" t="n"/>
      <c r="E2697" s="93" t="n"/>
      <c r="F2697" s="94" t="n"/>
      <c r="G2697" s="94" t="n"/>
      <c r="H2697" s="94" t="n"/>
      <c r="I2697" s="94" t="n"/>
      <c r="J2697" s="55" t="n"/>
      <c r="K2697" s="95" t="n"/>
      <c r="L2697" s="116">
        <f>IF($A2697="","",DATE(YEAR($A2697),MONTH($A2697)+IF(AND(IFERROR(N(INDEX(Übersicht!$M$15:$M$22,MATCH($B2697,Übersicht!$A$15:$A$22,0))),0)&gt;1,DAY($A2697)&gt;=IFERROR(N(INDEX(Übersicht!$M$15:$M$22,MATCH($B2697,Übersicht!$A$15:$A$22,0))),0)),1,0),1))</f>
        <v/>
      </c>
    </row>
    <row r="2698">
      <c r="A2698" s="92" t="n"/>
      <c r="B2698" s="55" t="n"/>
      <c r="C2698" s="55" t="n"/>
      <c r="D2698" s="55" t="n"/>
      <c r="E2698" s="93" t="n"/>
      <c r="F2698" s="94" t="n"/>
      <c r="G2698" s="94" t="n"/>
      <c r="H2698" s="94" t="n"/>
      <c r="I2698" s="94" t="n"/>
      <c r="J2698" s="55" t="n"/>
      <c r="K2698" s="95" t="n"/>
      <c r="L2698" s="116">
        <f>IF($A2698="","",DATE(YEAR($A2698),MONTH($A2698)+IF(AND(IFERROR(N(INDEX(Übersicht!$M$15:$M$22,MATCH($B2698,Übersicht!$A$15:$A$22,0))),0)&gt;1,DAY($A2698)&gt;=IFERROR(N(INDEX(Übersicht!$M$15:$M$22,MATCH($B2698,Übersicht!$A$15:$A$22,0))),0)),1,0),1))</f>
        <v/>
      </c>
    </row>
    <row r="2699">
      <c r="A2699" s="92" t="n"/>
      <c r="B2699" s="55" t="n"/>
      <c r="C2699" s="55" t="n"/>
      <c r="D2699" s="55" t="n"/>
      <c r="E2699" s="93" t="n"/>
      <c r="F2699" s="94" t="n"/>
      <c r="G2699" s="94" t="n"/>
      <c r="H2699" s="94" t="n"/>
      <c r="I2699" s="94" t="n"/>
      <c r="J2699" s="55" t="n"/>
      <c r="K2699" s="95" t="n"/>
      <c r="L2699" s="116">
        <f>IF($A2699="","",DATE(YEAR($A2699),MONTH($A2699)+IF(AND(IFERROR(N(INDEX(Übersicht!$M$15:$M$22,MATCH($B2699,Übersicht!$A$15:$A$22,0))),0)&gt;1,DAY($A2699)&gt;=IFERROR(N(INDEX(Übersicht!$M$15:$M$22,MATCH($B2699,Übersicht!$A$15:$A$22,0))),0)),1,0),1))</f>
        <v/>
      </c>
    </row>
    <row r="2700">
      <c r="A2700" s="92" t="n"/>
      <c r="B2700" s="55" t="n"/>
      <c r="C2700" s="55" t="n"/>
      <c r="D2700" s="55" t="n"/>
      <c r="E2700" s="93" t="n"/>
      <c r="F2700" s="94" t="n"/>
      <c r="G2700" s="94" t="n"/>
      <c r="H2700" s="94" t="n"/>
      <c r="I2700" s="94" t="n"/>
      <c r="J2700" s="55" t="n"/>
      <c r="K2700" s="95" t="n"/>
      <c r="L2700" s="116">
        <f>IF($A2700="","",DATE(YEAR($A2700),MONTH($A2700)+IF(AND(IFERROR(N(INDEX(Übersicht!$M$15:$M$22,MATCH($B2700,Übersicht!$A$15:$A$22,0))),0)&gt;1,DAY($A2700)&gt;=IFERROR(N(INDEX(Übersicht!$M$15:$M$22,MATCH($B2700,Übersicht!$A$15:$A$22,0))),0)),1,0),1))</f>
        <v/>
      </c>
    </row>
    <row r="2701">
      <c r="A2701" s="92" t="n"/>
      <c r="B2701" s="55" t="n"/>
      <c r="C2701" s="55" t="n"/>
      <c r="D2701" s="55" t="n"/>
      <c r="E2701" s="93" t="n"/>
      <c r="F2701" s="94" t="n"/>
      <c r="G2701" s="94" t="n"/>
      <c r="H2701" s="94" t="n"/>
      <c r="I2701" s="94" t="n"/>
      <c r="J2701" s="55" t="n"/>
      <c r="K2701" s="95" t="n"/>
      <c r="L2701" s="116">
        <f>IF($A2701="","",DATE(YEAR($A2701),MONTH($A2701)+IF(AND(IFERROR(N(INDEX(Übersicht!$M$15:$M$22,MATCH($B2701,Übersicht!$A$15:$A$22,0))),0)&gt;1,DAY($A2701)&gt;=IFERROR(N(INDEX(Übersicht!$M$15:$M$22,MATCH($B2701,Übersicht!$A$15:$A$22,0))),0)),1,0),1))</f>
        <v/>
      </c>
    </row>
    <row r="2702">
      <c r="A2702" s="92" t="n"/>
      <c r="B2702" s="55" t="n"/>
      <c r="C2702" s="55" t="n"/>
      <c r="D2702" s="55" t="n"/>
      <c r="E2702" s="93" t="n"/>
      <c r="F2702" s="94" t="n"/>
      <c r="G2702" s="94" t="n"/>
      <c r="H2702" s="94" t="n"/>
      <c r="I2702" s="94" t="n"/>
      <c r="J2702" s="55" t="n"/>
      <c r="K2702" s="95" t="n"/>
      <c r="L2702" s="116">
        <f>IF($A2702="","",DATE(YEAR($A2702),MONTH($A2702)+IF(AND(IFERROR(N(INDEX(Übersicht!$M$15:$M$22,MATCH($B2702,Übersicht!$A$15:$A$22,0))),0)&gt;1,DAY($A2702)&gt;=IFERROR(N(INDEX(Übersicht!$M$15:$M$22,MATCH($B2702,Übersicht!$A$15:$A$22,0))),0)),1,0),1))</f>
        <v/>
      </c>
    </row>
    <row r="2703">
      <c r="A2703" s="92" t="n"/>
      <c r="B2703" s="55" t="n"/>
      <c r="C2703" s="55" t="n"/>
      <c r="D2703" s="55" t="n"/>
      <c r="E2703" s="93" t="n"/>
      <c r="F2703" s="94" t="n"/>
      <c r="G2703" s="94" t="n"/>
      <c r="H2703" s="94" t="n"/>
      <c r="I2703" s="94" t="n"/>
      <c r="J2703" s="55" t="n"/>
      <c r="K2703" s="95" t="n"/>
      <c r="L2703" s="116">
        <f>IF($A2703="","",DATE(YEAR($A2703),MONTH($A2703)+IF(AND(IFERROR(N(INDEX(Übersicht!$M$15:$M$22,MATCH($B2703,Übersicht!$A$15:$A$22,0))),0)&gt;1,DAY($A2703)&gt;=IFERROR(N(INDEX(Übersicht!$M$15:$M$22,MATCH($B2703,Übersicht!$A$15:$A$22,0))),0)),1,0),1))</f>
        <v/>
      </c>
    </row>
    <row r="2704">
      <c r="A2704" s="92" t="n"/>
      <c r="B2704" s="55" t="n"/>
      <c r="C2704" s="55" t="n"/>
      <c r="D2704" s="55" t="n"/>
      <c r="E2704" s="93" t="n"/>
      <c r="F2704" s="94" t="n"/>
      <c r="G2704" s="94" t="n"/>
      <c r="H2704" s="94" t="n"/>
      <c r="I2704" s="94" t="n"/>
      <c r="J2704" s="55" t="n"/>
      <c r="K2704" s="95" t="n"/>
      <c r="L2704" s="116">
        <f>IF($A2704="","",DATE(YEAR($A2704),MONTH($A2704)+IF(AND(IFERROR(N(INDEX(Übersicht!$M$15:$M$22,MATCH($B2704,Übersicht!$A$15:$A$22,0))),0)&gt;1,DAY($A2704)&gt;=IFERROR(N(INDEX(Übersicht!$M$15:$M$22,MATCH($B2704,Übersicht!$A$15:$A$22,0))),0)),1,0),1))</f>
        <v/>
      </c>
    </row>
    <row r="2705">
      <c r="A2705" s="92" t="n"/>
      <c r="B2705" s="55" t="n"/>
      <c r="C2705" s="55" t="n"/>
      <c r="D2705" s="55" t="n"/>
      <c r="E2705" s="93" t="n"/>
      <c r="F2705" s="94" t="n"/>
      <c r="G2705" s="94" t="n"/>
      <c r="H2705" s="94" t="n"/>
      <c r="I2705" s="94" t="n"/>
      <c r="J2705" s="55" t="n"/>
      <c r="K2705" s="95" t="n"/>
      <c r="L2705" s="116">
        <f>IF($A2705="","",DATE(YEAR($A2705),MONTH($A2705)+IF(AND(IFERROR(N(INDEX(Übersicht!$M$15:$M$22,MATCH($B2705,Übersicht!$A$15:$A$22,0))),0)&gt;1,DAY($A2705)&gt;=IFERROR(N(INDEX(Übersicht!$M$15:$M$22,MATCH($B2705,Übersicht!$A$15:$A$22,0))),0)),1,0),1))</f>
        <v/>
      </c>
    </row>
    <row r="2706">
      <c r="A2706" s="92" t="n"/>
      <c r="B2706" s="55" t="n"/>
      <c r="C2706" s="55" t="n"/>
      <c r="D2706" s="55" t="n"/>
      <c r="E2706" s="93" t="n"/>
      <c r="F2706" s="94" t="n"/>
      <c r="G2706" s="94" t="n"/>
      <c r="H2706" s="94" t="n"/>
      <c r="I2706" s="94" t="n"/>
      <c r="J2706" s="55" t="n"/>
      <c r="K2706" s="95" t="n"/>
      <c r="L2706" s="116">
        <f>IF($A2706="","",DATE(YEAR($A2706),MONTH($A2706)+IF(AND(IFERROR(N(INDEX(Übersicht!$M$15:$M$22,MATCH($B2706,Übersicht!$A$15:$A$22,0))),0)&gt;1,DAY($A2706)&gt;=IFERROR(N(INDEX(Übersicht!$M$15:$M$22,MATCH($B2706,Übersicht!$A$15:$A$22,0))),0)),1,0),1))</f>
        <v/>
      </c>
    </row>
    <row r="2707">
      <c r="A2707" s="92" t="n"/>
      <c r="B2707" s="55" t="n"/>
      <c r="C2707" s="55" t="n"/>
      <c r="D2707" s="55" t="n"/>
      <c r="E2707" s="93" t="n"/>
      <c r="F2707" s="94" t="n"/>
      <c r="G2707" s="94" t="n"/>
      <c r="H2707" s="94" t="n"/>
      <c r="I2707" s="94" t="n"/>
      <c r="J2707" s="55" t="n"/>
      <c r="K2707" s="95" t="n"/>
      <c r="L2707" s="116">
        <f>IF($A2707="","",DATE(YEAR($A2707),MONTH($A2707)+IF(AND(IFERROR(N(INDEX(Übersicht!$M$15:$M$22,MATCH($B2707,Übersicht!$A$15:$A$22,0))),0)&gt;1,DAY($A2707)&gt;=IFERROR(N(INDEX(Übersicht!$M$15:$M$22,MATCH($B2707,Übersicht!$A$15:$A$22,0))),0)),1,0),1))</f>
        <v/>
      </c>
    </row>
    <row r="2708">
      <c r="A2708" s="92" t="n"/>
      <c r="B2708" s="55" t="n"/>
      <c r="C2708" s="55" t="n"/>
      <c r="D2708" s="55" t="n"/>
      <c r="E2708" s="93" t="n"/>
      <c r="F2708" s="94" t="n"/>
      <c r="G2708" s="94" t="n"/>
      <c r="H2708" s="94" t="n"/>
      <c r="I2708" s="94" t="n"/>
      <c r="J2708" s="55" t="n"/>
      <c r="K2708" s="95" t="n"/>
      <c r="L2708" s="116">
        <f>IF($A2708="","",DATE(YEAR($A2708),MONTH($A2708)+IF(AND(IFERROR(N(INDEX(Übersicht!$M$15:$M$22,MATCH($B2708,Übersicht!$A$15:$A$22,0))),0)&gt;1,DAY($A2708)&gt;=IFERROR(N(INDEX(Übersicht!$M$15:$M$22,MATCH($B2708,Übersicht!$A$15:$A$22,0))),0)),1,0),1))</f>
        <v/>
      </c>
    </row>
    <row r="2709">
      <c r="A2709" s="92" t="n"/>
      <c r="B2709" s="55" t="n"/>
      <c r="C2709" s="55" t="n"/>
      <c r="D2709" s="55" t="n"/>
      <c r="E2709" s="93" t="n"/>
      <c r="F2709" s="94" t="n"/>
      <c r="G2709" s="94" t="n"/>
      <c r="H2709" s="94" t="n"/>
      <c r="I2709" s="94" t="n"/>
      <c r="J2709" s="55" t="n"/>
      <c r="K2709" s="95" t="n"/>
      <c r="L2709" s="116">
        <f>IF($A2709="","",DATE(YEAR($A2709),MONTH($A2709)+IF(AND(IFERROR(N(INDEX(Übersicht!$M$15:$M$22,MATCH($B2709,Übersicht!$A$15:$A$22,0))),0)&gt;1,DAY($A2709)&gt;=IFERROR(N(INDEX(Übersicht!$M$15:$M$22,MATCH($B2709,Übersicht!$A$15:$A$22,0))),0)),1,0),1))</f>
        <v/>
      </c>
    </row>
    <row r="2710">
      <c r="A2710" s="92" t="n"/>
      <c r="B2710" s="55" t="n"/>
      <c r="C2710" s="55" t="n"/>
      <c r="D2710" s="55" t="n"/>
      <c r="E2710" s="93" t="n"/>
      <c r="F2710" s="94" t="n"/>
      <c r="G2710" s="94" t="n"/>
      <c r="H2710" s="94" t="n"/>
      <c r="I2710" s="94" t="n"/>
      <c r="J2710" s="55" t="n"/>
      <c r="K2710" s="95" t="n"/>
      <c r="L2710" s="116">
        <f>IF($A2710="","",DATE(YEAR($A2710),MONTH($A2710)+IF(AND(IFERROR(N(INDEX(Übersicht!$M$15:$M$22,MATCH($B2710,Übersicht!$A$15:$A$22,0))),0)&gt;1,DAY($A2710)&gt;=IFERROR(N(INDEX(Übersicht!$M$15:$M$22,MATCH($B2710,Übersicht!$A$15:$A$22,0))),0)),1,0),1))</f>
        <v/>
      </c>
    </row>
    <row r="2711">
      <c r="A2711" s="92" t="n"/>
      <c r="B2711" s="55" t="n"/>
      <c r="C2711" s="55" t="n"/>
      <c r="D2711" s="55" t="n"/>
      <c r="E2711" s="93" t="n"/>
      <c r="F2711" s="94" t="n"/>
      <c r="G2711" s="94" t="n"/>
      <c r="H2711" s="94" t="n"/>
      <c r="I2711" s="94" t="n"/>
      <c r="J2711" s="55" t="n"/>
      <c r="K2711" s="95" t="n"/>
      <c r="L2711" s="116">
        <f>IF($A2711="","",DATE(YEAR($A2711),MONTH($A2711)+IF(AND(IFERROR(N(INDEX(Übersicht!$M$15:$M$22,MATCH($B2711,Übersicht!$A$15:$A$22,0))),0)&gt;1,DAY($A2711)&gt;=IFERROR(N(INDEX(Übersicht!$M$15:$M$22,MATCH($B2711,Übersicht!$A$15:$A$22,0))),0)),1,0),1))</f>
        <v/>
      </c>
    </row>
    <row r="2712">
      <c r="A2712" s="92" t="n"/>
      <c r="B2712" s="55" t="n"/>
      <c r="C2712" s="55" t="n"/>
      <c r="D2712" s="55" t="n"/>
      <c r="E2712" s="93" t="n"/>
      <c r="F2712" s="94" t="n"/>
      <c r="G2712" s="94" t="n"/>
      <c r="H2712" s="94" t="n"/>
      <c r="I2712" s="94" t="n"/>
      <c r="J2712" s="55" t="n"/>
      <c r="K2712" s="95" t="n"/>
      <c r="L2712" s="116">
        <f>IF($A2712="","",DATE(YEAR($A2712),MONTH($A2712)+IF(AND(IFERROR(N(INDEX(Übersicht!$M$15:$M$22,MATCH($B2712,Übersicht!$A$15:$A$22,0))),0)&gt;1,DAY($A2712)&gt;=IFERROR(N(INDEX(Übersicht!$M$15:$M$22,MATCH($B2712,Übersicht!$A$15:$A$22,0))),0)),1,0),1))</f>
        <v/>
      </c>
    </row>
    <row r="2713">
      <c r="A2713" s="92" t="n"/>
      <c r="B2713" s="55" t="n"/>
      <c r="C2713" s="55" t="n"/>
      <c r="D2713" s="55" t="n"/>
      <c r="E2713" s="93" t="n"/>
      <c r="F2713" s="94" t="n"/>
      <c r="G2713" s="94" t="n"/>
      <c r="H2713" s="94" t="n"/>
      <c r="I2713" s="94" t="n"/>
      <c r="J2713" s="55" t="n"/>
      <c r="K2713" s="95" t="n"/>
      <c r="L2713" s="116">
        <f>IF($A2713="","",DATE(YEAR($A2713),MONTH($A2713)+IF(AND(IFERROR(N(INDEX(Übersicht!$M$15:$M$22,MATCH($B2713,Übersicht!$A$15:$A$22,0))),0)&gt;1,DAY($A2713)&gt;=IFERROR(N(INDEX(Übersicht!$M$15:$M$22,MATCH($B2713,Übersicht!$A$15:$A$22,0))),0)),1,0),1))</f>
        <v/>
      </c>
    </row>
    <row r="2714">
      <c r="A2714" s="92" t="n"/>
      <c r="B2714" s="55" t="n"/>
      <c r="C2714" s="55" t="n"/>
      <c r="D2714" s="55" t="n"/>
      <c r="E2714" s="93" t="n"/>
      <c r="F2714" s="94" t="n"/>
      <c r="G2714" s="94" t="n"/>
      <c r="H2714" s="94" t="n"/>
      <c r="I2714" s="94" t="n"/>
      <c r="J2714" s="55" t="n"/>
      <c r="K2714" s="95" t="n"/>
      <c r="L2714" s="116">
        <f>IF($A2714="","",DATE(YEAR($A2714),MONTH($A2714)+IF(AND(IFERROR(N(INDEX(Übersicht!$M$15:$M$22,MATCH($B2714,Übersicht!$A$15:$A$22,0))),0)&gt;1,DAY($A2714)&gt;=IFERROR(N(INDEX(Übersicht!$M$15:$M$22,MATCH($B2714,Übersicht!$A$15:$A$22,0))),0)),1,0),1))</f>
        <v/>
      </c>
    </row>
    <row r="2715">
      <c r="A2715" s="92" t="n"/>
      <c r="B2715" s="55" t="n"/>
      <c r="C2715" s="55" t="n"/>
      <c r="D2715" s="55" t="n"/>
      <c r="E2715" s="93" t="n"/>
      <c r="F2715" s="94" t="n"/>
      <c r="G2715" s="94" t="n"/>
      <c r="H2715" s="94" t="n"/>
      <c r="I2715" s="94" t="n"/>
      <c r="J2715" s="55" t="n"/>
      <c r="K2715" s="95" t="n"/>
      <c r="L2715" s="116">
        <f>IF($A2715="","",DATE(YEAR($A2715),MONTH($A2715)+IF(AND(IFERROR(N(INDEX(Übersicht!$M$15:$M$22,MATCH($B2715,Übersicht!$A$15:$A$22,0))),0)&gt;1,DAY($A2715)&gt;=IFERROR(N(INDEX(Übersicht!$M$15:$M$22,MATCH($B2715,Übersicht!$A$15:$A$22,0))),0)),1,0),1))</f>
        <v/>
      </c>
    </row>
    <row r="2716">
      <c r="A2716" s="92" t="n"/>
      <c r="B2716" s="55" t="n"/>
      <c r="C2716" s="55" t="n"/>
      <c r="D2716" s="55" t="n"/>
      <c r="E2716" s="93" t="n"/>
      <c r="F2716" s="94" t="n"/>
      <c r="G2716" s="94" t="n"/>
      <c r="H2716" s="94" t="n"/>
      <c r="I2716" s="94" t="n"/>
      <c r="J2716" s="55" t="n"/>
      <c r="K2716" s="95" t="n"/>
      <c r="L2716" s="116">
        <f>IF($A2716="","",DATE(YEAR($A2716),MONTH($A2716)+IF(AND(IFERROR(N(INDEX(Übersicht!$M$15:$M$22,MATCH($B2716,Übersicht!$A$15:$A$22,0))),0)&gt;1,DAY($A2716)&gt;=IFERROR(N(INDEX(Übersicht!$M$15:$M$22,MATCH($B2716,Übersicht!$A$15:$A$22,0))),0)),1,0),1))</f>
        <v/>
      </c>
    </row>
    <row r="2717">
      <c r="A2717" s="92" t="n"/>
      <c r="B2717" s="55" t="n"/>
      <c r="C2717" s="55" t="n"/>
      <c r="D2717" s="55" t="n"/>
      <c r="E2717" s="93" t="n"/>
      <c r="F2717" s="94" t="n"/>
      <c r="G2717" s="94" t="n"/>
      <c r="H2717" s="94" t="n"/>
      <c r="I2717" s="94" t="n"/>
      <c r="J2717" s="55" t="n"/>
      <c r="K2717" s="95" t="n"/>
      <c r="L2717" s="116">
        <f>IF($A2717="","",DATE(YEAR($A2717),MONTH($A2717)+IF(AND(IFERROR(N(INDEX(Übersicht!$M$15:$M$22,MATCH($B2717,Übersicht!$A$15:$A$22,0))),0)&gt;1,DAY($A2717)&gt;=IFERROR(N(INDEX(Übersicht!$M$15:$M$22,MATCH($B2717,Übersicht!$A$15:$A$22,0))),0)),1,0),1))</f>
        <v/>
      </c>
    </row>
    <row r="2718">
      <c r="A2718" s="92" t="n"/>
      <c r="B2718" s="55" t="n"/>
      <c r="C2718" s="55" t="n"/>
      <c r="D2718" s="55" t="n"/>
      <c r="E2718" s="93" t="n"/>
      <c r="F2718" s="94" t="n"/>
      <c r="G2718" s="94" t="n"/>
      <c r="H2718" s="94" t="n"/>
      <c r="I2718" s="94" t="n"/>
      <c r="J2718" s="55" t="n"/>
      <c r="K2718" s="95" t="n"/>
      <c r="L2718" s="116">
        <f>IF($A2718="","",DATE(YEAR($A2718),MONTH($A2718)+IF(AND(IFERROR(N(INDEX(Übersicht!$M$15:$M$22,MATCH($B2718,Übersicht!$A$15:$A$22,0))),0)&gt;1,DAY($A2718)&gt;=IFERROR(N(INDEX(Übersicht!$M$15:$M$22,MATCH($B2718,Übersicht!$A$15:$A$22,0))),0)),1,0),1))</f>
        <v/>
      </c>
    </row>
    <row r="2719">
      <c r="A2719" s="92" t="n"/>
      <c r="B2719" s="55" t="n"/>
      <c r="C2719" s="55" t="n"/>
      <c r="D2719" s="55" t="n"/>
      <c r="E2719" s="93" t="n"/>
      <c r="F2719" s="94" t="n"/>
      <c r="G2719" s="94" t="n"/>
      <c r="H2719" s="94" t="n"/>
      <c r="I2719" s="94" t="n"/>
      <c r="J2719" s="55" t="n"/>
      <c r="K2719" s="95" t="n"/>
      <c r="L2719" s="116">
        <f>IF($A2719="","",DATE(YEAR($A2719),MONTH($A2719)+IF(AND(IFERROR(N(INDEX(Übersicht!$M$15:$M$22,MATCH($B2719,Übersicht!$A$15:$A$22,0))),0)&gt;1,DAY($A2719)&gt;=IFERROR(N(INDEX(Übersicht!$M$15:$M$22,MATCH($B2719,Übersicht!$A$15:$A$22,0))),0)),1,0),1))</f>
        <v/>
      </c>
    </row>
    <row r="2720">
      <c r="A2720" s="92" t="n"/>
      <c r="B2720" s="55" t="n"/>
      <c r="C2720" s="55" t="n"/>
      <c r="D2720" s="55" t="n"/>
      <c r="E2720" s="93" t="n"/>
      <c r="F2720" s="94" t="n"/>
      <c r="G2720" s="94" t="n"/>
      <c r="H2720" s="94" t="n"/>
      <c r="I2720" s="94" t="n"/>
      <c r="J2720" s="55" t="n"/>
      <c r="K2720" s="95" t="n"/>
      <c r="L2720" s="116">
        <f>IF($A2720="","",DATE(YEAR($A2720),MONTH($A2720)+IF(AND(IFERROR(N(INDEX(Übersicht!$M$15:$M$22,MATCH($B2720,Übersicht!$A$15:$A$22,0))),0)&gt;1,DAY($A2720)&gt;=IFERROR(N(INDEX(Übersicht!$M$15:$M$22,MATCH($B2720,Übersicht!$A$15:$A$22,0))),0)),1,0),1))</f>
        <v/>
      </c>
    </row>
    <row r="2721">
      <c r="A2721" s="92" t="n"/>
      <c r="B2721" s="55" t="n"/>
      <c r="C2721" s="55" t="n"/>
      <c r="D2721" s="55" t="n"/>
      <c r="E2721" s="93" t="n"/>
      <c r="F2721" s="94" t="n"/>
      <c r="G2721" s="94" t="n"/>
      <c r="H2721" s="94" t="n"/>
      <c r="I2721" s="94" t="n"/>
      <c r="J2721" s="55" t="n"/>
      <c r="K2721" s="95" t="n"/>
      <c r="L2721" s="116">
        <f>IF($A2721="","",DATE(YEAR($A2721),MONTH($A2721)+IF(AND(IFERROR(N(INDEX(Übersicht!$M$15:$M$22,MATCH($B2721,Übersicht!$A$15:$A$22,0))),0)&gt;1,DAY($A2721)&gt;=IFERROR(N(INDEX(Übersicht!$M$15:$M$22,MATCH($B2721,Übersicht!$A$15:$A$22,0))),0)),1,0),1))</f>
        <v/>
      </c>
    </row>
    <row r="2722">
      <c r="A2722" s="92" t="n"/>
      <c r="B2722" s="55" t="n"/>
      <c r="C2722" s="55" t="n"/>
      <c r="D2722" s="55" t="n"/>
      <c r="E2722" s="93" t="n"/>
      <c r="F2722" s="94" t="n"/>
      <c r="G2722" s="94" t="n"/>
      <c r="H2722" s="94" t="n"/>
      <c r="I2722" s="94" t="n"/>
      <c r="J2722" s="55" t="n"/>
      <c r="K2722" s="95" t="n"/>
      <c r="L2722" s="116">
        <f>IF($A2722="","",DATE(YEAR($A2722),MONTH($A2722)+IF(AND(IFERROR(N(INDEX(Übersicht!$M$15:$M$22,MATCH($B2722,Übersicht!$A$15:$A$22,0))),0)&gt;1,DAY($A2722)&gt;=IFERROR(N(INDEX(Übersicht!$M$15:$M$22,MATCH($B2722,Übersicht!$A$15:$A$22,0))),0)),1,0),1))</f>
        <v/>
      </c>
    </row>
    <row r="2723">
      <c r="A2723" s="92" t="n"/>
      <c r="B2723" s="55" t="n"/>
      <c r="C2723" s="55" t="n"/>
      <c r="D2723" s="55" t="n"/>
      <c r="E2723" s="93" t="n"/>
      <c r="F2723" s="94" t="n"/>
      <c r="G2723" s="94" t="n"/>
      <c r="H2723" s="94" t="n"/>
      <c r="I2723" s="94" t="n"/>
      <c r="J2723" s="55" t="n"/>
      <c r="K2723" s="95" t="n"/>
      <c r="L2723" s="116">
        <f>IF($A2723="","",DATE(YEAR($A2723),MONTH($A2723)+IF(AND(IFERROR(N(INDEX(Übersicht!$M$15:$M$22,MATCH($B2723,Übersicht!$A$15:$A$22,0))),0)&gt;1,DAY($A2723)&gt;=IFERROR(N(INDEX(Übersicht!$M$15:$M$22,MATCH($B2723,Übersicht!$A$15:$A$22,0))),0)),1,0),1))</f>
        <v/>
      </c>
    </row>
    <row r="2724">
      <c r="A2724" s="92" t="n"/>
      <c r="B2724" s="55" t="n"/>
      <c r="C2724" s="55" t="n"/>
      <c r="D2724" s="55" t="n"/>
      <c r="E2724" s="93" t="n"/>
      <c r="F2724" s="94" t="n"/>
      <c r="G2724" s="94" t="n"/>
      <c r="H2724" s="94" t="n"/>
      <c r="I2724" s="94" t="n"/>
      <c r="J2724" s="55" t="n"/>
      <c r="K2724" s="95" t="n"/>
      <c r="L2724" s="116">
        <f>IF($A2724="","",DATE(YEAR($A2724),MONTH($A2724)+IF(AND(IFERROR(N(INDEX(Übersicht!$M$15:$M$22,MATCH($B2724,Übersicht!$A$15:$A$22,0))),0)&gt;1,DAY($A2724)&gt;=IFERROR(N(INDEX(Übersicht!$M$15:$M$22,MATCH($B2724,Übersicht!$A$15:$A$22,0))),0)),1,0),1))</f>
        <v/>
      </c>
    </row>
    <row r="2725">
      <c r="A2725" s="92" t="n"/>
      <c r="B2725" s="55" t="n"/>
      <c r="C2725" s="55" t="n"/>
      <c r="D2725" s="55" t="n"/>
      <c r="E2725" s="93" t="n"/>
      <c r="F2725" s="94" t="n"/>
      <c r="G2725" s="94" t="n"/>
      <c r="H2725" s="94" t="n"/>
      <c r="I2725" s="94" t="n"/>
      <c r="J2725" s="55" t="n"/>
      <c r="K2725" s="95" t="n"/>
      <c r="L2725" s="116">
        <f>IF($A2725="","",DATE(YEAR($A2725),MONTH($A2725)+IF(AND(IFERROR(N(INDEX(Übersicht!$M$15:$M$22,MATCH($B2725,Übersicht!$A$15:$A$22,0))),0)&gt;1,DAY($A2725)&gt;=IFERROR(N(INDEX(Übersicht!$M$15:$M$22,MATCH($B2725,Übersicht!$A$15:$A$22,0))),0)),1,0),1))</f>
        <v/>
      </c>
    </row>
    <row r="2726">
      <c r="A2726" s="92" t="n"/>
      <c r="B2726" s="55" t="n"/>
      <c r="C2726" s="55" t="n"/>
      <c r="D2726" s="55" t="n"/>
      <c r="E2726" s="93" t="n"/>
      <c r="F2726" s="94" t="n"/>
      <c r="G2726" s="94" t="n"/>
      <c r="H2726" s="94" t="n"/>
      <c r="I2726" s="94" t="n"/>
      <c r="J2726" s="55" t="n"/>
      <c r="K2726" s="95" t="n"/>
      <c r="L2726" s="116">
        <f>IF($A2726="","",DATE(YEAR($A2726),MONTH($A2726)+IF(AND(IFERROR(N(INDEX(Übersicht!$M$15:$M$22,MATCH($B2726,Übersicht!$A$15:$A$22,0))),0)&gt;1,DAY($A2726)&gt;=IFERROR(N(INDEX(Übersicht!$M$15:$M$22,MATCH($B2726,Übersicht!$A$15:$A$22,0))),0)),1,0),1))</f>
        <v/>
      </c>
    </row>
    <row r="2727">
      <c r="A2727" s="92" t="n"/>
      <c r="B2727" s="55" t="n"/>
      <c r="C2727" s="55" t="n"/>
      <c r="D2727" s="55" t="n"/>
      <c r="E2727" s="93" t="n"/>
      <c r="F2727" s="94" t="n"/>
      <c r="G2727" s="94" t="n"/>
      <c r="H2727" s="94" t="n"/>
      <c r="I2727" s="94" t="n"/>
      <c r="J2727" s="55" t="n"/>
      <c r="K2727" s="95" t="n"/>
      <c r="L2727" s="116">
        <f>IF($A2727="","",DATE(YEAR($A2727),MONTH($A2727)+IF(AND(IFERROR(N(INDEX(Übersicht!$M$15:$M$22,MATCH($B2727,Übersicht!$A$15:$A$22,0))),0)&gt;1,DAY($A2727)&gt;=IFERROR(N(INDEX(Übersicht!$M$15:$M$22,MATCH($B2727,Übersicht!$A$15:$A$22,0))),0)),1,0),1))</f>
        <v/>
      </c>
    </row>
    <row r="2728">
      <c r="A2728" s="92" t="n"/>
      <c r="B2728" s="55" t="n"/>
      <c r="C2728" s="55" t="n"/>
      <c r="D2728" s="55" t="n"/>
      <c r="E2728" s="93" t="n"/>
      <c r="F2728" s="94" t="n"/>
      <c r="G2728" s="94" t="n"/>
      <c r="H2728" s="94" t="n"/>
      <c r="I2728" s="94" t="n"/>
      <c r="J2728" s="55" t="n"/>
      <c r="K2728" s="95" t="n"/>
      <c r="L2728" s="116">
        <f>IF($A2728="","",DATE(YEAR($A2728),MONTH($A2728)+IF(AND(IFERROR(N(INDEX(Übersicht!$M$15:$M$22,MATCH($B2728,Übersicht!$A$15:$A$22,0))),0)&gt;1,DAY($A2728)&gt;=IFERROR(N(INDEX(Übersicht!$M$15:$M$22,MATCH($B2728,Übersicht!$A$15:$A$22,0))),0)),1,0),1))</f>
        <v/>
      </c>
    </row>
    <row r="2729">
      <c r="A2729" s="92" t="n"/>
      <c r="B2729" s="55" t="n"/>
      <c r="C2729" s="55" t="n"/>
      <c r="D2729" s="55" t="n"/>
      <c r="E2729" s="93" t="n"/>
      <c r="F2729" s="94" t="n"/>
      <c r="G2729" s="94" t="n"/>
      <c r="H2729" s="94" t="n"/>
      <c r="I2729" s="94" t="n"/>
      <c r="J2729" s="55" t="n"/>
      <c r="K2729" s="95" t="n"/>
      <c r="L2729" s="116">
        <f>IF($A2729="","",DATE(YEAR($A2729),MONTH($A2729)+IF(AND(IFERROR(N(INDEX(Übersicht!$M$15:$M$22,MATCH($B2729,Übersicht!$A$15:$A$22,0))),0)&gt;1,DAY($A2729)&gt;=IFERROR(N(INDEX(Übersicht!$M$15:$M$22,MATCH($B2729,Übersicht!$A$15:$A$22,0))),0)),1,0),1))</f>
        <v/>
      </c>
    </row>
    <row r="2730">
      <c r="A2730" s="92" t="n"/>
      <c r="B2730" s="55" t="n"/>
      <c r="C2730" s="55" t="n"/>
      <c r="D2730" s="55" t="n"/>
      <c r="E2730" s="93" t="n"/>
      <c r="F2730" s="94" t="n"/>
      <c r="G2730" s="94" t="n"/>
      <c r="H2730" s="94" t="n"/>
      <c r="I2730" s="94" t="n"/>
      <c r="J2730" s="55" t="n"/>
      <c r="K2730" s="95" t="n"/>
      <c r="L2730" s="116">
        <f>IF($A2730="","",DATE(YEAR($A2730),MONTH($A2730)+IF(AND(IFERROR(N(INDEX(Übersicht!$M$15:$M$22,MATCH($B2730,Übersicht!$A$15:$A$22,0))),0)&gt;1,DAY($A2730)&gt;=IFERROR(N(INDEX(Übersicht!$M$15:$M$22,MATCH($B2730,Übersicht!$A$15:$A$22,0))),0)),1,0),1))</f>
        <v/>
      </c>
    </row>
    <row r="2731">
      <c r="A2731" s="92" t="n"/>
      <c r="B2731" s="55" t="n"/>
      <c r="C2731" s="55" t="n"/>
      <c r="D2731" s="55" t="n"/>
      <c r="E2731" s="93" t="n"/>
      <c r="F2731" s="94" t="n"/>
      <c r="G2731" s="94" t="n"/>
      <c r="H2731" s="94" t="n"/>
      <c r="I2731" s="94" t="n"/>
      <c r="J2731" s="55" t="n"/>
      <c r="K2731" s="95" t="n"/>
      <c r="L2731" s="116">
        <f>IF($A2731="","",DATE(YEAR($A2731),MONTH($A2731)+IF(AND(IFERROR(N(INDEX(Übersicht!$M$15:$M$22,MATCH($B2731,Übersicht!$A$15:$A$22,0))),0)&gt;1,DAY($A2731)&gt;=IFERROR(N(INDEX(Übersicht!$M$15:$M$22,MATCH($B2731,Übersicht!$A$15:$A$22,0))),0)),1,0),1))</f>
        <v/>
      </c>
    </row>
    <row r="2732">
      <c r="A2732" s="92" t="n"/>
      <c r="B2732" s="55" t="n"/>
      <c r="C2732" s="55" t="n"/>
      <c r="D2732" s="55" t="n"/>
      <c r="E2732" s="93" t="n"/>
      <c r="F2732" s="94" t="n"/>
      <c r="G2732" s="94" t="n"/>
      <c r="H2732" s="94" t="n"/>
      <c r="I2732" s="94" t="n"/>
      <c r="J2732" s="55" t="n"/>
      <c r="K2732" s="95" t="n"/>
      <c r="L2732" s="116">
        <f>IF($A2732="","",DATE(YEAR($A2732),MONTH($A2732)+IF(AND(IFERROR(N(INDEX(Übersicht!$M$15:$M$22,MATCH($B2732,Übersicht!$A$15:$A$22,0))),0)&gt;1,DAY($A2732)&gt;=IFERROR(N(INDEX(Übersicht!$M$15:$M$22,MATCH($B2732,Übersicht!$A$15:$A$22,0))),0)),1,0),1))</f>
        <v/>
      </c>
    </row>
    <row r="2733">
      <c r="A2733" s="92" t="n"/>
      <c r="B2733" s="55" t="n"/>
      <c r="C2733" s="55" t="n"/>
      <c r="D2733" s="55" t="n"/>
      <c r="E2733" s="93" t="n"/>
      <c r="F2733" s="94" t="n"/>
      <c r="G2733" s="94" t="n"/>
      <c r="H2733" s="94" t="n"/>
      <c r="I2733" s="94" t="n"/>
      <c r="J2733" s="55" t="n"/>
      <c r="K2733" s="95" t="n"/>
      <c r="L2733" s="116">
        <f>IF($A2733="","",DATE(YEAR($A2733),MONTH($A2733)+IF(AND(IFERROR(N(INDEX(Übersicht!$M$15:$M$22,MATCH($B2733,Übersicht!$A$15:$A$22,0))),0)&gt;1,DAY($A2733)&gt;=IFERROR(N(INDEX(Übersicht!$M$15:$M$22,MATCH($B2733,Übersicht!$A$15:$A$22,0))),0)),1,0),1))</f>
        <v/>
      </c>
    </row>
    <row r="2734">
      <c r="A2734" s="92" t="n"/>
      <c r="B2734" s="55" t="n"/>
      <c r="C2734" s="55" t="n"/>
      <c r="D2734" s="55" t="n"/>
      <c r="E2734" s="93" t="n"/>
      <c r="F2734" s="94" t="n"/>
      <c r="G2734" s="94" t="n"/>
      <c r="H2734" s="94" t="n"/>
      <c r="I2734" s="94" t="n"/>
      <c r="J2734" s="55" t="n"/>
      <c r="K2734" s="95" t="n"/>
      <c r="L2734" s="116">
        <f>IF($A2734="","",DATE(YEAR($A2734),MONTH($A2734)+IF(AND(IFERROR(N(INDEX(Übersicht!$M$15:$M$22,MATCH($B2734,Übersicht!$A$15:$A$22,0))),0)&gt;1,DAY($A2734)&gt;=IFERROR(N(INDEX(Übersicht!$M$15:$M$22,MATCH($B2734,Übersicht!$A$15:$A$22,0))),0)),1,0),1))</f>
        <v/>
      </c>
    </row>
    <row r="2735">
      <c r="A2735" s="92" t="n"/>
      <c r="B2735" s="55" t="n"/>
      <c r="C2735" s="55" t="n"/>
      <c r="D2735" s="55" t="n"/>
      <c r="E2735" s="93" t="n"/>
      <c r="F2735" s="94" t="n"/>
      <c r="G2735" s="94" t="n"/>
      <c r="H2735" s="94" t="n"/>
      <c r="I2735" s="94" t="n"/>
      <c r="J2735" s="55" t="n"/>
      <c r="K2735" s="95" t="n"/>
      <c r="L2735" s="116">
        <f>IF($A2735="","",DATE(YEAR($A2735),MONTH($A2735)+IF(AND(IFERROR(N(INDEX(Übersicht!$M$15:$M$22,MATCH($B2735,Übersicht!$A$15:$A$22,0))),0)&gt;1,DAY($A2735)&gt;=IFERROR(N(INDEX(Übersicht!$M$15:$M$22,MATCH($B2735,Übersicht!$A$15:$A$22,0))),0)),1,0),1))</f>
        <v/>
      </c>
    </row>
    <row r="2736">
      <c r="A2736" s="92" t="n"/>
      <c r="B2736" s="55" t="n"/>
      <c r="C2736" s="55" t="n"/>
      <c r="D2736" s="55" t="n"/>
      <c r="E2736" s="93" t="n"/>
      <c r="F2736" s="94" t="n"/>
      <c r="G2736" s="94" t="n"/>
      <c r="H2736" s="94" t="n"/>
      <c r="I2736" s="94" t="n"/>
      <c r="J2736" s="55" t="n"/>
      <c r="K2736" s="95" t="n"/>
      <c r="L2736" s="116">
        <f>IF($A2736="","",DATE(YEAR($A2736),MONTH($A2736)+IF(AND(IFERROR(N(INDEX(Übersicht!$M$15:$M$22,MATCH($B2736,Übersicht!$A$15:$A$22,0))),0)&gt;1,DAY($A2736)&gt;=IFERROR(N(INDEX(Übersicht!$M$15:$M$22,MATCH($B2736,Übersicht!$A$15:$A$22,0))),0)),1,0),1))</f>
        <v/>
      </c>
    </row>
    <row r="2737">
      <c r="A2737" s="92" t="n"/>
      <c r="B2737" s="55" t="n"/>
      <c r="C2737" s="55" t="n"/>
      <c r="D2737" s="55" t="n"/>
      <c r="E2737" s="93" t="n"/>
      <c r="F2737" s="94" t="n"/>
      <c r="G2737" s="94" t="n"/>
      <c r="H2737" s="94" t="n"/>
      <c r="I2737" s="94" t="n"/>
      <c r="J2737" s="55" t="n"/>
      <c r="K2737" s="95" t="n"/>
      <c r="L2737" s="116">
        <f>IF($A2737="","",DATE(YEAR($A2737),MONTH($A2737)+IF(AND(IFERROR(N(INDEX(Übersicht!$M$15:$M$22,MATCH($B2737,Übersicht!$A$15:$A$22,0))),0)&gt;1,DAY($A2737)&gt;=IFERROR(N(INDEX(Übersicht!$M$15:$M$22,MATCH($B2737,Übersicht!$A$15:$A$22,0))),0)),1,0),1))</f>
        <v/>
      </c>
    </row>
    <row r="2738">
      <c r="A2738" s="92" t="n"/>
      <c r="B2738" s="55" t="n"/>
      <c r="C2738" s="55" t="n"/>
      <c r="D2738" s="55" t="n"/>
      <c r="E2738" s="93" t="n"/>
      <c r="F2738" s="94" t="n"/>
      <c r="G2738" s="94" t="n"/>
      <c r="H2738" s="94" t="n"/>
      <c r="I2738" s="94" t="n"/>
      <c r="J2738" s="55" t="n"/>
      <c r="K2738" s="95" t="n"/>
      <c r="L2738" s="116">
        <f>IF($A2738="","",DATE(YEAR($A2738),MONTH($A2738)+IF(AND(IFERROR(N(INDEX(Übersicht!$M$15:$M$22,MATCH($B2738,Übersicht!$A$15:$A$22,0))),0)&gt;1,DAY($A2738)&gt;=IFERROR(N(INDEX(Übersicht!$M$15:$M$22,MATCH($B2738,Übersicht!$A$15:$A$22,0))),0)),1,0),1))</f>
        <v/>
      </c>
    </row>
    <row r="2739">
      <c r="A2739" s="92" t="n"/>
      <c r="B2739" s="55" t="n"/>
      <c r="C2739" s="55" t="n"/>
      <c r="D2739" s="55" t="n"/>
      <c r="E2739" s="93" t="n"/>
      <c r="F2739" s="94" t="n"/>
      <c r="G2739" s="94" t="n"/>
      <c r="H2739" s="94" t="n"/>
      <c r="I2739" s="94" t="n"/>
      <c r="J2739" s="55" t="n"/>
      <c r="K2739" s="95" t="n"/>
      <c r="L2739" s="116">
        <f>IF($A2739="","",DATE(YEAR($A2739),MONTH($A2739)+IF(AND(IFERROR(N(INDEX(Übersicht!$M$15:$M$22,MATCH($B2739,Übersicht!$A$15:$A$22,0))),0)&gt;1,DAY($A2739)&gt;=IFERROR(N(INDEX(Übersicht!$M$15:$M$22,MATCH($B2739,Übersicht!$A$15:$A$22,0))),0)),1,0),1))</f>
        <v/>
      </c>
    </row>
    <row r="2740">
      <c r="A2740" s="92" t="n"/>
      <c r="B2740" s="55" t="n"/>
      <c r="C2740" s="55" t="n"/>
      <c r="D2740" s="55" t="n"/>
      <c r="E2740" s="93" t="n"/>
      <c r="F2740" s="94" t="n"/>
      <c r="G2740" s="94" t="n"/>
      <c r="H2740" s="94" t="n"/>
      <c r="I2740" s="94" t="n"/>
      <c r="J2740" s="55" t="n"/>
      <c r="K2740" s="95" t="n"/>
      <c r="L2740" s="116">
        <f>IF($A2740="","",DATE(YEAR($A2740),MONTH($A2740)+IF(AND(IFERROR(N(INDEX(Übersicht!$M$15:$M$22,MATCH($B2740,Übersicht!$A$15:$A$22,0))),0)&gt;1,DAY($A2740)&gt;=IFERROR(N(INDEX(Übersicht!$M$15:$M$22,MATCH($B2740,Übersicht!$A$15:$A$22,0))),0)),1,0),1))</f>
        <v/>
      </c>
    </row>
    <row r="2741">
      <c r="A2741" s="92" t="n"/>
      <c r="B2741" s="55" t="n"/>
      <c r="C2741" s="55" t="n"/>
      <c r="D2741" s="55" t="n"/>
      <c r="E2741" s="93" t="n"/>
      <c r="F2741" s="94" t="n"/>
      <c r="G2741" s="94" t="n"/>
      <c r="H2741" s="94" t="n"/>
      <c r="I2741" s="94" t="n"/>
      <c r="J2741" s="55" t="n"/>
      <c r="K2741" s="95" t="n"/>
      <c r="L2741" s="116">
        <f>IF($A2741="","",DATE(YEAR($A2741),MONTH($A2741)+IF(AND(IFERROR(N(INDEX(Übersicht!$M$15:$M$22,MATCH($B2741,Übersicht!$A$15:$A$22,0))),0)&gt;1,DAY($A2741)&gt;=IFERROR(N(INDEX(Übersicht!$M$15:$M$22,MATCH($B2741,Übersicht!$A$15:$A$22,0))),0)),1,0),1))</f>
        <v/>
      </c>
    </row>
    <row r="2742">
      <c r="A2742" s="92" t="n"/>
      <c r="B2742" s="55" t="n"/>
      <c r="C2742" s="55" t="n"/>
      <c r="D2742" s="55" t="n"/>
      <c r="E2742" s="93" t="n"/>
      <c r="F2742" s="94" t="n"/>
      <c r="G2742" s="94" t="n"/>
      <c r="H2742" s="94" t="n"/>
      <c r="I2742" s="94" t="n"/>
      <c r="J2742" s="55" t="n"/>
      <c r="K2742" s="95" t="n"/>
      <c r="L2742" s="116">
        <f>IF($A2742="","",DATE(YEAR($A2742),MONTH($A2742)+IF(AND(IFERROR(N(INDEX(Übersicht!$M$15:$M$22,MATCH($B2742,Übersicht!$A$15:$A$22,0))),0)&gt;1,DAY($A2742)&gt;=IFERROR(N(INDEX(Übersicht!$M$15:$M$22,MATCH($B2742,Übersicht!$A$15:$A$22,0))),0)),1,0),1))</f>
        <v/>
      </c>
    </row>
    <row r="2743">
      <c r="A2743" s="92" t="n"/>
      <c r="B2743" s="55" t="n"/>
      <c r="C2743" s="55" t="n"/>
      <c r="D2743" s="55" t="n"/>
      <c r="E2743" s="93" t="n"/>
      <c r="F2743" s="94" t="n"/>
      <c r="G2743" s="94" t="n"/>
      <c r="H2743" s="94" t="n"/>
      <c r="I2743" s="94" t="n"/>
      <c r="J2743" s="55" t="n"/>
      <c r="K2743" s="95" t="n"/>
      <c r="L2743" s="116">
        <f>IF($A2743="","",DATE(YEAR($A2743),MONTH($A2743)+IF(AND(IFERROR(N(INDEX(Übersicht!$M$15:$M$22,MATCH($B2743,Übersicht!$A$15:$A$22,0))),0)&gt;1,DAY($A2743)&gt;=IFERROR(N(INDEX(Übersicht!$M$15:$M$22,MATCH($B2743,Übersicht!$A$15:$A$22,0))),0)),1,0),1))</f>
        <v/>
      </c>
    </row>
    <row r="2744">
      <c r="A2744" s="92" t="n"/>
      <c r="B2744" s="55" t="n"/>
      <c r="C2744" s="55" t="n"/>
      <c r="D2744" s="55" t="n"/>
      <c r="E2744" s="93" t="n"/>
      <c r="F2744" s="94" t="n"/>
      <c r="G2744" s="94" t="n"/>
      <c r="H2744" s="94" t="n"/>
      <c r="I2744" s="94" t="n"/>
      <c r="J2744" s="55" t="n"/>
      <c r="K2744" s="95" t="n"/>
      <c r="L2744" s="116">
        <f>IF($A2744="","",DATE(YEAR($A2744),MONTH($A2744)+IF(AND(IFERROR(N(INDEX(Übersicht!$M$15:$M$22,MATCH($B2744,Übersicht!$A$15:$A$22,0))),0)&gt;1,DAY($A2744)&gt;=IFERROR(N(INDEX(Übersicht!$M$15:$M$22,MATCH($B2744,Übersicht!$A$15:$A$22,0))),0)),1,0),1))</f>
        <v/>
      </c>
    </row>
    <row r="2745">
      <c r="A2745" s="92" t="n"/>
      <c r="B2745" s="55" t="n"/>
      <c r="C2745" s="55" t="n"/>
      <c r="D2745" s="55" t="n"/>
      <c r="E2745" s="93" t="n"/>
      <c r="F2745" s="94" t="n"/>
      <c r="G2745" s="94" t="n"/>
      <c r="H2745" s="94" t="n"/>
      <c r="I2745" s="94" t="n"/>
      <c r="J2745" s="55" t="n"/>
      <c r="K2745" s="95" t="n"/>
      <c r="L2745" s="116">
        <f>IF($A2745="","",DATE(YEAR($A2745),MONTH($A2745)+IF(AND(IFERROR(N(INDEX(Übersicht!$M$15:$M$22,MATCH($B2745,Übersicht!$A$15:$A$22,0))),0)&gt;1,DAY($A2745)&gt;=IFERROR(N(INDEX(Übersicht!$M$15:$M$22,MATCH($B2745,Übersicht!$A$15:$A$22,0))),0)),1,0),1))</f>
        <v/>
      </c>
    </row>
    <row r="2746">
      <c r="A2746" s="92" t="n"/>
      <c r="B2746" s="55" t="n"/>
      <c r="C2746" s="55" t="n"/>
      <c r="D2746" s="55" t="n"/>
      <c r="E2746" s="93" t="n"/>
      <c r="F2746" s="94" t="n"/>
      <c r="G2746" s="94" t="n"/>
      <c r="H2746" s="94" t="n"/>
      <c r="I2746" s="94" t="n"/>
      <c r="J2746" s="55" t="n"/>
      <c r="K2746" s="95" t="n"/>
      <c r="L2746" s="116">
        <f>IF($A2746="","",DATE(YEAR($A2746),MONTH($A2746)+IF(AND(IFERROR(N(INDEX(Übersicht!$M$15:$M$22,MATCH($B2746,Übersicht!$A$15:$A$22,0))),0)&gt;1,DAY($A2746)&gt;=IFERROR(N(INDEX(Übersicht!$M$15:$M$22,MATCH($B2746,Übersicht!$A$15:$A$22,0))),0)),1,0),1))</f>
        <v/>
      </c>
    </row>
    <row r="2747">
      <c r="A2747" s="92" t="n"/>
      <c r="B2747" s="55" t="n"/>
      <c r="C2747" s="55" t="n"/>
      <c r="D2747" s="55" t="n"/>
      <c r="E2747" s="93" t="n"/>
      <c r="F2747" s="94" t="n"/>
      <c r="G2747" s="94" t="n"/>
      <c r="H2747" s="94" t="n"/>
      <c r="I2747" s="94" t="n"/>
      <c r="J2747" s="55" t="n"/>
      <c r="K2747" s="95" t="n"/>
      <c r="L2747" s="116">
        <f>IF($A2747="","",DATE(YEAR($A2747),MONTH($A2747)+IF(AND(IFERROR(N(INDEX(Übersicht!$M$15:$M$22,MATCH($B2747,Übersicht!$A$15:$A$22,0))),0)&gt;1,DAY($A2747)&gt;=IFERROR(N(INDEX(Übersicht!$M$15:$M$22,MATCH($B2747,Übersicht!$A$15:$A$22,0))),0)),1,0),1))</f>
        <v/>
      </c>
    </row>
    <row r="2748">
      <c r="A2748" s="92" t="n"/>
      <c r="B2748" s="55" t="n"/>
      <c r="C2748" s="55" t="n"/>
      <c r="D2748" s="55" t="n"/>
      <c r="E2748" s="93" t="n"/>
      <c r="F2748" s="94" t="n"/>
      <c r="G2748" s="94" t="n"/>
      <c r="H2748" s="94" t="n"/>
      <c r="I2748" s="94" t="n"/>
      <c r="J2748" s="55" t="n"/>
      <c r="K2748" s="95" t="n"/>
      <c r="L2748" s="116">
        <f>IF($A2748="","",DATE(YEAR($A2748),MONTH($A2748)+IF(AND(IFERROR(N(INDEX(Übersicht!$M$15:$M$22,MATCH($B2748,Übersicht!$A$15:$A$22,0))),0)&gt;1,DAY($A2748)&gt;=IFERROR(N(INDEX(Übersicht!$M$15:$M$22,MATCH($B2748,Übersicht!$A$15:$A$22,0))),0)),1,0),1))</f>
        <v/>
      </c>
    </row>
    <row r="2749">
      <c r="A2749" s="92" t="n"/>
      <c r="B2749" s="55" t="n"/>
      <c r="C2749" s="55" t="n"/>
      <c r="D2749" s="55" t="n"/>
      <c r="E2749" s="93" t="n"/>
      <c r="F2749" s="94" t="n"/>
      <c r="G2749" s="94" t="n"/>
      <c r="H2749" s="94" t="n"/>
      <c r="I2749" s="94" t="n"/>
      <c r="J2749" s="55" t="n"/>
      <c r="K2749" s="95" t="n"/>
      <c r="L2749" s="116">
        <f>IF($A2749="","",DATE(YEAR($A2749),MONTH($A2749)+IF(AND(IFERROR(N(INDEX(Übersicht!$M$15:$M$22,MATCH($B2749,Übersicht!$A$15:$A$22,0))),0)&gt;1,DAY($A2749)&gt;=IFERROR(N(INDEX(Übersicht!$M$15:$M$22,MATCH($B2749,Übersicht!$A$15:$A$22,0))),0)),1,0),1))</f>
        <v/>
      </c>
    </row>
    <row r="2750">
      <c r="A2750" s="92" t="n"/>
      <c r="B2750" s="55" t="n"/>
      <c r="C2750" s="55" t="n"/>
      <c r="D2750" s="55" t="n"/>
      <c r="E2750" s="93" t="n"/>
      <c r="F2750" s="94" t="n"/>
      <c r="G2750" s="94" t="n"/>
      <c r="H2750" s="94" t="n"/>
      <c r="I2750" s="94" t="n"/>
      <c r="J2750" s="55" t="n"/>
      <c r="K2750" s="95" t="n"/>
      <c r="L2750" s="116">
        <f>IF($A2750="","",DATE(YEAR($A2750),MONTH($A2750)+IF(AND(IFERROR(N(INDEX(Übersicht!$M$15:$M$22,MATCH($B2750,Übersicht!$A$15:$A$22,0))),0)&gt;1,DAY($A2750)&gt;=IFERROR(N(INDEX(Übersicht!$M$15:$M$22,MATCH($B2750,Übersicht!$A$15:$A$22,0))),0)),1,0),1))</f>
        <v/>
      </c>
    </row>
    <row r="2751">
      <c r="A2751" s="92" t="n"/>
      <c r="B2751" s="55" t="n"/>
      <c r="C2751" s="55" t="n"/>
      <c r="D2751" s="55" t="n"/>
      <c r="E2751" s="93" t="n"/>
      <c r="F2751" s="94" t="n"/>
      <c r="G2751" s="94" t="n"/>
      <c r="H2751" s="94" t="n"/>
      <c r="I2751" s="94" t="n"/>
      <c r="J2751" s="55" t="n"/>
      <c r="K2751" s="95" t="n"/>
      <c r="L2751" s="116">
        <f>IF($A2751="","",DATE(YEAR($A2751),MONTH($A2751)+IF(AND(IFERROR(N(INDEX(Übersicht!$M$15:$M$22,MATCH($B2751,Übersicht!$A$15:$A$22,0))),0)&gt;1,DAY($A2751)&gt;=IFERROR(N(INDEX(Übersicht!$M$15:$M$22,MATCH($B2751,Übersicht!$A$15:$A$22,0))),0)),1,0),1))</f>
        <v/>
      </c>
    </row>
    <row r="2752">
      <c r="A2752" s="92" t="n"/>
      <c r="B2752" s="55" t="n"/>
      <c r="C2752" s="55" t="n"/>
      <c r="D2752" s="55" t="n"/>
      <c r="E2752" s="93" t="n"/>
      <c r="F2752" s="94" t="n"/>
      <c r="G2752" s="94" t="n"/>
      <c r="H2752" s="94" t="n"/>
      <c r="I2752" s="94" t="n"/>
      <c r="J2752" s="55" t="n"/>
      <c r="K2752" s="95" t="n"/>
      <c r="L2752" s="116">
        <f>IF($A2752="","",DATE(YEAR($A2752),MONTH($A2752)+IF(AND(IFERROR(N(INDEX(Übersicht!$M$15:$M$22,MATCH($B2752,Übersicht!$A$15:$A$22,0))),0)&gt;1,DAY($A2752)&gt;=IFERROR(N(INDEX(Übersicht!$M$15:$M$22,MATCH($B2752,Übersicht!$A$15:$A$22,0))),0)),1,0),1))</f>
        <v/>
      </c>
    </row>
    <row r="2753">
      <c r="A2753" s="92" t="n"/>
      <c r="B2753" s="55" t="n"/>
      <c r="C2753" s="55" t="n"/>
      <c r="D2753" s="55" t="n"/>
      <c r="E2753" s="93" t="n"/>
      <c r="F2753" s="94" t="n"/>
      <c r="G2753" s="94" t="n"/>
      <c r="H2753" s="94" t="n"/>
      <c r="I2753" s="94" t="n"/>
      <c r="J2753" s="55" t="n"/>
      <c r="K2753" s="95" t="n"/>
      <c r="L2753" s="116">
        <f>IF($A2753="","",DATE(YEAR($A2753),MONTH($A2753)+IF(AND(IFERROR(N(INDEX(Übersicht!$M$15:$M$22,MATCH($B2753,Übersicht!$A$15:$A$22,0))),0)&gt;1,DAY($A2753)&gt;=IFERROR(N(INDEX(Übersicht!$M$15:$M$22,MATCH($B2753,Übersicht!$A$15:$A$22,0))),0)),1,0),1))</f>
        <v/>
      </c>
    </row>
    <row r="2754">
      <c r="A2754" s="92" t="n"/>
      <c r="B2754" s="55" t="n"/>
      <c r="C2754" s="55" t="n"/>
      <c r="D2754" s="55" t="n"/>
      <c r="E2754" s="93" t="n"/>
      <c r="F2754" s="94" t="n"/>
      <c r="G2754" s="94" t="n"/>
      <c r="H2754" s="94" t="n"/>
      <c r="I2754" s="94" t="n"/>
      <c r="J2754" s="55" t="n"/>
      <c r="K2754" s="95" t="n"/>
      <c r="L2754" s="116">
        <f>IF($A2754="","",DATE(YEAR($A2754),MONTH($A2754)+IF(AND(IFERROR(N(INDEX(Übersicht!$M$15:$M$22,MATCH($B2754,Übersicht!$A$15:$A$22,0))),0)&gt;1,DAY($A2754)&gt;=IFERROR(N(INDEX(Übersicht!$M$15:$M$22,MATCH($B2754,Übersicht!$A$15:$A$22,0))),0)),1,0),1))</f>
        <v/>
      </c>
    </row>
    <row r="2755">
      <c r="A2755" s="92" t="n"/>
      <c r="B2755" s="55" t="n"/>
      <c r="C2755" s="55" t="n"/>
      <c r="D2755" s="55" t="n"/>
      <c r="E2755" s="93" t="n"/>
      <c r="F2755" s="94" t="n"/>
      <c r="G2755" s="94" t="n"/>
      <c r="H2755" s="94" t="n"/>
      <c r="I2755" s="94" t="n"/>
      <c r="J2755" s="55" t="n"/>
      <c r="K2755" s="95" t="n"/>
      <c r="L2755" s="116">
        <f>IF($A2755="","",DATE(YEAR($A2755),MONTH($A2755)+IF(AND(IFERROR(N(INDEX(Übersicht!$M$15:$M$22,MATCH($B2755,Übersicht!$A$15:$A$22,0))),0)&gt;1,DAY($A2755)&gt;=IFERROR(N(INDEX(Übersicht!$M$15:$M$22,MATCH($B2755,Übersicht!$A$15:$A$22,0))),0)),1,0),1))</f>
        <v/>
      </c>
    </row>
    <row r="2756">
      <c r="A2756" s="92" t="n"/>
      <c r="B2756" s="55" t="n"/>
      <c r="C2756" s="55" t="n"/>
      <c r="D2756" s="55" t="n"/>
      <c r="E2756" s="93" t="n"/>
      <c r="F2756" s="94" t="n"/>
      <c r="G2756" s="94" t="n"/>
      <c r="H2756" s="94" t="n"/>
      <c r="I2756" s="94" t="n"/>
      <c r="J2756" s="55" t="n"/>
      <c r="K2756" s="95" t="n"/>
      <c r="L2756" s="116">
        <f>IF($A2756="","",DATE(YEAR($A2756),MONTH($A2756)+IF(AND(IFERROR(N(INDEX(Übersicht!$M$15:$M$22,MATCH($B2756,Übersicht!$A$15:$A$22,0))),0)&gt;1,DAY($A2756)&gt;=IFERROR(N(INDEX(Übersicht!$M$15:$M$22,MATCH($B2756,Übersicht!$A$15:$A$22,0))),0)),1,0),1))</f>
        <v/>
      </c>
    </row>
    <row r="2757">
      <c r="A2757" s="92" t="n"/>
      <c r="B2757" s="55" t="n"/>
      <c r="C2757" s="55" t="n"/>
      <c r="D2757" s="55" t="n"/>
      <c r="E2757" s="93" t="n"/>
      <c r="F2757" s="94" t="n"/>
      <c r="G2757" s="94" t="n"/>
      <c r="H2757" s="94" t="n"/>
      <c r="I2757" s="94" t="n"/>
      <c r="J2757" s="55" t="n"/>
      <c r="K2757" s="95" t="n"/>
      <c r="L2757" s="116">
        <f>IF($A2757="","",DATE(YEAR($A2757),MONTH($A2757)+IF(AND(IFERROR(N(INDEX(Übersicht!$M$15:$M$22,MATCH($B2757,Übersicht!$A$15:$A$22,0))),0)&gt;1,DAY($A2757)&gt;=IFERROR(N(INDEX(Übersicht!$M$15:$M$22,MATCH($B2757,Übersicht!$A$15:$A$22,0))),0)),1,0),1))</f>
        <v/>
      </c>
    </row>
    <row r="2758">
      <c r="A2758" s="92" t="n"/>
      <c r="B2758" s="55" t="n"/>
      <c r="C2758" s="55" t="n"/>
      <c r="D2758" s="55" t="n"/>
      <c r="E2758" s="93" t="n"/>
      <c r="F2758" s="94" t="n"/>
      <c r="G2758" s="94" t="n"/>
      <c r="H2758" s="94" t="n"/>
      <c r="I2758" s="94" t="n"/>
      <c r="J2758" s="55" t="n"/>
      <c r="K2758" s="95" t="n"/>
      <c r="L2758" s="116">
        <f>IF($A2758="","",DATE(YEAR($A2758),MONTH($A2758)+IF(AND(IFERROR(N(INDEX(Übersicht!$M$15:$M$22,MATCH($B2758,Übersicht!$A$15:$A$22,0))),0)&gt;1,DAY($A2758)&gt;=IFERROR(N(INDEX(Übersicht!$M$15:$M$22,MATCH($B2758,Übersicht!$A$15:$A$22,0))),0)),1,0),1))</f>
        <v/>
      </c>
    </row>
    <row r="2759">
      <c r="A2759" s="92" t="n"/>
      <c r="B2759" s="55" t="n"/>
      <c r="C2759" s="55" t="n"/>
      <c r="D2759" s="55" t="n"/>
      <c r="E2759" s="93" t="n"/>
      <c r="F2759" s="94" t="n"/>
      <c r="G2759" s="94" t="n"/>
      <c r="H2759" s="94" t="n"/>
      <c r="I2759" s="94" t="n"/>
      <c r="J2759" s="55" t="n"/>
      <c r="K2759" s="95" t="n"/>
      <c r="L2759" s="116">
        <f>IF($A2759="","",DATE(YEAR($A2759),MONTH($A2759)+IF(AND(IFERROR(N(INDEX(Übersicht!$M$15:$M$22,MATCH($B2759,Übersicht!$A$15:$A$22,0))),0)&gt;1,DAY($A2759)&gt;=IFERROR(N(INDEX(Übersicht!$M$15:$M$22,MATCH($B2759,Übersicht!$A$15:$A$22,0))),0)),1,0),1))</f>
        <v/>
      </c>
    </row>
    <row r="2760">
      <c r="A2760" s="92" t="n"/>
      <c r="B2760" s="55" t="n"/>
      <c r="C2760" s="55" t="n"/>
      <c r="D2760" s="55" t="n"/>
      <c r="E2760" s="93" t="n"/>
      <c r="F2760" s="94" t="n"/>
      <c r="G2760" s="94" t="n"/>
      <c r="H2760" s="94" t="n"/>
      <c r="I2760" s="94" t="n"/>
      <c r="J2760" s="55" t="n"/>
      <c r="K2760" s="95" t="n"/>
      <c r="L2760" s="116">
        <f>IF($A2760="","",DATE(YEAR($A2760),MONTH($A2760)+IF(AND(IFERROR(N(INDEX(Übersicht!$M$15:$M$22,MATCH($B2760,Übersicht!$A$15:$A$22,0))),0)&gt;1,DAY($A2760)&gt;=IFERROR(N(INDEX(Übersicht!$M$15:$M$22,MATCH($B2760,Übersicht!$A$15:$A$22,0))),0)),1,0),1))</f>
        <v/>
      </c>
    </row>
    <row r="2761">
      <c r="A2761" s="92" t="n"/>
      <c r="B2761" s="55" t="n"/>
      <c r="C2761" s="55" t="n"/>
      <c r="D2761" s="55" t="n"/>
      <c r="E2761" s="93" t="n"/>
      <c r="F2761" s="94" t="n"/>
      <c r="G2761" s="94" t="n"/>
      <c r="H2761" s="94" t="n"/>
      <c r="I2761" s="94" t="n"/>
      <c r="J2761" s="55" t="n"/>
      <c r="K2761" s="95" t="n"/>
      <c r="L2761" s="116">
        <f>IF($A2761="","",DATE(YEAR($A2761),MONTH($A2761)+IF(AND(IFERROR(N(INDEX(Übersicht!$M$15:$M$22,MATCH($B2761,Übersicht!$A$15:$A$22,0))),0)&gt;1,DAY($A2761)&gt;=IFERROR(N(INDEX(Übersicht!$M$15:$M$22,MATCH($B2761,Übersicht!$A$15:$A$22,0))),0)),1,0),1))</f>
        <v/>
      </c>
    </row>
    <row r="2762">
      <c r="A2762" s="92" t="n"/>
      <c r="B2762" s="55" t="n"/>
      <c r="C2762" s="55" t="n"/>
      <c r="D2762" s="55" t="n"/>
      <c r="E2762" s="93" t="n"/>
      <c r="F2762" s="94" t="n"/>
      <c r="G2762" s="94" t="n"/>
      <c r="H2762" s="94" t="n"/>
      <c r="I2762" s="94" t="n"/>
      <c r="J2762" s="55" t="n"/>
      <c r="K2762" s="95" t="n"/>
      <c r="L2762" s="116">
        <f>IF($A2762="","",DATE(YEAR($A2762),MONTH($A2762)+IF(AND(IFERROR(N(INDEX(Übersicht!$M$15:$M$22,MATCH($B2762,Übersicht!$A$15:$A$22,0))),0)&gt;1,DAY($A2762)&gt;=IFERROR(N(INDEX(Übersicht!$M$15:$M$22,MATCH($B2762,Übersicht!$A$15:$A$22,0))),0)),1,0),1))</f>
        <v/>
      </c>
    </row>
    <row r="2763">
      <c r="A2763" s="92" t="n"/>
      <c r="B2763" s="55" t="n"/>
      <c r="C2763" s="55" t="n"/>
      <c r="D2763" s="55" t="n"/>
      <c r="E2763" s="93" t="n"/>
      <c r="F2763" s="94" t="n"/>
      <c r="G2763" s="94" t="n"/>
      <c r="H2763" s="94" t="n"/>
      <c r="I2763" s="94" t="n"/>
      <c r="J2763" s="55" t="n"/>
      <c r="K2763" s="95" t="n"/>
      <c r="L2763" s="116">
        <f>IF($A2763="","",DATE(YEAR($A2763),MONTH($A2763)+IF(AND(IFERROR(N(INDEX(Übersicht!$M$15:$M$22,MATCH($B2763,Übersicht!$A$15:$A$22,0))),0)&gt;1,DAY($A2763)&gt;=IFERROR(N(INDEX(Übersicht!$M$15:$M$22,MATCH($B2763,Übersicht!$A$15:$A$22,0))),0)),1,0),1))</f>
        <v/>
      </c>
    </row>
    <row r="2764">
      <c r="A2764" s="92" t="n"/>
      <c r="B2764" s="55" t="n"/>
      <c r="C2764" s="55" t="n"/>
      <c r="D2764" s="55" t="n"/>
      <c r="E2764" s="93" t="n"/>
      <c r="F2764" s="94" t="n"/>
      <c r="G2764" s="94" t="n"/>
      <c r="H2764" s="94" t="n"/>
      <c r="I2764" s="94" t="n"/>
      <c r="J2764" s="55" t="n"/>
      <c r="K2764" s="95" t="n"/>
      <c r="L2764" s="116">
        <f>IF($A2764="","",DATE(YEAR($A2764),MONTH($A2764)+IF(AND(IFERROR(N(INDEX(Übersicht!$M$15:$M$22,MATCH($B2764,Übersicht!$A$15:$A$22,0))),0)&gt;1,DAY($A2764)&gt;=IFERROR(N(INDEX(Übersicht!$M$15:$M$22,MATCH($B2764,Übersicht!$A$15:$A$22,0))),0)),1,0),1))</f>
        <v/>
      </c>
    </row>
    <row r="2765">
      <c r="A2765" s="92" t="n"/>
      <c r="B2765" s="55" t="n"/>
      <c r="C2765" s="55" t="n"/>
      <c r="D2765" s="55" t="n"/>
      <c r="E2765" s="93" t="n"/>
      <c r="F2765" s="94" t="n"/>
      <c r="G2765" s="94" t="n"/>
      <c r="H2765" s="94" t="n"/>
      <c r="I2765" s="94" t="n"/>
      <c r="J2765" s="55" t="n"/>
      <c r="K2765" s="95" t="n"/>
      <c r="L2765" s="116">
        <f>IF($A2765="","",DATE(YEAR($A2765),MONTH($A2765)+IF(AND(IFERROR(N(INDEX(Übersicht!$M$15:$M$22,MATCH($B2765,Übersicht!$A$15:$A$22,0))),0)&gt;1,DAY($A2765)&gt;=IFERROR(N(INDEX(Übersicht!$M$15:$M$22,MATCH($B2765,Übersicht!$A$15:$A$22,0))),0)),1,0),1))</f>
        <v/>
      </c>
    </row>
    <row r="2766">
      <c r="A2766" s="92" t="n"/>
      <c r="B2766" s="55" t="n"/>
      <c r="C2766" s="55" t="n"/>
      <c r="D2766" s="55" t="n"/>
      <c r="E2766" s="93" t="n"/>
      <c r="F2766" s="94" t="n"/>
      <c r="G2766" s="94" t="n"/>
      <c r="H2766" s="94" t="n"/>
      <c r="I2766" s="94" t="n"/>
      <c r="J2766" s="55" t="n"/>
      <c r="K2766" s="95" t="n"/>
      <c r="L2766" s="116">
        <f>IF($A2766="","",DATE(YEAR($A2766),MONTH($A2766)+IF(AND(IFERROR(N(INDEX(Übersicht!$M$15:$M$22,MATCH($B2766,Übersicht!$A$15:$A$22,0))),0)&gt;1,DAY($A2766)&gt;=IFERROR(N(INDEX(Übersicht!$M$15:$M$22,MATCH($B2766,Übersicht!$A$15:$A$22,0))),0)),1,0),1))</f>
        <v/>
      </c>
    </row>
    <row r="2767">
      <c r="A2767" s="92" t="n"/>
      <c r="B2767" s="55" t="n"/>
      <c r="C2767" s="55" t="n"/>
      <c r="D2767" s="55" t="n"/>
      <c r="E2767" s="93" t="n"/>
      <c r="F2767" s="94" t="n"/>
      <c r="G2767" s="94" t="n"/>
      <c r="H2767" s="94" t="n"/>
      <c r="I2767" s="94" t="n"/>
      <c r="J2767" s="55" t="n"/>
      <c r="K2767" s="95" t="n"/>
      <c r="L2767" s="116">
        <f>IF($A2767="","",DATE(YEAR($A2767),MONTH($A2767)+IF(AND(IFERROR(N(INDEX(Übersicht!$M$15:$M$22,MATCH($B2767,Übersicht!$A$15:$A$22,0))),0)&gt;1,DAY($A2767)&gt;=IFERROR(N(INDEX(Übersicht!$M$15:$M$22,MATCH($B2767,Übersicht!$A$15:$A$22,0))),0)),1,0),1))</f>
        <v/>
      </c>
    </row>
    <row r="2768">
      <c r="A2768" s="92" t="n"/>
      <c r="B2768" s="55" t="n"/>
      <c r="C2768" s="55" t="n"/>
      <c r="D2768" s="55" t="n"/>
      <c r="E2768" s="93" t="n"/>
      <c r="F2768" s="94" t="n"/>
      <c r="G2768" s="94" t="n"/>
      <c r="H2768" s="94" t="n"/>
      <c r="I2768" s="94" t="n"/>
      <c r="J2768" s="55" t="n"/>
      <c r="K2768" s="95" t="n"/>
      <c r="L2768" s="116">
        <f>IF($A2768="","",DATE(YEAR($A2768),MONTH($A2768)+IF(AND(IFERROR(N(INDEX(Übersicht!$M$15:$M$22,MATCH($B2768,Übersicht!$A$15:$A$22,0))),0)&gt;1,DAY($A2768)&gt;=IFERROR(N(INDEX(Übersicht!$M$15:$M$22,MATCH($B2768,Übersicht!$A$15:$A$22,0))),0)),1,0),1))</f>
        <v/>
      </c>
    </row>
    <row r="2769">
      <c r="A2769" s="92" t="n"/>
      <c r="B2769" s="55" t="n"/>
      <c r="C2769" s="55" t="n"/>
      <c r="D2769" s="55" t="n"/>
      <c r="E2769" s="93" t="n"/>
      <c r="F2769" s="94" t="n"/>
      <c r="G2769" s="94" t="n"/>
      <c r="H2769" s="94" t="n"/>
      <c r="I2769" s="94" t="n"/>
      <c r="J2769" s="55" t="n"/>
      <c r="K2769" s="95" t="n"/>
      <c r="L2769" s="116">
        <f>IF($A2769="","",DATE(YEAR($A2769),MONTH($A2769)+IF(AND(IFERROR(N(INDEX(Übersicht!$M$15:$M$22,MATCH($B2769,Übersicht!$A$15:$A$22,0))),0)&gt;1,DAY($A2769)&gt;=IFERROR(N(INDEX(Übersicht!$M$15:$M$22,MATCH($B2769,Übersicht!$A$15:$A$22,0))),0)),1,0),1))</f>
        <v/>
      </c>
    </row>
    <row r="2770">
      <c r="A2770" s="92" t="n"/>
      <c r="B2770" s="55" t="n"/>
      <c r="C2770" s="55" t="n"/>
      <c r="D2770" s="55" t="n"/>
      <c r="E2770" s="93" t="n"/>
      <c r="F2770" s="94" t="n"/>
      <c r="G2770" s="94" t="n"/>
      <c r="H2770" s="94" t="n"/>
      <c r="I2770" s="94" t="n"/>
      <c r="J2770" s="55" t="n"/>
      <c r="K2770" s="95" t="n"/>
      <c r="L2770" s="116">
        <f>IF($A2770="","",DATE(YEAR($A2770),MONTH($A2770)+IF(AND(IFERROR(N(INDEX(Übersicht!$M$15:$M$22,MATCH($B2770,Übersicht!$A$15:$A$22,0))),0)&gt;1,DAY($A2770)&gt;=IFERROR(N(INDEX(Übersicht!$M$15:$M$22,MATCH($B2770,Übersicht!$A$15:$A$22,0))),0)),1,0),1))</f>
        <v/>
      </c>
    </row>
    <row r="2771">
      <c r="A2771" s="92" t="n"/>
      <c r="B2771" s="55" t="n"/>
      <c r="C2771" s="55" t="n"/>
      <c r="D2771" s="55" t="n"/>
      <c r="E2771" s="93" t="n"/>
      <c r="F2771" s="94" t="n"/>
      <c r="G2771" s="94" t="n"/>
      <c r="H2771" s="94" t="n"/>
      <c r="I2771" s="94" t="n"/>
      <c r="J2771" s="55" t="n"/>
      <c r="K2771" s="95" t="n"/>
      <c r="L2771" s="116">
        <f>IF($A2771="","",DATE(YEAR($A2771),MONTH($A2771)+IF(AND(IFERROR(N(INDEX(Übersicht!$M$15:$M$22,MATCH($B2771,Übersicht!$A$15:$A$22,0))),0)&gt;1,DAY($A2771)&gt;=IFERROR(N(INDEX(Übersicht!$M$15:$M$22,MATCH($B2771,Übersicht!$A$15:$A$22,0))),0)),1,0),1))</f>
        <v/>
      </c>
    </row>
    <row r="2772">
      <c r="A2772" s="92" t="n"/>
      <c r="B2772" s="55" t="n"/>
      <c r="C2772" s="55" t="n"/>
      <c r="D2772" s="55" t="n"/>
      <c r="E2772" s="93" t="n"/>
      <c r="F2772" s="94" t="n"/>
      <c r="G2772" s="94" t="n"/>
      <c r="H2772" s="94" t="n"/>
      <c r="I2772" s="94" t="n"/>
      <c r="J2772" s="55" t="n"/>
      <c r="K2772" s="95" t="n"/>
      <c r="L2772" s="116">
        <f>IF($A2772="","",DATE(YEAR($A2772),MONTH($A2772)+IF(AND(IFERROR(N(INDEX(Übersicht!$M$15:$M$22,MATCH($B2772,Übersicht!$A$15:$A$22,0))),0)&gt;1,DAY($A2772)&gt;=IFERROR(N(INDEX(Übersicht!$M$15:$M$22,MATCH($B2772,Übersicht!$A$15:$A$22,0))),0)),1,0),1))</f>
        <v/>
      </c>
    </row>
    <row r="2773">
      <c r="A2773" s="92" t="n"/>
      <c r="B2773" s="55" t="n"/>
      <c r="C2773" s="55" t="n"/>
      <c r="D2773" s="55" t="n"/>
      <c r="E2773" s="93" t="n"/>
      <c r="F2773" s="94" t="n"/>
      <c r="G2773" s="94" t="n"/>
      <c r="H2773" s="94" t="n"/>
      <c r="I2773" s="94" t="n"/>
      <c r="J2773" s="55" t="n"/>
      <c r="K2773" s="95" t="n"/>
      <c r="L2773" s="116">
        <f>IF($A2773="","",DATE(YEAR($A2773),MONTH($A2773)+IF(AND(IFERROR(N(INDEX(Übersicht!$M$15:$M$22,MATCH($B2773,Übersicht!$A$15:$A$22,0))),0)&gt;1,DAY($A2773)&gt;=IFERROR(N(INDEX(Übersicht!$M$15:$M$22,MATCH($B2773,Übersicht!$A$15:$A$22,0))),0)),1,0),1))</f>
        <v/>
      </c>
    </row>
    <row r="2774">
      <c r="A2774" s="92" t="n"/>
      <c r="B2774" s="55" t="n"/>
      <c r="C2774" s="55" t="n"/>
      <c r="D2774" s="55" t="n"/>
      <c r="E2774" s="93" t="n"/>
      <c r="F2774" s="94" t="n"/>
      <c r="G2774" s="94" t="n"/>
      <c r="H2774" s="94" t="n"/>
      <c r="I2774" s="94" t="n"/>
      <c r="J2774" s="55" t="n"/>
      <c r="K2774" s="95" t="n"/>
      <c r="L2774" s="116">
        <f>IF($A2774="","",DATE(YEAR($A2774),MONTH($A2774)+IF(AND(IFERROR(N(INDEX(Übersicht!$M$15:$M$22,MATCH($B2774,Übersicht!$A$15:$A$22,0))),0)&gt;1,DAY($A2774)&gt;=IFERROR(N(INDEX(Übersicht!$M$15:$M$22,MATCH($B2774,Übersicht!$A$15:$A$22,0))),0)),1,0),1))</f>
        <v/>
      </c>
    </row>
    <row r="2775">
      <c r="A2775" s="92" t="n"/>
      <c r="B2775" s="55" t="n"/>
      <c r="C2775" s="55" t="n"/>
      <c r="D2775" s="55" t="n"/>
      <c r="E2775" s="93" t="n"/>
      <c r="F2775" s="94" t="n"/>
      <c r="G2775" s="94" t="n"/>
      <c r="H2775" s="94" t="n"/>
      <c r="I2775" s="94" t="n"/>
      <c r="J2775" s="55" t="n"/>
      <c r="K2775" s="95" t="n"/>
      <c r="L2775" s="116">
        <f>IF($A2775="","",DATE(YEAR($A2775),MONTH($A2775)+IF(AND(IFERROR(N(INDEX(Übersicht!$M$15:$M$22,MATCH($B2775,Übersicht!$A$15:$A$22,0))),0)&gt;1,DAY($A2775)&gt;=IFERROR(N(INDEX(Übersicht!$M$15:$M$22,MATCH($B2775,Übersicht!$A$15:$A$22,0))),0)),1,0),1))</f>
        <v/>
      </c>
    </row>
    <row r="2776">
      <c r="A2776" s="92" t="n"/>
      <c r="B2776" s="55" t="n"/>
      <c r="C2776" s="55" t="n"/>
      <c r="D2776" s="55" t="n"/>
      <c r="E2776" s="93" t="n"/>
      <c r="F2776" s="94" t="n"/>
      <c r="G2776" s="94" t="n"/>
      <c r="H2776" s="94" t="n"/>
      <c r="I2776" s="94" t="n"/>
      <c r="J2776" s="55" t="n"/>
      <c r="K2776" s="95" t="n"/>
      <c r="L2776" s="116">
        <f>IF($A2776="","",DATE(YEAR($A2776),MONTH($A2776)+IF(AND(IFERROR(N(INDEX(Übersicht!$M$15:$M$22,MATCH($B2776,Übersicht!$A$15:$A$22,0))),0)&gt;1,DAY($A2776)&gt;=IFERROR(N(INDEX(Übersicht!$M$15:$M$22,MATCH($B2776,Übersicht!$A$15:$A$22,0))),0)),1,0),1))</f>
        <v/>
      </c>
    </row>
    <row r="2777">
      <c r="A2777" s="92" t="n"/>
      <c r="B2777" s="55" t="n"/>
      <c r="C2777" s="55" t="n"/>
      <c r="D2777" s="55" t="n"/>
      <c r="E2777" s="93" t="n"/>
      <c r="F2777" s="94" t="n"/>
      <c r="G2777" s="94" t="n"/>
      <c r="H2777" s="94" t="n"/>
      <c r="I2777" s="94" t="n"/>
      <c r="J2777" s="55" t="n"/>
      <c r="K2777" s="95" t="n"/>
      <c r="L2777" s="116">
        <f>IF($A2777="","",DATE(YEAR($A2777),MONTH($A2777)+IF(AND(IFERROR(N(INDEX(Übersicht!$M$15:$M$22,MATCH($B2777,Übersicht!$A$15:$A$22,0))),0)&gt;1,DAY($A2777)&gt;=IFERROR(N(INDEX(Übersicht!$M$15:$M$22,MATCH($B2777,Übersicht!$A$15:$A$22,0))),0)),1,0),1))</f>
        <v/>
      </c>
    </row>
    <row r="2778">
      <c r="A2778" s="92" t="n"/>
      <c r="B2778" s="55" t="n"/>
      <c r="C2778" s="55" t="n"/>
      <c r="D2778" s="55" t="n"/>
      <c r="E2778" s="93" t="n"/>
      <c r="F2778" s="94" t="n"/>
      <c r="G2778" s="94" t="n"/>
      <c r="H2778" s="94" t="n"/>
      <c r="I2778" s="94" t="n"/>
      <c r="J2778" s="55" t="n"/>
      <c r="K2778" s="95" t="n"/>
      <c r="L2778" s="116">
        <f>IF($A2778="","",DATE(YEAR($A2778),MONTH($A2778)+IF(AND(IFERROR(N(INDEX(Übersicht!$M$15:$M$22,MATCH($B2778,Übersicht!$A$15:$A$22,0))),0)&gt;1,DAY($A2778)&gt;=IFERROR(N(INDEX(Übersicht!$M$15:$M$22,MATCH($B2778,Übersicht!$A$15:$A$22,0))),0)),1,0),1))</f>
        <v/>
      </c>
    </row>
    <row r="2779">
      <c r="A2779" s="92" t="n"/>
      <c r="B2779" s="55" t="n"/>
      <c r="C2779" s="55" t="n"/>
      <c r="D2779" s="55" t="n"/>
      <c r="E2779" s="93" t="n"/>
      <c r="F2779" s="94" t="n"/>
      <c r="G2779" s="94" t="n"/>
      <c r="H2779" s="94" t="n"/>
      <c r="I2779" s="94" t="n"/>
      <c r="J2779" s="55" t="n"/>
      <c r="K2779" s="95" t="n"/>
      <c r="L2779" s="116">
        <f>IF($A2779="","",DATE(YEAR($A2779),MONTH($A2779)+IF(AND(IFERROR(N(INDEX(Übersicht!$M$15:$M$22,MATCH($B2779,Übersicht!$A$15:$A$22,0))),0)&gt;1,DAY($A2779)&gt;=IFERROR(N(INDEX(Übersicht!$M$15:$M$22,MATCH($B2779,Übersicht!$A$15:$A$22,0))),0)),1,0),1))</f>
        <v/>
      </c>
    </row>
    <row r="2780">
      <c r="A2780" s="92" t="n"/>
      <c r="B2780" s="55" t="n"/>
      <c r="C2780" s="55" t="n"/>
      <c r="D2780" s="55" t="n"/>
      <c r="E2780" s="93" t="n"/>
      <c r="F2780" s="94" t="n"/>
      <c r="G2780" s="94" t="n"/>
      <c r="H2780" s="94" t="n"/>
      <c r="I2780" s="94" t="n"/>
      <c r="J2780" s="55" t="n"/>
      <c r="K2780" s="95" t="n"/>
      <c r="L2780" s="116">
        <f>IF($A2780="","",DATE(YEAR($A2780),MONTH($A2780)+IF(AND(IFERROR(N(INDEX(Übersicht!$M$15:$M$22,MATCH($B2780,Übersicht!$A$15:$A$22,0))),0)&gt;1,DAY($A2780)&gt;=IFERROR(N(INDEX(Übersicht!$M$15:$M$22,MATCH($B2780,Übersicht!$A$15:$A$22,0))),0)),1,0),1))</f>
        <v/>
      </c>
    </row>
    <row r="2781">
      <c r="A2781" s="92" t="n"/>
      <c r="B2781" s="55" t="n"/>
      <c r="C2781" s="55" t="n"/>
      <c r="D2781" s="55" t="n"/>
      <c r="E2781" s="93" t="n"/>
      <c r="F2781" s="94" t="n"/>
      <c r="G2781" s="94" t="n"/>
      <c r="H2781" s="94" t="n"/>
      <c r="I2781" s="94" t="n"/>
      <c r="J2781" s="55" t="n"/>
      <c r="K2781" s="95" t="n"/>
      <c r="L2781" s="116">
        <f>IF($A2781="","",DATE(YEAR($A2781),MONTH($A2781)+IF(AND(IFERROR(N(INDEX(Übersicht!$M$15:$M$22,MATCH($B2781,Übersicht!$A$15:$A$22,0))),0)&gt;1,DAY($A2781)&gt;=IFERROR(N(INDEX(Übersicht!$M$15:$M$22,MATCH($B2781,Übersicht!$A$15:$A$22,0))),0)),1,0),1))</f>
        <v/>
      </c>
    </row>
    <row r="2782">
      <c r="A2782" s="92" t="n"/>
      <c r="B2782" s="55" t="n"/>
      <c r="C2782" s="55" t="n"/>
      <c r="D2782" s="55" t="n"/>
      <c r="E2782" s="93" t="n"/>
      <c r="F2782" s="94" t="n"/>
      <c r="G2782" s="94" t="n"/>
      <c r="H2782" s="94" t="n"/>
      <c r="I2782" s="94" t="n"/>
      <c r="J2782" s="55" t="n"/>
      <c r="K2782" s="95" t="n"/>
      <c r="L2782" s="116">
        <f>IF($A2782="","",DATE(YEAR($A2782),MONTH($A2782)+IF(AND(IFERROR(N(INDEX(Übersicht!$M$15:$M$22,MATCH($B2782,Übersicht!$A$15:$A$22,0))),0)&gt;1,DAY($A2782)&gt;=IFERROR(N(INDEX(Übersicht!$M$15:$M$22,MATCH($B2782,Übersicht!$A$15:$A$22,0))),0)),1,0),1))</f>
        <v/>
      </c>
    </row>
    <row r="2783">
      <c r="A2783" s="92" t="n"/>
      <c r="B2783" s="55" t="n"/>
      <c r="C2783" s="55" t="n"/>
      <c r="D2783" s="55" t="n"/>
      <c r="E2783" s="93" t="n"/>
      <c r="F2783" s="94" t="n"/>
      <c r="G2783" s="94" t="n"/>
      <c r="H2783" s="94" t="n"/>
      <c r="I2783" s="94" t="n"/>
      <c r="J2783" s="55" t="n"/>
      <c r="K2783" s="95" t="n"/>
      <c r="L2783" s="116">
        <f>IF($A2783="","",DATE(YEAR($A2783),MONTH($A2783)+IF(AND(IFERROR(N(INDEX(Übersicht!$M$15:$M$22,MATCH($B2783,Übersicht!$A$15:$A$22,0))),0)&gt;1,DAY($A2783)&gt;=IFERROR(N(INDEX(Übersicht!$M$15:$M$22,MATCH($B2783,Übersicht!$A$15:$A$22,0))),0)),1,0),1))</f>
        <v/>
      </c>
    </row>
    <row r="2784">
      <c r="A2784" s="92" t="n"/>
      <c r="B2784" s="55" t="n"/>
      <c r="C2784" s="55" t="n"/>
      <c r="D2784" s="55" t="n"/>
      <c r="E2784" s="93" t="n"/>
      <c r="F2784" s="94" t="n"/>
      <c r="G2784" s="94" t="n"/>
      <c r="H2784" s="94" t="n"/>
      <c r="I2784" s="94" t="n"/>
      <c r="J2784" s="55" t="n"/>
      <c r="K2784" s="95" t="n"/>
      <c r="L2784" s="116">
        <f>IF($A2784="","",DATE(YEAR($A2784),MONTH($A2784)+IF(AND(IFERROR(N(INDEX(Übersicht!$M$15:$M$22,MATCH($B2784,Übersicht!$A$15:$A$22,0))),0)&gt;1,DAY($A2784)&gt;=IFERROR(N(INDEX(Übersicht!$M$15:$M$22,MATCH($B2784,Übersicht!$A$15:$A$22,0))),0)),1,0),1))</f>
        <v/>
      </c>
    </row>
    <row r="2785">
      <c r="A2785" s="92" t="n"/>
      <c r="B2785" s="55" t="n"/>
      <c r="C2785" s="55" t="n"/>
      <c r="D2785" s="55" t="n"/>
      <c r="E2785" s="93" t="n"/>
      <c r="F2785" s="94" t="n"/>
      <c r="G2785" s="94" t="n"/>
      <c r="H2785" s="94" t="n"/>
      <c r="I2785" s="94" t="n"/>
      <c r="J2785" s="55" t="n"/>
      <c r="K2785" s="95" t="n"/>
      <c r="L2785" s="116">
        <f>IF($A2785="","",DATE(YEAR($A2785),MONTH($A2785)+IF(AND(IFERROR(N(INDEX(Übersicht!$M$15:$M$22,MATCH($B2785,Übersicht!$A$15:$A$22,0))),0)&gt;1,DAY($A2785)&gt;=IFERROR(N(INDEX(Übersicht!$M$15:$M$22,MATCH($B2785,Übersicht!$A$15:$A$22,0))),0)),1,0),1))</f>
        <v/>
      </c>
    </row>
    <row r="2786">
      <c r="A2786" s="92" t="n"/>
      <c r="B2786" s="55" t="n"/>
      <c r="C2786" s="55" t="n"/>
      <c r="D2786" s="55" t="n"/>
      <c r="E2786" s="93" t="n"/>
      <c r="F2786" s="94" t="n"/>
      <c r="G2786" s="94" t="n"/>
      <c r="H2786" s="94" t="n"/>
      <c r="I2786" s="94" t="n"/>
      <c r="J2786" s="55" t="n"/>
      <c r="K2786" s="95" t="n"/>
      <c r="L2786" s="116">
        <f>IF($A2786="","",DATE(YEAR($A2786),MONTH($A2786)+IF(AND(IFERROR(N(INDEX(Übersicht!$M$15:$M$22,MATCH($B2786,Übersicht!$A$15:$A$22,0))),0)&gt;1,DAY($A2786)&gt;=IFERROR(N(INDEX(Übersicht!$M$15:$M$22,MATCH($B2786,Übersicht!$A$15:$A$22,0))),0)),1,0),1))</f>
        <v/>
      </c>
    </row>
    <row r="2787">
      <c r="A2787" s="92" t="n"/>
      <c r="B2787" s="55" t="n"/>
      <c r="C2787" s="55" t="n"/>
      <c r="D2787" s="55" t="n"/>
      <c r="E2787" s="93" t="n"/>
      <c r="F2787" s="94" t="n"/>
      <c r="G2787" s="94" t="n"/>
      <c r="H2787" s="94" t="n"/>
      <c r="I2787" s="94" t="n"/>
      <c r="J2787" s="55" t="n"/>
      <c r="K2787" s="95" t="n"/>
      <c r="L2787" s="116">
        <f>IF($A2787="","",DATE(YEAR($A2787),MONTH($A2787)+IF(AND(IFERROR(N(INDEX(Übersicht!$M$15:$M$22,MATCH($B2787,Übersicht!$A$15:$A$22,0))),0)&gt;1,DAY($A2787)&gt;=IFERROR(N(INDEX(Übersicht!$M$15:$M$22,MATCH($B2787,Übersicht!$A$15:$A$22,0))),0)),1,0),1))</f>
        <v/>
      </c>
    </row>
    <row r="2788">
      <c r="A2788" s="92" t="n"/>
      <c r="B2788" s="55" t="n"/>
      <c r="C2788" s="55" t="n"/>
      <c r="D2788" s="55" t="n"/>
      <c r="E2788" s="93" t="n"/>
      <c r="F2788" s="94" t="n"/>
      <c r="G2788" s="94" t="n"/>
      <c r="H2788" s="94" t="n"/>
      <c r="I2788" s="94" t="n"/>
      <c r="J2788" s="55" t="n"/>
      <c r="K2788" s="95" t="n"/>
      <c r="L2788" s="116">
        <f>IF($A2788="","",DATE(YEAR($A2788),MONTH($A2788)+IF(AND(IFERROR(N(INDEX(Übersicht!$M$15:$M$22,MATCH($B2788,Übersicht!$A$15:$A$22,0))),0)&gt;1,DAY($A2788)&gt;=IFERROR(N(INDEX(Übersicht!$M$15:$M$22,MATCH($B2788,Übersicht!$A$15:$A$22,0))),0)),1,0),1))</f>
        <v/>
      </c>
    </row>
    <row r="2789">
      <c r="A2789" s="92" t="n"/>
      <c r="B2789" s="55" t="n"/>
      <c r="C2789" s="55" t="n"/>
      <c r="D2789" s="55" t="n"/>
      <c r="E2789" s="93" t="n"/>
      <c r="F2789" s="94" t="n"/>
      <c r="G2789" s="94" t="n"/>
      <c r="H2789" s="94" t="n"/>
      <c r="I2789" s="94" t="n"/>
      <c r="J2789" s="55" t="n"/>
      <c r="K2789" s="95" t="n"/>
      <c r="L2789" s="116">
        <f>IF($A2789="","",DATE(YEAR($A2789),MONTH($A2789)+IF(AND(IFERROR(N(INDEX(Übersicht!$M$15:$M$22,MATCH($B2789,Übersicht!$A$15:$A$22,0))),0)&gt;1,DAY($A2789)&gt;=IFERROR(N(INDEX(Übersicht!$M$15:$M$22,MATCH($B2789,Übersicht!$A$15:$A$22,0))),0)),1,0),1))</f>
        <v/>
      </c>
    </row>
    <row r="2790">
      <c r="A2790" s="92" t="n"/>
      <c r="B2790" s="55" t="n"/>
      <c r="C2790" s="55" t="n"/>
      <c r="D2790" s="55" t="n"/>
      <c r="E2790" s="93" t="n"/>
      <c r="F2790" s="94" t="n"/>
      <c r="G2790" s="94" t="n"/>
      <c r="H2790" s="94" t="n"/>
      <c r="I2790" s="94" t="n"/>
      <c r="J2790" s="55" t="n"/>
      <c r="K2790" s="95" t="n"/>
      <c r="L2790" s="116">
        <f>IF($A2790="","",DATE(YEAR($A2790),MONTH($A2790)+IF(AND(IFERROR(N(INDEX(Übersicht!$M$15:$M$22,MATCH($B2790,Übersicht!$A$15:$A$22,0))),0)&gt;1,DAY($A2790)&gt;=IFERROR(N(INDEX(Übersicht!$M$15:$M$22,MATCH($B2790,Übersicht!$A$15:$A$22,0))),0)),1,0),1))</f>
        <v/>
      </c>
    </row>
    <row r="2791">
      <c r="A2791" s="92" t="n"/>
      <c r="B2791" s="55" t="n"/>
      <c r="C2791" s="55" t="n"/>
      <c r="D2791" s="55" t="n"/>
      <c r="E2791" s="93" t="n"/>
      <c r="F2791" s="94" t="n"/>
      <c r="G2791" s="94" t="n"/>
      <c r="H2791" s="94" t="n"/>
      <c r="I2791" s="94" t="n"/>
      <c r="J2791" s="55" t="n"/>
      <c r="K2791" s="95" t="n"/>
      <c r="L2791" s="116">
        <f>IF($A2791="","",DATE(YEAR($A2791),MONTH($A2791)+IF(AND(IFERROR(N(INDEX(Übersicht!$M$15:$M$22,MATCH($B2791,Übersicht!$A$15:$A$22,0))),0)&gt;1,DAY($A2791)&gt;=IFERROR(N(INDEX(Übersicht!$M$15:$M$22,MATCH($B2791,Übersicht!$A$15:$A$22,0))),0)),1,0),1))</f>
        <v/>
      </c>
    </row>
    <row r="2792">
      <c r="A2792" s="92" t="n"/>
      <c r="B2792" s="55" t="n"/>
      <c r="C2792" s="55" t="n"/>
      <c r="D2792" s="55" t="n"/>
      <c r="E2792" s="93" t="n"/>
      <c r="F2792" s="94" t="n"/>
      <c r="G2792" s="94" t="n"/>
      <c r="H2792" s="94" t="n"/>
      <c r="I2792" s="94" t="n"/>
      <c r="J2792" s="55" t="n"/>
      <c r="K2792" s="95" t="n"/>
      <c r="L2792" s="116">
        <f>IF($A2792="","",DATE(YEAR($A2792),MONTH($A2792)+IF(AND(IFERROR(N(INDEX(Übersicht!$M$15:$M$22,MATCH($B2792,Übersicht!$A$15:$A$22,0))),0)&gt;1,DAY($A2792)&gt;=IFERROR(N(INDEX(Übersicht!$M$15:$M$22,MATCH($B2792,Übersicht!$A$15:$A$22,0))),0)),1,0),1))</f>
        <v/>
      </c>
    </row>
    <row r="2793">
      <c r="A2793" s="92" t="n"/>
      <c r="B2793" s="55" t="n"/>
      <c r="C2793" s="55" t="n"/>
      <c r="D2793" s="55" t="n"/>
      <c r="E2793" s="93" t="n"/>
      <c r="F2793" s="94" t="n"/>
      <c r="G2793" s="94" t="n"/>
      <c r="H2793" s="94" t="n"/>
      <c r="I2793" s="94" t="n"/>
      <c r="J2793" s="55" t="n"/>
      <c r="K2793" s="95" t="n"/>
      <c r="L2793" s="116">
        <f>IF($A2793="","",DATE(YEAR($A2793),MONTH($A2793)+IF(AND(IFERROR(N(INDEX(Übersicht!$M$15:$M$22,MATCH($B2793,Übersicht!$A$15:$A$22,0))),0)&gt;1,DAY($A2793)&gt;=IFERROR(N(INDEX(Übersicht!$M$15:$M$22,MATCH($B2793,Übersicht!$A$15:$A$22,0))),0)),1,0),1))</f>
        <v/>
      </c>
    </row>
    <row r="2794">
      <c r="A2794" s="92" t="n"/>
      <c r="B2794" s="55" t="n"/>
      <c r="C2794" s="55" t="n"/>
      <c r="D2794" s="55" t="n"/>
      <c r="E2794" s="93" t="n"/>
      <c r="F2794" s="94" t="n"/>
      <c r="G2794" s="94" t="n"/>
      <c r="H2794" s="94" t="n"/>
      <c r="I2794" s="94" t="n"/>
      <c r="J2794" s="55" t="n"/>
      <c r="K2794" s="95" t="n"/>
      <c r="L2794" s="116">
        <f>IF($A2794="","",DATE(YEAR($A2794),MONTH($A2794)+IF(AND(IFERROR(N(INDEX(Übersicht!$M$15:$M$22,MATCH($B2794,Übersicht!$A$15:$A$22,0))),0)&gt;1,DAY($A2794)&gt;=IFERROR(N(INDEX(Übersicht!$M$15:$M$22,MATCH($B2794,Übersicht!$A$15:$A$22,0))),0)),1,0),1))</f>
        <v/>
      </c>
    </row>
    <row r="2795">
      <c r="A2795" s="92" t="n"/>
      <c r="B2795" s="55" t="n"/>
      <c r="C2795" s="55" t="n"/>
      <c r="D2795" s="55" t="n"/>
      <c r="E2795" s="93" t="n"/>
      <c r="F2795" s="94" t="n"/>
      <c r="G2795" s="94" t="n"/>
      <c r="H2795" s="94" t="n"/>
      <c r="I2795" s="94" t="n"/>
      <c r="J2795" s="55" t="n"/>
      <c r="K2795" s="95" t="n"/>
      <c r="L2795" s="116">
        <f>IF($A2795="","",DATE(YEAR($A2795),MONTH($A2795)+IF(AND(IFERROR(N(INDEX(Übersicht!$M$15:$M$22,MATCH($B2795,Übersicht!$A$15:$A$22,0))),0)&gt;1,DAY($A2795)&gt;=IFERROR(N(INDEX(Übersicht!$M$15:$M$22,MATCH($B2795,Übersicht!$A$15:$A$22,0))),0)),1,0),1))</f>
        <v/>
      </c>
    </row>
    <row r="2796">
      <c r="A2796" s="92" t="n"/>
      <c r="B2796" s="55" t="n"/>
      <c r="C2796" s="55" t="n"/>
      <c r="D2796" s="55" t="n"/>
      <c r="E2796" s="93" t="n"/>
      <c r="F2796" s="94" t="n"/>
      <c r="G2796" s="94" t="n"/>
      <c r="H2796" s="94" t="n"/>
      <c r="I2796" s="94" t="n"/>
      <c r="J2796" s="55" t="n"/>
      <c r="K2796" s="95" t="n"/>
      <c r="L2796" s="116">
        <f>IF($A2796="","",DATE(YEAR($A2796),MONTH($A2796)+IF(AND(IFERROR(N(INDEX(Übersicht!$M$15:$M$22,MATCH($B2796,Übersicht!$A$15:$A$22,0))),0)&gt;1,DAY($A2796)&gt;=IFERROR(N(INDEX(Übersicht!$M$15:$M$22,MATCH($B2796,Übersicht!$A$15:$A$22,0))),0)),1,0),1))</f>
        <v/>
      </c>
    </row>
    <row r="2797">
      <c r="A2797" s="92" t="n"/>
      <c r="B2797" s="55" t="n"/>
      <c r="C2797" s="55" t="n"/>
      <c r="D2797" s="55" t="n"/>
      <c r="E2797" s="93" t="n"/>
      <c r="F2797" s="94" t="n"/>
      <c r="G2797" s="94" t="n"/>
      <c r="H2797" s="94" t="n"/>
      <c r="I2797" s="94" t="n"/>
      <c r="J2797" s="55" t="n"/>
      <c r="K2797" s="95" t="n"/>
      <c r="L2797" s="116">
        <f>IF($A2797="","",DATE(YEAR($A2797),MONTH($A2797)+IF(AND(IFERROR(N(INDEX(Übersicht!$M$15:$M$22,MATCH($B2797,Übersicht!$A$15:$A$22,0))),0)&gt;1,DAY($A2797)&gt;=IFERROR(N(INDEX(Übersicht!$M$15:$M$22,MATCH($B2797,Übersicht!$A$15:$A$22,0))),0)),1,0),1))</f>
        <v/>
      </c>
    </row>
    <row r="2798">
      <c r="A2798" s="92" t="n"/>
      <c r="B2798" s="55" t="n"/>
      <c r="C2798" s="55" t="n"/>
      <c r="D2798" s="55" t="n"/>
      <c r="E2798" s="93" t="n"/>
      <c r="F2798" s="94" t="n"/>
      <c r="G2798" s="94" t="n"/>
      <c r="H2798" s="94" t="n"/>
      <c r="I2798" s="94" t="n"/>
      <c r="J2798" s="55" t="n"/>
      <c r="K2798" s="95" t="n"/>
      <c r="L2798" s="116">
        <f>IF($A2798="","",DATE(YEAR($A2798),MONTH($A2798)+IF(AND(IFERROR(N(INDEX(Übersicht!$M$15:$M$22,MATCH($B2798,Übersicht!$A$15:$A$22,0))),0)&gt;1,DAY($A2798)&gt;=IFERROR(N(INDEX(Übersicht!$M$15:$M$22,MATCH($B2798,Übersicht!$A$15:$A$22,0))),0)),1,0),1))</f>
        <v/>
      </c>
    </row>
    <row r="2799">
      <c r="A2799" s="92" t="n"/>
      <c r="B2799" s="55" t="n"/>
      <c r="C2799" s="55" t="n"/>
      <c r="D2799" s="55" t="n"/>
      <c r="E2799" s="93" t="n"/>
      <c r="F2799" s="94" t="n"/>
      <c r="G2799" s="94" t="n"/>
      <c r="H2799" s="94" t="n"/>
      <c r="I2799" s="94" t="n"/>
      <c r="J2799" s="55" t="n"/>
      <c r="K2799" s="95" t="n"/>
      <c r="L2799" s="116">
        <f>IF($A2799="","",DATE(YEAR($A2799),MONTH($A2799)+IF(AND(IFERROR(N(INDEX(Übersicht!$M$15:$M$22,MATCH($B2799,Übersicht!$A$15:$A$22,0))),0)&gt;1,DAY($A2799)&gt;=IFERROR(N(INDEX(Übersicht!$M$15:$M$22,MATCH($B2799,Übersicht!$A$15:$A$22,0))),0)),1,0),1))</f>
        <v/>
      </c>
    </row>
    <row r="2800">
      <c r="A2800" s="92" t="n"/>
      <c r="B2800" s="55" t="n"/>
      <c r="C2800" s="55" t="n"/>
      <c r="D2800" s="55" t="n"/>
      <c r="E2800" s="93" t="n"/>
      <c r="F2800" s="94" t="n"/>
      <c r="G2800" s="94" t="n"/>
      <c r="H2800" s="94" t="n"/>
      <c r="I2800" s="94" t="n"/>
      <c r="J2800" s="55" t="n"/>
      <c r="K2800" s="95" t="n"/>
      <c r="L2800" s="116">
        <f>IF($A2800="","",DATE(YEAR($A2800),MONTH($A2800)+IF(AND(IFERROR(N(INDEX(Übersicht!$M$15:$M$22,MATCH($B2800,Übersicht!$A$15:$A$22,0))),0)&gt;1,DAY($A2800)&gt;=IFERROR(N(INDEX(Übersicht!$M$15:$M$22,MATCH($B2800,Übersicht!$A$15:$A$22,0))),0)),1,0),1))</f>
        <v/>
      </c>
    </row>
    <row r="2801">
      <c r="A2801" s="92" t="n"/>
      <c r="B2801" s="55" t="n"/>
      <c r="C2801" s="55" t="n"/>
      <c r="D2801" s="55" t="n"/>
      <c r="E2801" s="93" t="n"/>
      <c r="F2801" s="94" t="n"/>
      <c r="G2801" s="94" t="n"/>
      <c r="H2801" s="94" t="n"/>
      <c r="I2801" s="94" t="n"/>
      <c r="J2801" s="55" t="n"/>
      <c r="K2801" s="95" t="n"/>
      <c r="L2801" s="116">
        <f>IF($A2801="","",DATE(YEAR($A2801),MONTH($A2801)+IF(AND(IFERROR(N(INDEX(Übersicht!$M$15:$M$22,MATCH($B2801,Übersicht!$A$15:$A$22,0))),0)&gt;1,DAY($A2801)&gt;=IFERROR(N(INDEX(Übersicht!$M$15:$M$22,MATCH($B2801,Übersicht!$A$15:$A$22,0))),0)),1,0),1))</f>
        <v/>
      </c>
    </row>
    <row r="2802">
      <c r="A2802" s="92" t="n"/>
      <c r="B2802" s="55" t="n"/>
      <c r="C2802" s="55" t="n"/>
      <c r="D2802" s="55" t="n"/>
      <c r="E2802" s="93" t="n"/>
      <c r="F2802" s="94" t="n"/>
      <c r="G2802" s="94" t="n"/>
      <c r="H2802" s="94" t="n"/>
      <c r="I2802" s="94" t="n"/>
      <c r="J2802" s="55" t="n"/>
      <c r="K2802" s="95" t="n"/>
      <c r="L2802" s="116">
        <f>IF($A2802="","",DATE(YEAR($A2802),MONTH($A2802)+IF(AND(IFERROR(N(INDEX(Übersicht!$M$15:$M$22,MATCH($B2802,Übersicht!$A$15:$A$22,0))),0)&gt;1,DAY($A2802)&gt;=IFERROR(N(INDEX(Übersicht!$M$15:$M$22,MATCH($B2802,Übersicht!$A$15:$A$22,0))),0)),1,0),1))</f>
        <v/>
      </c>
    </row>
    <row r="2803">
      <c r="A2803" s="92" t="n"/>
      <c r="B2803" s="55" t="n"/>
      <c r="C2803" s="55" t="n"/>
      <c r="D2803" s="55" t="n"/>
      <c r="E2803" s="93" t="n"/>
      <c r="F2803" s="94" t="n"/>
      <c r="G2803" s="94" t="n"/>
      <c r="H2803" s="94" t="n"/>
      <c r="I2803" s="94" t="n"/>
      <c r="J2803" s="55" t="n"/>
      <c r="K2803" s="95" t="n"/>
      <c r="L2803" s="116">
        <f>IF($A2803="","",DATE(YEAR($A2803),MONTH($A2803)+IF(AND(IFERROR(N(INDEX(Übersicht!$M$15:$M$22,MATCH($B2803,Übersicht!$A$15:$A$22,0))),0)&gt;1,DAY($A2803)&gt;=IFERROR(N(INDEX(Übersicht!$M$15:$M$22,MATCH($B2803,Übersicht!$A$15:$A$22,0))),0)),1,0),1))</f>
        <v/>
      </c>
    </row>
    <row r="2804">
      <c r="A2804" s="92" t="n"/>
      <c r="B2804" s="55" t="n"/>
      <c r="C2804" s="55" t="n"/>
      <c r="D2804" s="55" t="n"/>
      <c r="E2804" s="93" t="n"/>
      <c r="F2804" s="94" t="n"/>
      <c r="G2804" s="94" t="n"/>
      <c r="H2804" s="94" t="n"/>
      <c r="I2804" s="94" t="n"/>
      <c r="J2804" s="55" t="n"/>
      <c r="K2804" s="95" t="n"/>
      <c r="L2804" s="116">
        <f>IF($A2804="","",DATE(YEAR($A2804),MONTH($A2804)+IF(AND(IFERROR(N(INDEX(Übersicht!$M$15:$M$22,MATCH($B2804,Übersicht!$A$15:$A$22,0))),0)&gt;1,DAY($A2804)&gt;=IFERROR(N(INDEX(Übersicht!$M$15:$M$22,MATCH($B2804,Übersicht!$A$15:$A$22,0))),0)),1,0),1))</f>
        <v/>
      </c>
    </row>
    <row r="2805">
      <c r="A2805" s="92" t="n"/>
      <c r="B2805" s="55" t="n"/>
      <c r="C2805" s="55" t="n"/>
      <c r="D2805" s="55" t="n"/>
      <c r="E2805" s="93" t="n"/>
      <c r="F2805" s="94" t="n"/>
      <c r="G2805" s="94" t="n"/>
      <c r="H2805" s="94" t="n"/>
      <c r="I2805" s="94" t="n"/>
      <c r="J2805" s="55" t="n"/>
      <c r="K2805" s="95" t="n"/>
      <c r="L2805" s="116">
        <f>IF($A2805="","",DATE(YEAR($A2805),MONTH($A2805)+IF(AND(IFERROR(N(INDEX(Übersicht!$M$15:$M$22,MATCH($B2805,Übersicht!$A$15:$A$22,0))),0)&gt;1,DAY($A2805)&gt;=IFERROR(N(INDEX(Übersicht!$M$15:$M$22,MATCH($B2805,Übersicht!$A$15:$A$22,0))),0)),1,0),1))</f>
        <v/>
      </c>
    </row>
    <row r="2806">
      <c r="A2806" s="92" t="n"/>
      <c r="B2806" s="55" t="n"/>
      <c r="C2806" s="55" t="n"/>
      <c r="D2806" s="55" t="n"/>
      <c r="E2806" s="93" t="n"/>
      <c r="F2806" s="94" t="n"/>
      <c r="G2806" s="94" t="n"/>
      <c r="H2806" s="94" t="n"/>
      <c r="I2806" s="94" t="n"/>
      <c r="J2806" s="55" t="n"/>
      <c r="K2806" s="95" t="n"/>
      <c r="L2806" s="116">
        <f>IF($A2806="","",DATE(YEAR($A2806),MONTH($A2806)+IF(AND(IFERROR(N(INDEX(Übersicht!$M$15:$M$22,MATCH($B2806,Übersicht!$A$15:$A$22,0))),0)&gt;1,DAY($A2806)&gt;=IFERROR(N(INDEX(Übersicht!$M$15:$M$22,MATCH($B2806,Übersicht!$A$15:$A$22,0))),0)),1,0),1))</f>
        <v/>
      </c>
    </row>
    <row r="2807">
      <c r="A2807" s="92" t="n"/>
      <c r="B2807" s="55" t="n"/>
      <c r="C2807" s="55" t="n"/>
      <c r="D2807" s="55" t="n"/>
      <c r="E2807" s="93" t="n"/>
      <c r="F2807" s="94" t="n"/>
      <c r="G2807" s="94" t="n"/>
      <c r="H2807" s="94" t="n"/>
      <c r="I2807" s="94" t="n"/>
      <c r="J2807" s="55" t="n"/>
      <c r="K2807" s="95" t="n"/>
      <c r="L2807" s="116">
        <f>IF($A2807="","",DATE(YEAR($A2807),MONTH($A2807)+IF(AND(IFERROR(N(INDEX(Übersicht!$M$15:$M$22,MATCH($B2807,Übersicht!$A$15:$A$22,0))),0)&gt;1,DAY($A2807)&gt;=IFERROR(N(INDEX(Übersicht!$M$15:$M$22,MATCH($B2807,Übersicht!$A$15:$A$22,0))),0)),1,0),1))</f>
        <v/>
      </c>
    </row>
    <row r="2808">
      <c r="A2808" s="92" t="n"/>
      <c r="B2808" s="55" t="n"/>
      <c r="C2808" s="55" t="n"/>
      <c r="D2808" s="55" t="n"/>
      <c r="E2808" s="93" t="n"/>
      <c r="F2808" s="94" t="n"/>
      <c r="G2808" s="94" t="n"/>
      <c r="H2808" s="94" t="n"/>
      <c r="I2808" s="94" t="n"/>
      <c r="J2808" s="55" t="n"/>
      <c r="K2808" s="95" t="n"/>
      <c r="L2808" s="116">
        <f>IF($A2808="","",DATE(YEAR($A2808),MONTH($A2808)+IF(AND(IFERROR(N(INDEX(Übersicht!$M$15:$M$22,MATCH($B2808,Übersicht!$A$15:$A$22,0))),0)&gt;1,DAY($A2808)&gt;=IFERROR(N(INDEX(Übersicht!$M$15:$M$22,MATCH($B2808,Übersicht!$A$15:$A$22,0))),0)),1,0),1))</f>
        <v/>
      </c>
    </row>
    <row r="2809">
      <c r="A2809" s="92" t="n"/>
      <c r="B2809" s="55" t="n"/>
      <c r="C2809" s="55" t="n"/>
      <c r="D2809" s="55" t="n"/>
      <c r="E2809" s="93" t="n"/>
      <c r="F2809" s="94" t="n"/>
      <c r="G2809" s="94" t="n"/>
      <c r="H2809" s="94" t="n"/>
      <c r="I2809" s="94" t="n"/>
      <c r="J2809" s="55" t="n"/>
      <c r="K2809" s="95" t="n"/>
      <c r="L2809" s="116">
        <f>IF($A2809="","",DATE(YEAR($A2809),MONTH($A2809)+IF(AND(IFERROR(N(INDEX(Übersicht!$M$15:$M$22,MATCH($B2809,Übersicht!$A$15:$A$22,0))),0)&gt;1,DAY($A2809)&gt;=IFERROR(N(INDEX(Übersicht!$M$15:$M$22,MATCH($B2809,Übersicht!$A$15:$A$22,0))),0)),1,0),1))</f>
        <v/>
      </c>
    </row>
    <row r="2810">
      <c r="A2810" s="92" t="n"/>
      <c r="B2810" s="55" t="n"/>
      <c r="C2810" s="55" t="n"/>
      <c r="D2810" s="55" t="n"/>
      <c r="E2810" s="93" t="n"/>
      <c r="F2810" s="94" t="n"/>
      <c r="G2810" s="94" t="n"/>
      <c r="H2810" s="94" t="n"/>
      <c r="I2810" s="94" t="n"/>
      <c r="J2810" s="55" t="n"/>
      <c r="K2810" s="95" t="n"/>
      <c r="L2810" s="116">
        <f>IF($A2810="","",DATE(YEAR($A2810),MONTH($A2810)+IF(AND(IFERROR(N(INDEX(Übersicht!$M$15:$M$22,MATCH($B2810,Übersicht!$A$15:$A$22,0))),0)&gt;1,DAY($A2810)&gt;=IFERROR(N(INDEX(Übersicht!$M$15:$M$22,MATCH($B2810,Übersicht!$A$15:$A$22,0))),0)),1,0),1))</f>
        <v/>
      </c>
    </row>
    <row r="2811">
      <c r="A2811" s="92" t="n"/>
      <c r="B2811" s="55" t="n"/>
      <c r="C2811" s="55" t="n"/>
      <c r="D2811" s="55" t="n"/>
      <c r="E2811" s="93" t="n"/>
      <c r="F2811" s="94" t="n"/>
      <c r="G2811" s="94" t="n"/>
      <c r="H2811" s="94" t="n"/>
      <c r="I2811" s="94" t="n"/>
      <c r="J2811" s="55" t="n"/>
      <c r="K2811" s="95" t="n"/>
      <c r="L2811" s="116">
        <f>IF($A2811="","",DATE(YEAR($A2811),MONTH($A2811)+IF(AND(IFERROR(N(INDEX(Übersicht!$M$15:$M$22,MATCH($B2811,Übersicht!$A$15:$A$22,0))),0)&gt;1,DAY($A2811)&gt;=IFERROR(N(INDEX(Übersicht!$M$15:$M$22,MATCH($B2811,Übersicht!$A$15:$A$22,0))),0)),1,0),1))</f>
        <v/>
      </c>
    </row>
    <row r="2812">
      <c r="A2812" s="92" t="n"/>
      <c r="B2812" s="55" t="n"/>
      <c r="C2812" s="55" t="n"/>
      <c r="D2812" s="55" t="n"/>
      <c r="E2812" s="93" t="n"/>
      <c r="F2812" s="94" t="n"/>
      <c r="G2812" s="94" t="n"/>
      <c r="H2812" s="94" t="n"/>
      <c r="I2812" s="94" t="n"/>
      <c r="J2812" s="55" t="n"/>
      <c r="K2812" s="95" t="n"/>
      <c r="L2812" s="116">
        <f>IF($A2812="","",DATE(YEAR($A2812),MONTH($A2812)+IF(AND(IFERROR(N(INDEX(Übersicht!$M$15:$M$22,MATCH($B2812,Übersicht!$A$15:$A$22,0))),0)&gt;1,DAY($A2812)&gt;=IFERROR(N(INDEX(Übersicht!$M$15:$M$22,MATCH($B2812,Übersicht!$A$15:$A$22,0))),0)),1,0),1))</f>
        <v/>
      </c>
    </row>
    <row r="2813">
      <c r="A2813" s="92" t="n"/>
      <c r="B2813" s="55" t="n"/>
      <c r="C2813" s="55" t="n"/>
      <c r="D2813" s="55" t="n"/>
      <c r="E2813" s="93" t="n"/>
      <c r="F2813" s="94" t="n"/>
      <c r="G2813" s="94" t="n"/>
      <c r="H2813" s="94" t="n"/>
      <c r="I2813" s="94" t="n"/>
      <c r="J2813" s="55" t="n"/>
      <c r="K2813" s="95" t="n"/>
      <c r="L2813" s="116">
        <f>IF($A2813="","",DATE(YEAR($A2813),MONTH($A2813)+IF(AND(IFERROR(N(INDEX(Übersicht!$M$15:$M$22,MATCH($B2813,Übersicht!$A$15:$A$22,0))),0)&gt;1,DAY($A2813)&gt;=IFERROR(N(INDEX(Übersicht!$M$15:$M$22,MATCH($B2813,Übersicht!$A$15:$A$22,0))),0)),1,0),1))</f>
        <v/>
      </c>
    </row>
    <row r="2814">
      <c r="A2814" s="92" t="n"/>
      <c r="B2814" s="55" t="n"/>
      <c r="C2814" s="55" t="n"/>
      <c r="D2814" s="55" t="n"/>
      <c r="E2814" s="93" t="n"/>
      <c r="F2814" s="94" t="n"/>
      <c r="G2814" s="94" t="n"/>
      <c r="H2814" s="94" t="n"/>
      <c r="I2814" s="94" t="n"/>
      <c r="J2814" s="55" t="n"/>
      <c r="K2814" s="95" t="n"/>
      <c r="L2814" s="116">
        <f>IF($A2814="","",DATE(YEAR($A2814),MONTH($A2814)+IF(AND(IFERROR(N(INDEX(Übersicht!$M$15:$M$22,MATCH($B2814,Übersicht!$A$15:$A$22,0))),0)&gt;1,DAY($A2814)&gt;=IFERROR(N(INDEX(Übersicht!$M$15:$M$22,MATCH($B2814,Übersicht!$A$15:$A$22,0))),0)),1,0),1))</f>
        <v/>
      </c>
    </row>
    <row r="2815">
      <c r="A2815" s="92" t="n"/>
      <c r="B2815" s="55" t="n"/>
      <c r="C2815" s="55" t="n"/>
      <c r="D2815" s="55" t="n"/>
      <c r="E2815" s="93" t="n"/>
      <c r="F2815" s="94" t="n"/>
      <c r="G2815" s="94" t="n"/>
      <c r="H2815" s="94" t="n"/>
      <c r="I2815" s="94" t="n"/>
      <c r="J2815" s="55" t="n"/>
      <c r="K2815" s="95" t="n"/>
      <c r="L2815" s="116">
        <f>IF($A2815="","",DATE(YEAR($A2815),MONTH($A2815)+IF(AND(IFERROR(N(INDEX(Übersicht!$M$15:$M$22,MATCH($B2815,Übersicht!$A$15:$A$22,0))),0)&gt;1,DAY($A2815)&gt;=IFERROR(N(INDEX(Übersicht!$M$15:$M$22,MATCH($B2815,Übersicht!$A$15:$A$22,0))),0)),1,0),1))</f>
        <v/>
      </c>
    </row>
    <row r="2816">
      <c r="A2816" s="92" t="n"/>
      <c r="B2816" s="55" t="n"/>
      <c r="C2816" s="55" t="n"/>
      <c r="D2816" s="55" t="n"/>
      <c r="E2816" s="93" t="n"/>
      <c r="F2816" s="94" t="n"/>
      <c r="G2816" s="94" t="n"/>
      <c r="H2816" s="94" t="n"/>
      <c r="I2816" s="94" t="n"/>
      <c r="J2816" s="55" t="n"/>
      <c r="K2816" s="95" t="n"/>
      <c r="L2816" s="116">
        <f>IF($A2816="","",DATE(YEAR($A2816),MONTH($A2816)+IF(AND(IFERROR(N(INDEX(Übersicht!$M$15:$M$22,MATCH($B2816,Übersicht!$A$15:$A$22,0))),0)&gt;1,DAY($A2816)&gt;=IFERROR(N(INDEX(Übersicht!$M$15:$M$22,MATCH($B2816,Übersicht!$A$15:$A$22,0))),0)),1,0),1))</f>
        <v/>
      </c>
    </row>
    <row r="2817">
      <c r="A2817" s="92" t="n"/>
      <c r="B2817" s="55" t="n"/>
      <c r="C2817" s="55" t="n"/>
      <c r="D2817" s="55" t="n"/>
      <c r="E2817" s="93" t="n"/>
      <c r="F2817" s="94" t="n"/>
      <c r="G2817" s="94" t="n"/>
      <c r="H2817" s="94" t="n"/>
      <c r="I2817" s="94" t="n"/>
      <c r="J2817" s="55" t="n"/>
      <c r="K2817" s="95" t="n"/>
      <c r="L2817" s="116">
        <f>IF($A2817="","",DATE(YEAR($A2817),MONTH($A2817)+IF(AND(IFERROR(N(INDEX(Übersicht!$M$15:$M$22,MATCH($B2817,Übersicht!$A$15:$A$22,0))),0)&gt;1,DAY($A2817)&gt;=IFERROR(N(INDEX(Übersicht!$M$15:$M$22,MATCH($B2817,Übersicht!$A$15:$A$22,0))),0)),1,0),1))</f>
        <v/>
      </c>
    </row>
    <row r="2818">
      <c r="A2818" s="92" t="n"/>
      <c r="B2818" s="55" t="n"/>
      <c r="C2818" s="55" t="n"/>
      <c r="D2818" s="55" t="n"/>
      <c r="E2818" s="93" t="n"/>
      <c r="F2818" s="94" t="n"/>
      <c r="G2818" s="94" t="n"/>
      <c r="H2818" s="94" t="n"/>
      <c r="I2818" s="94" t="n"/>
      <c r="J2818" s="55" t="n"/>
      <c r="K2818" s="95" t="n"/>
      <c r="L2818" s="116">
        <f>IF($A2818="","",DATE(YEAR($A2818),MONTH($A2818)+IF(AND(IFERROR(N(INDEX(Übersicht!$M$15:$M$22,MATCH($B2818,Übersicht!$A$15:$A$22,0))),0)&gt;1,DAY($A2818)&gt;=IFERROR(N(INDEX(Übersicht!$M$15:$M$22,MATCH($B2818,Übersicht!$A$15:$A$22,0))),0)),1,0),1))</f>
        <v/>
      </c>
    </row>
    <row r="2819">
      <c r="A2819" s="92" t="n"/>
      <c r="B2819" s="55" t="n"/>
      <c r="C2819" s="55" t="n"/>
      <c r="D2819" s="55" t="n"/>
      <c r="E2819" s="93" t="n"/>
      <c r="F2819" s="94" t="n"/>
      <c r="G2819" s="94" t="n"/>
      <c r="H2819" s="94" t="n"/>
      <c r="I2819" s="94" t="n"/>
      <c r="J2819" s="55" t="n"/>
      <c r="K2819" s="95" t="n"/>
      <c r="L2819" s="116">
        <f>IF($A2819="","",DATE(YEAR($A2819),MONTH($A2819)+IF(AND(IFERROR(N(INDEX(Übersicht!$M$15:$M$22,MATCH($B2819,Übersicht!$A$15:$A$22,0))),0)&gt;1,DAY($A2819)&gt;=IFERROR(N(INDEX(Übersicht!$M$15:$M$22,MATCH($B2819,Übersicht!$A$15:$A$22,0))),0)),1,0),1))</f>
        <v/>
      </c>
    </row>
    <row r="2820">
      <c r="A2820" s="92" t="n"/>
      <c r="B2820" s="55" t="n"/>
      <c r="C2820" s="55" t="n"/>
      <c r="D2820" s="55" t="n"/>
      <c r="E2820" s="93" t="n"/>
      <c r="F2820" s="94" t="n"/>
      <c r="G2820" s="94" t="n"/>
      <c r="H2820" s="94" t="n"/>
      <c r="I2820" s="94" t="n"/>
      <c r="J2820" s="55" t="n"/>
      <c r="K2820" s="95" t="n"/>
      <c r="L2820" s="116">
        <f>IF($A2820="","",DATE(YEAR($A2820),MONTH($A2820)+IF(AND(IFERROR(N(INDEX(Übersicht!$M$15:$M$22,MATCH($B2820,Übersicht!$A$15:$A$22,0))),0)&gt;1,DAY($A2820)&gt;=IFERROR(N(INDEX(Übersicht!$M$15:$M$22,MATCH($B2820,Übersicht!$A$15:$A$22,0))),0)),1,0),1))</f>
        <v/>
      </c>
    </row>
    <row r="2821">
      <c r="A2821" s="92" t="n"/>
      <c r="B2821" s="55" t="n"/>
      <c r="C2821" s="55" t="n"/>
      <c r="D2821" s="55" t="n"/>
      <c r="E2821" s="93" t="n"/>
      <c r="F2821" s="94" t="n"/>
      <c r="G2821" s="94" t="n"/>
      <c r="H2821" s="94" t="n"/>
      <c r="I2821" s="94" t="n"/>
      <c r="J2821" s="55" t="n"/>
      <c r="K2821" s="95" t="n"/>
      <c r="L2821" s="116">
        <f>IF($A2821="","",DATE(YEAR($A2821),MONTH($A2821)+IF(AND(IFERROR(N(INDEX(Übersicht!$M$15:$M$22,MATCH($B2821,Übersicht!$A$15:$A$22,0))),0)&gt;1,DAY($A2821)&gt;=IFERROR(N(INDEX(Übersicht!$M$15:$M$22,MATCH($B2821,Übersicht!$A$15:$A$22,0))),0)),1,0),1))</f>
        <v/>
      </c>
    </row>
    <row r="2822">
      <c r="A2822" s="92" t="n"/>
      <c r="B2822" s="55" t="n"/>
      <c r="C2822" s="55" t="n"/>
      <c r="D2822" s="55" t="n"/>
      <c r="E2822" s="93" t="n"/>
      <c r="F2822" s="94" t="n"/>
      <c r="G2822" s="94" t="n"/>
      <c r="H2822" s="94" t="n"/>
      <c r="I2822" s="94" t="n"/>
      <c r="J2822" s="55" t="n"/>
      <c r="K2822" s="95" t="n"/>
      <c r="L2822" s="116">
        <f>IF($A2822="","",DATE(YEAR($A2822),MONTH($A2822)+IF(AND(IFERROR(N(INDEX(Übersicht!$M$15:$M$22,MATCH($B2822,Übersicht!$A$15:$A$22,0))),0)&gt;1,DAY($A2822)&gt;=IFERROR(N(INDEX(Übersicht!$M$15:$M$22,MATCH($B2822,Übersicht!$A$15:$A$22,0))),0)),1,0),1))</f>
        <v/>
      </c>
    </row>
    <row r="2823">
      <c r="A2823" s="92" t="n"/>
      <c r="B2823" s="55" t="n"/>
      <c r="C2823" s="55" t="n"/>
      <c r="D2823" s="55" t="n"/>
      <c r="E2823" s="93" t="n"/>
      <c r="F2823" s="94" t="n"/>
      <c r="G2823" s="94" t="n"/>
      <c r="H2823" s="94" t="n"/>
      <c r="I2823" s="94" t="n"/>
      <c r="J2823" s="55" t="n"/>
      <c r="K2823" s="95" t="n"/>
      <c r="L2823" s="116">
        <f>IF($A2823="","",DATE(YEAR($A2823),MONTH($A2823)+IF(AND(IFERROR(N(INDEX(Übersicht!$M$15:$M$22,MATCH($B2823,Übersicht!$A$15:$A$22,0))),0)&gt;1,DAY($A2823)&gt;=IFERROR(N(INDEX(Übersicht!$M$15:$M$22,MATCH($B2823,Übersicht!$A$15:$A$22,0))),0)),1,0),1))</f>
        <v/>
      </c>
    </row>
    <row r="2824">
      <c r="A2824" s="92" t="n"/>
      <c r="B2824" s="55" t="n"/>
      <c r="C2824" s="55" t="n"/>
      <c r="D2824" s="55" t="n"/>
      <c r="E2824" s="93" t="n"/>
      <c r="F2824" s="94" t="n"/>
      <c r="G2824" s="94" t="n"/>
      <c r="H2824" s="94" t="n"/>
      <c r="I2824" s="94" t="n"/>
      <c r="J2824" s="55" t="n"/>
      <c r="K2824" s="95" t="n"/>
      <c r="L2824" s="116">
        <f>IF($A2824="","",DATE(YEAR($A2824),MONTH($A2824)+IF(AND(IFERROR(N(INDEX(Übersicht!$M$15:$M$22,MATCH($B2824,Übersicht!$A$15:$A$22,0))),0)&gt;1,DAY($A2824)&gt;=IFERROR(N(INDEX(Übersicht!$M$15:$M$22,MATCH($B2824,Übersicht!$A$15:$A$22,0))),0)),1,0),1))</f>
        <v/>
      </c>
    </row>
    <row r="2825">
      <c r="A2825" s="92" t="n"/>
      <c r="B2825" s="55" t="n"/>
      <c r="C2825" s="55" t="n"/>
      <c r="D2825" s="55" t="n"/>
      <c r="E2825" s="93" t="n"/>
      <c r="F2825" s="94" t="n"/>
      <c r="G2825" s="94" t="n"/>
      <c r="H2825" s="94" t="n"/>
      <c r="I2825" s="94" t="n"/>
      <c r="J2825" s="55" t="n"/>
      <c r="K2825" s="95" t="n"/>
      <c r="L2825" s="116">
        <f>IF($A2825="","",DATE(YEAR($A2825),MONTH($A2825)+IF(AND(IFERROR(N(INDEX(Übersicht!$M$15:$M$22,MATCH($B2825,Übersicht!$A$15:$A$22,0))),0)&gt;1,DAY($A2825)&gt;=IFERROR(N(INDEX(Übersicht!$M$15:$M$22,MATCH($B2825,Übersicht!$A$15:$A$22,0))),0)),1,0),1))</f>
        <v/>
      </c>
    </row>
    <row r="2826">
      <c r="A2826" s="92" t="n"/>
      <c r="B2826" s="55" t="n"/>
      <c r="C2826" s="55" t="n"/>
      <c r="D2826" s="55" t="n"/>
      <c r="E2826" s="93" t="n"/>
      <c r="F2826" s="94" t="n"/>
      <c r="G2826" s="94" t="n"/>
      <c r="H2826" s="94" t="n"/>
      <c r="I2826" s="94" t="n"/>
      <c r="J2826" s="55" t="n"/>
      <c r="K2826" s="95" t="n"/>
      <c r="L2826" s="116">
        <f>IF($A2826="","",DATE(YEAR($A2826),MONTH($A2826)+IF(AND(IFERROR(N(INDEX(Übersicht!$M$15:$M$22,MATCH($B2826,Übersicht!$A$15:$A$22,0))),0)&gt;1,DAY($A2826)&gt;=IFERROR(N(INDEX(Übersicht!$M$15:$M$22,MATCH($B2826,Übersicht!$A$15:$A$22,0))),0)),1,0),1))</f>
        <v/>
      </c>
    </row>
    <row r="2827">
      <c r="A2827" s="92" t="n"/>
      <c r="B2827" s="55" t="n"/>
      <c r="C2827" s="55" t="n"/>
      <c r="D2827" s="55" t="n"/>
      <c r="E2827" s="93" t="n"/>
      <c r="F2827" s="94" t="n"/>
      <c r="G2827" s="94" t="n"/>
      <c r="H2827" s="94" t="n"/>
      <c r="I2827" s="94" t="n"/>
      <c r="J2827" s="55" t="n"/>
      <c r="K2827" s="95" t="n"/>
      <c r="L2827" s="116">
        <f>IF($A2827="","",DATE(YEAR($A2827),MONTH($A2827)+IF(AND(IFERROR(N(INDEX(Übersicht!$M$15:$M$22,MATCH($B2827,Übersicht!$A$15:$A$22,0))),0)&gt;1,DAY($A2827)&gt;=IFERROR(N(INDEX(Übersicht!$M$15:$M$22,MATCH($B2827,Übersicht!$A$15:$A$22,0))),0)),1,0),1))</f>
        <v/>
      </c>
    </row>
    <row r="2828">
      <c r="A2828" s="92" t="n"/>
      <c r="B2828" s="55" t="n"/>
      <c r="C2828" s="55" t="n"/>
      <c r="D2828" s="55" t="n"/>
      <c r="E2828" s="93" t="n"/>
      <c r="F2828" s="94" t="n"/>
      <c r="G2828" s="94" t="n"/>
      <c r="H2828" s="94" t="n"/>
      <c r="I2828" s="94" t="n"/>
      <c r="J2828" s="55" t="n"/>
      <c r="K2828" s="95" t="n"/>
      <c r="L2828" s="116">
        <f>IF($A2828="","",DATE(YEAR($A2828),MONTH($A2828)+IF(AND(IFERROR(N(INDEX(Übersicht!$M$15:$M$22,MATCH($B2828,Übersicht!$A$15:$A$22,0))),0)&gt;1,DAY($A2828)&gt;=IFERROR(N(INDEX(Übersicht!$M$15:$M$22,MATCH($B2828,Übersicht!$A$15:$A$22,0))),0)),1,0),1))</f>
        <v/>
      </c>
    </row>
    <row r="2829">
      <c r="A2829" s="92" t="n"/>
      <c r="B2829" s="55" t="n"/>
      <c r="C2829" s="55" t="n"/>
      <c r="D2829" s="55" t="n"/>
      <c r="E2829" s="93" t="n"/>
      <c r="F2829" s="94" t="n"/>
      <c r="G2829" s="94" t="n"/>
      <c r="H2829" s="94" t="n"/>
      <c r="I2829" s="94" t="n"/>
      <c r="J2829" s="55" t="n"/>
      <c r="K2829" s="95" t="n"/>
      <c r="L2829" s="116">
        <f>IF($A2829="","",DATE(YEAR($A2829),MONTH($A2829)+IF(AND(IFERROR(N(INDEX(Übersicht!$M$15:$M$22,MATCH($B2829,Übersicht!$A$15:$A$22,0))),0)&gt;1,DAY($A2829)&gt;=IFERROR(N(INDEX(Übersicht!$M$15:$M$22,MATCH($B2829,Übersicht!$A$15:$A$22,0))),0)),1,0),1))</f>
        <v/>
      </c>
    </row>
    <row r="2830">
      <c r="A2830" s="92" t="n"/>
      <c r="B2830" s="55" t="n"/>
      <c r="C2830" s="55" t="n"/>
      <c r="D2830" s="55" t="n"/>
      <c r="E2830" s="93" t="n"/>
      <c r="F2830" s="94" t="n"/>
      <c r="G2830" s="94" t="n"/>
      <c r="H2830" s="94" t="n"/>
      <c r="I2830" s="94" t="n"/>
      <c r="J2830" s="55" t="n"/>
      <c r="K2830" s="95" t="n"/>
      <c r="L2830" s="116">
        <f>IF($A2830="","",DATE(YEAR($A2830),MONTH($A2830)+IF(AND(IFERROR(N(INDEX(Übersicht!$M$15:$M$22,MATCH($B2830,Übersicht!$A$15:$A$22,0))),0)&gt;1,DAY($A2830)&gt;=IFERROR(N(INDEX(Übersicht!$M$15:$M$22,MATCH($B2830,Übersicht!$A$15:$A$22,0))),0)),1,0),1))</f>
        <v/>
      </c>
    </row>
    <row r="2831">
      <c r="A2831" s="92" t="n"/>
      <c r="B2831" s="55" t="n"/>
      <c r="C2831" s="55" t="n"/>
      <c r="D2831" s="55" t="n"/>
      <c r="E2831" s="93" t="n"/>
      <c r="F2831" s="94" t="n"/>
      <c r="G2831" s="94" t="n"/>
      <c r="H2831" s="94" t="n"/>
      <c r="I2831" s="94" t="n"/>
      <c r="J2831" s="55" t="n"/>
      <c r="K2831" s="95" t="n"/>
      <c r="L2831" s="116">
        <f>IF($A2831="","",DATE(YEAR($A2831),MONTH($A2831)+IF(AND(IFERROR(N(INDEX(Übersicht!$M$15:$M$22,MATCH($B2831,Übersicht!$A$15:$A$22,0))),0)&gt;1,DAY($A2831)&gt;=IFERROR(N(INDEX(Übersicht!$M$15:$M$22,MATCH($B2831,Übersicht!$A$15:$A$22,0))),0)),1,0),1))</f>
        <v/>
      </c>
    </row>
    <row r="2832">
      <c r="A2832" s="92" t="n"/>
      <c r="B2832" s="55" t="n"/>
      <c r="C2832" s="55" t="n"/>
      <c r="D2832" s="55" t="n"/>
      <c r="E2832" s="93" t="n"/>
      <c r="F2832" s="94" t="n"/>
      <c r="G2832" s="94" t="n"/>
      <c r="H2832" s="94" t="n"/>
      <c r="I2832" s="94" t="n"/>
      <c r="J2832" s="55" t="n"/>
      <c r="K2832" s="95" t="n"/>
      <c r="L2832" s="116">
        <f>IF($A2832="","",DATE(YEAR($A2832),MONTH($A2832)+IF(AND(IFERROR(N(INDEX(Übersicht!$M$15:$M$22,MATCH($B2832,Übersicht!$A$15:$A$22,0))),0)&gt;1,DAY($A2832)&gt;=IFERROR(N(INDEX(Übersicht!$M$15:$M$22,MATCH($B2832,Übersicht!$A$15:$A$22,0))),0)),1,0),1))</f>
        <v/>
      </c>
    </row>
    <row r="2833">
      <c r="A2833" s="92" t="n"/>
      <c r="B2833" s="55" t="n"/>
      <c r="C2833" s="55" t="n"/>
      <c r="D2833" s="55" t="n"/>
      <c r="E2833" s="93" t="n"/>
      <c r="F2833" s="94" t="n"/>
      <c r="G2833" s="94" t="n"/>
      <c r="H2833" s="94" t="n"/>
      <c r="I2833" s="94" t="n"/>
      <c r="J2833" s="55" t="n"/>
      <c r="K2833" s="95" t="n"/>
      <c r="L2833" s="116">
        <f>IF($A2833="","",DATE(YEAR($A2833),MONTH($A2833)+IF(AND(IFERROR(N(INDEX(Übersicht!$M$15:$M$22,MATCH($B2833,Übersicht!$A$15:$A$22,0))),0)&gt;1,DAY($A2833)&gt;=IFERROR(N(INDEX(Übersicht!$M$15:$M$22,MATCH($B2833,Übersicht!$A$15:$A$22,0))),0)),1,0),1))</f>
        <v/>
      </c>
    </row>
    <row r="2834">
      <c r="A2834" s="92" t="n"/>
      <c r="B2834" s="55" t="n"/>
      <c r="C2834" s="55" t="n"/>
      <c r="D2834" s="55" t="n"/>
      <c r="E2834" s="93" t="n"/>
      <c r="F2834" s="94" t="n"/>
      <c r="G2834" s="94" t="n"/>
      <c r="H2834" s="94" t="n"/>
      <c r="I2834" s="94" t="n"/>
      <c r="J2834" s="55" t="n"/>
      <c r="K2834" s="95" t="n"/>
      <c r="L2834" s="116">
        <f>IF($A2834="","",DATE(YEAR($A2834),MONTH($A2834)+IF(AND(IFERROR(N(INDEX(Übersicht!$M$15:$M$22,MATCH($B2834,Übersicht!$A$15:$A$22,0))),0)&gt;1,DAY($A2834)&gt;=IFERROR(N(INDEX(Übersicht!$M$15:$M$22,MATCH($B2834,Übersicht!$A$15:$A$22,0))),0)),1,0),1))</f>
        <v/>
      </c>
    </row>
    <row r="2835">
      <c r="A2835" s="92" t="n"/>
      <c r="B2835" s="55" t="n"/>
      <c r="C2835" s="55" t="n"/>
      <c r="D2835" s="55" t="n"/>
      <c r="E2835" s="93" t="n"/>
      <c r="F2835" s="94" t="n"/>
      <c r="G2835" s="94" t="n"/>
      <c r="H2835" s="94" t="n"/>
      <c r="I2835" s="94" t="n"/>
      <c r="J2835" s="55" t="n"/>
      <c r="K2835" s="95" t="n"/>
      <c r="L2835" s="116">
        <f>IF($A2835="","",DATE(YEAR($A2835),MONTH($A2835)+IF(AND(IFERROR(N(INDEX(Übersicht!$M$15:$M$22,MATCH($B2835,Übersicht!$A$15:$A$22,0))),0)&gt;1,DAY($A2835)&gt;=IFERROR(N(INDEX(Übersicht!$M$15:$M$22,MATCH($B2835,Übersicht!$A$15:$A$22,0))),0)),1,0),1))</f>
        <v/>
      </c>
    </row>
    <row r="2836">
      <c r="A2836" s="92" t="n"/>
      <c r="B2836" s="55" t="n"/>
      <c r="C2836" s="55" t="n"/>
      <c r="D2836" s="55" t="n"/>
      <c r="E2836" s="93" t="n"/>
      <c r="F2836" s="94" t="n"/>
      <c r="G2836" s="94" t="n"/>
      <c r="H2836" s="94" t="n"/>
      <c r="I2836" s="94" t="n"/>
      <c r="J2836" s="55" t="n"/>
      <c r="K2836" s="95" t="n"/>
      <c r="L2836" s="116">
        <f>IF($A2836="","",DATE(YEAR($A2836),MONTH($A2836)+IF(AND(IFERROR(N(INDEX(Übersicht!$M$15:$M$22,MATCH($B2836,Übersicht!$A$15:$A$22,0))),0)&gt;1,DAY($A2836)&gt;=IFERROR(N(INDEX(Übersicht!$M$15:$M$22,MATCH($B2836,Übersicht!$A$15:$A$22,0))),0)),1,0),1))</f>
        <v/>
      </c>
    </row>
    <row r="2837">
      <c r="A2837" s="92" t="n"/>
      <c r="B2837" s="55" t="n"/>
      <c r="C2837" s="55" t="n"/>
      <c r="D2837" s="55" t="n"/>
      <c r="E2837" s="93" t="n"/>
      <c r="F2837" s="94" t="n"/>
      <c r="G2837" s="94" t="n"/>
      <c r="H2837" s="94" t="n"/>
      <c r="I2837" s="94" t="n"/>
      <c r="J2837" s="55" t="n"/>
      <c r="K2837" s="95" t="n"/>
      <c r="L2837" s="116">
        <f>IF($A2837="","",DATE(YEAR($A2837),MONTH($A2837)+IF(AND(IFERROR(N(INDEX(Übersicht!$M$15:$M$22,MATCH($B2837,Übersicht!$A$15:$A$22,0))),0)&gt;1,DAY($A2837)&gt;=IFERROR(N(INDEX(Übersicht!$M$15:$M$22,MATCH($B2837,Übersicht!$A$15:$A$22,0))),0)),1,0),1))</f>
        <v/>
      </c>
    </row>
    <row r="2838">
      <c r="A2838" s="92" t="n"/>
      <c r="B2838" s="55" t="n"/>
      <c r="C2838" s="55" t="n"/>
      <c r="D2838" s="55" t="n"/>
      <c r="E2838" s="93" t="n"/>
      <c r="F2838" s="94" t="n"/>
      <c r="G2838" s="94" t="n"/>
      <c r="H2838" s="94" t="n"/>
      <c r="I2838" s="94" t="n"/>
      <c r="J2838" s="55" t="n"/>
      <c r="K2838" s="95" t="n"/>
      <c r="L2838" s="116">
        <f>IF($A2838="","",DATE(YEAR($A2838),MONTH($A2838)+IF(AND(IFERROR(N(INDEX(Übersicht!$M$15:$M$22,MATCH($B2838,Übersicht!$A$15:$A$22,0))),0)&gt;1,DAY($A2838)&gt;=IFERROR(N(INDEX(Übersicht!$M$15:$M$22,MATCH($B2838,Übersicht!$A$15:$A$22,0))),0)),1,0),1))</f>
        <v/>
      </c>
    </row>
    <row r="2839">
      <c r="A2839" s="92" t="n"/>
      <c r="B2839" s="55" t="n"/>
      <c r="C2839" s="55" t="n"/>
      <c r="D2839" s="55" t="n"/>
      <c r="E2839" s="93" t="n"/>
      <c r="F2839" s="94" t="n"/>
      <c r="G2839" s="94" t="n"/>
      <c r="H2839" s="94" t="n"/>
      <c r="I2839" s="94" t="n"/>
      <c r="J2839" s="55" t="n"/>
      <c r="K2839" s="95" t="n"/>
      <c r="L2839" s="116">
        <f>IF($A2839="","",DATE(YEAR($A2839),MONTH($A2839)+IF(AND(IFERROR(N(INDEX(Übersicht!$M$15:$M$22,MATCH($B2839,Übersicht!$A$15:$A$22,0))),0)&gt;1,DAY($A2839)&gt;=IFERROR(N(INDEX(Übersicht!$M$15:$M$22,MATCH($B2839,Übersicht!$A$15:$A$22,0))),0)),1,0),1))</f>
        <v/>
      </c>
    </row>
    <row r="2840">
      <c r="A2840" s="92" t="n"/>
      <c r="B2840" s="55" t="n"/>
      <c r="C2840" s="55" t="n"/>
      <c r="D2840" s="55" t="n"/>
      <c r="E2840" s="93" t="n"/>
      <c r="F2840" s="94" t="n"/>
      <c r="G2840" s="94" t="n"/>
      <c r="H2840" s="94" t="n"/>
      <c r="I2840" s="94" t="n"/>
      <c r="J2840" s="55" t="n"/>
      <c r="K2840" s="95" t="n"/>
      <c r="L2840" s="116">
        <f>IF($A2840="","",DATE(YEAR($A2840),MONTH($A2840)+IF(AND(IFERROR(N(INDEX(Übersicht!$M$15:$M$22,MATCH($B2840,Übersicht!$A$15:$A$22,0))),0)&gt;1,DAY($A2840)&gt;=IFERROR(N(INDEX(Übersicht!$M$15:$M$22,MATCH($B2840,Übersicht!$A$15:$A$22,0))),0)),1,0),1))</f>
        <v/>
      </c>
    </row>
    <row r="2841">
      <c r="A2841" s="92" t="n"/>
      <c r="B2841" s="55" t="n"/>
      <c r="C2841" s="55" t="n"/>
      <c r="D2841" s="55" t="n"/>
      <c r="E2841" s="93" t="n"/>
      <c r="F2841" s="94" t="n"/>
      <c r="G2841" s="94" t="n"/>
      <c r="H2841" s="94" t="n"/>
      <c r="I2841" s="94" t="n"/>
      <c r="J2841" s="55" t="n"/>
      <c r="K2841" s="95" t="n"/>
      <c r="L2841" s="116">
        <f>IF($A2841="","",DATE(YEAR($A2841),MONTH($A2841)+IF(AND(IFERROR(N(INDEX(Übersicht!$M$15:$M$22,MATCH($B2841,Übersicht!$A$15:$A$22,0))),0)&gt;1,DAY($A2841)&gt;=IFERROR(N(INDEX(Übersicht!$M$15:$M$22,MATCH($B2841,Übersicht!$A$15:$A$22,0))),0)),1,0),1))</f>
        <v/>
      </c>
    </row>
    <row r="2842">
      <c r="A2842" s="92" t="n"/>
      <c r="B2842" s="55" t="n"/>
      <c r="C2842" s="55" t="n"/>
      <c r="D2842" s="55" t="n"/>
      <c r="E2842" s="93" t="n"/>
      <c r="F2842" s="94" t="n"/>
      <c r="G2842" s="94" t="n"/>
      <c r="H2842" s="94" t="n"/>
      <c r="I2842" s="94" t="n"/>
      <c r="J2842" s="55" t="n"/>
      <c r="K2842" s="95" t="n"/>
      <c r="L2842" s="116">
        <f>IF($A2842="","",DATE(YEAR($A2842),MONTH($A2842)+IF(AND(IFERROR(N(INDEX(Übersicht!$M$15:$M$22,MATCH($B2842,Übersicht!$A$15:$A$22,0))),0)&gt;1,DAY($A2842)&gt;=IFERROR(N(INDEX(Übersicht!$M$15:$M$22,MATCH($B2842,Übersicht!$A$15:$A$22,0))),0)),1,0),1))</f>
        <v/>
      </c>
    </row>
    <row r="2843">
      <c r="A2843" s="92" t="n"/>
      <c r="B2843" s="55" t="n"/>
      <c r="C2843" s="55" t="n"/>
      <c r="D2843" s="55" t="n"/>
      <c r="E2843" s="93" t="n"/>
      <c r="F2843" s="94" t="n"/>
      <c r="G2843" s="94" t="n"/>
      <c r="H2843" s="94" t="n"/>
      <c r="I2843" s="94" t="n"/>
      <c r="J2843" s="55" t="n"/>
      <c r="K2843" s="95" t="n"/>
      <c r="L2843" s="116">
        <f>IF($A2843="","",DATE(YEAR($A2843),MONTH($A2843)+IF(AND(IFERROR(N(INDEX(Übersicht!$M$15:$M$22,MATCH($B2843,Übersicht!$A$15:$A$22,0))),0)&gt;1,DAY($A2843)&gt;=IFERROR(N(INDEX(Übersicht!$M$15:$M$22,MATCH($B2843,Übersicht!$A$15:$A$22,0))),0)),1,0),1))</f>
        <v/>
      </c>
    </row>
    <row r="2844">
      <c r="A2844" s="92" t="n"/>
      <c r="B2844" s="55" t="n"/>
      <c r="C2844" s="55" t="n"/>
      <c r="D2844" s="55" t="n"/>
      <c r="E2844" s="93" t="n"/>
      <c r="F2844" s="94" t="n"/>
      <c r="G2844" s="94" t="n"/>
      <c r="H2844" s="94" t="n"/>
      <c r="I2844" s="94" t="n"/>
      <c r="J2844" s="55" t="n"/>
      <c r="K2844" s="95" t="n"/>
      <c r="L2844" s="116">
        <f>IF($A2844="","",DATE(YEAR($A2844),MONTH($A2844)+IF(AND(IFERROR(N(INDEX(Übersicht!$M$15:$M$22,MATCH($B2844,Übersicht!$A$15:$A$22,0))),0)&gt;1,DAY($A2844)&gt;=IFERROR(N(INDEX(Übersicht!$M$15:$M$22,MATCH($B2844,Übersicht!$A$15:$A$22,0))),0)),1,0),1))</f>
        <v/>
      </c>
    </row>
    <row r="2845">
      <c r="A2845" s="92" t="n"/>
      <c r="B2845" s="55" t="n"/>
      <c r="C2845" s="55" t="n"/>
      <c r="D2845" s="55" t="n"/>
      <c r="E2845" s="93" t="n"/>
      <c r="F2845" s="94" t="n"/>
      <c r="G2845" s="94" t="n"/>
      <c r="H2845" s="94" t="n"/>
      <c r="I2845" s="94" t="n"/>
      <c r="J2845" s="55" t="n"/>
      <c r="K2845" s="95" t="n"/>
      <c r="L2845" s="116">
        <f>IF($A2845="","",DATE(YEAR($A2845),MONTH($A2845)+IF(AND(IFERROR(N(INDEX(Übersicht!$M$15:$M$22,MATCH($B2845,Übersicht!$A$15:$A$22,0))),0)&gt;1,DAY($A2845)&gt;=IFERROR(N(INDEX(Übersicht!$M$15:$M$22,MATCH($B2845,Übersicht!$A$15:$A$22,0))),0)),1,0),1))</f>
        <v/>
      </c>
    </row>
    <row r="2846">
      <c r="A2846" s="92" t="n"/>
      <c r="B2846" s="55" t="n"/>
      <c r="C2846" s="55" t="n"/>
      <c r="D2846" s="55" t="n"/>
      <c r="E2846" s="93" t="n"/>
      <c r="F2846" s="94" t="n"/>
      <c r="G2846" s="94" t="n"/>
      <c r="H2846" s="94" t="n"/>
      <c r="I2846" s="94" t="n"/>
      <c r="J2846" s="55" t="n"/>
      <c r="K2846" s="95" t="n"/>
      <c r="L2846" s="116">
        <f>IF($A2846="","",DATE(YEAR($A2846),MONTH($A2846)+IF(AND(IFERROR(N(INDEX(Übersicht!$M$15:$M$22,MATCH($B2846,Übersicht!$A$15:$A$22,0))),0)&gt;1,DAY($A2846)&gt;=IFERROR(N(INDEX(Übersicht!$M$15:$M$22,MATCH($B2846,Übersicht!$A$15:$A$22,0))),0)),1,0),1))</f>
        <v/>
      </c>
    </row>
    <row r="2847">
      <c r="A2847" s="92" t="n"/>
      <c r="B2847" s="55" t="n"/>
      <c r="C2847" s="55" t="n"/>
      <c r="D2847" s="55" t="n"/>
      <c r="E2847" s="93" t="n"/>
      <c r="F2847" s="94" t="n"/>
      <c r="G2847" s="94" t="n"/>
      <c r="H2847" s="94" t="n"/>
      <c r="I2847" s="94" t="n"/>
      <c r="J2847" s="55" t="n"/>
      <c r="K2847" s="95" t="n"/>
      <c r="L2847" s="116">
        <f>IF($A2847="","",DATE(YEAR($A2847),MONTH($A2847)+IF(AND(IFERROR(N(INDEX(Übersicht!$M$15:$M$22,MATCH($B2847,Übersicht!$A$15:$A$22,0))),0)&gt;1,DAY($A2847)&gt;=IFERROR(N(INDEX(Übersicht!$M$15:$M$22,MATCH($B2847,Übersicht!$A$15:$A$22,0))),0)),1,0),1))</f>
        <v/>
      </c>
    </row>
    <row r="2848">
      <c r="A2848" s="92" t="n"/>
      <c r="B2848" s="55" t="n"/>
      <c r="C2848" s="55" t="n"/>
      <c r="D2848" s="55" t="n"/>
      <c r="E2848" s="93" t="n"/>
      <c r="F2848" s="94" t="n"/>
      <c r="G2848" s="94" t="n"/>
      <c r="H2848" s="94" t="n"/>
      <c r="I2848" s="94" t="n"/>
      <c r="J2848" s="55" t="n"/>
      <c r="K2848" s="95" t="n"/>
      <c r="L2848" s="116">
        <f>IF($A2848="","",DATE(YEAR($A2848),MONTH($A2848)+IF(AND(IFERROR(N(INDEX(Übersicht!$M$15:$M$22,MATCH($B2848,Übersicht!$A$15:$A$22,0))),0)&gt;1,DAY($A2848)&gt;=IFERROR(N(INDEX(Übersicht!$M$15:$M$22,MATCH($B2848,Übersicht!$A$15:$A$22,0))),0)),1,0),1))</f>
        <v/>
      </c>
    </row>
    <row r="2849">
      <c r="A2849" s="92" t="n"/>
      <c r="B2849" s="55" t="n"/>
      <c r="C2849" s="55" t="n"/>
      <c r="D2849" s="55" t="n"/>
      <c r="E2849" s="93" t="n"/>
      <c r="F2849" s="94" t="n"/>
      <c r="G2849" s="94" t="n"/>
      <c r="H2849" s="94" t="n"/>
      <c r="I2849" s="94" t="n"/>
      <c r="J2849" s="55" t="n"/>
      <c r="K2849" s="95" t="n"/>
      <c r="L2849" s="116">
        <f>IF($A2849="","",DATE(YEAR($A2849),MONTH($A2849)+IF(AND(IFERROR(N(INDEX(Übersicht!$M$15:$M$22,MATCH($B2849,Übersicht!$A$15:$A$22,0))),0)&gt;1,DAY($A2849)&gt;=IFERROR(N(INDEX(Übersicht!$M$15:$M$22,MATCH($B2849,Übersicht!$A$15:$A$22,0))),0)),1,0),1))</f>
        <v/>
      </c>
    </row>
    <row r="2850">
      <c r="A2850" s="92" t="n"/>
      <c r="B2850" s="55" t="n"/>
      <c r="C2850" s="55" t="n"/>
      <c r="D2850" s="55" t="n"/>
      <c r="E2850" s="93" t="n"/>
      <c r="F2850" s="94" t="n"/>
      <c r="G2850" s="94" t="n"/>
      <c r="H2850" s="94" t="n"/>
      <c r="I2850" s="94" t="n"/>
      <c r="J2850" s="55" t="n"/>
      <c r="K2850" s="95" t="n"/>
      <c r="L2850" s="116">
        <f>IF($A2850="","",DATE(YEAR($A2850),MONTH($A2850)+IF(AND(IFERROR(N(INDEX(Übersicht!$M$15:$M$22,MATCH($B2850,Übersicht!$A$15:$A$22,0))),0)&gt;1,DAY($A2850)&gt;=IFERROR(N(INDEX(Übersicht!$M$15:$M$22,MATCH($B2850,Übersicht!$A$15:$A$22,0))),0)),1,0),1))</f>
        <v/>
      </c>
    </row>
    <row r="2851">
      <c r="A2851" s="92" t="n"/>
      <c r="B2851" s="55" t="n"/>
      <c r="C2851" s="55" t="n"/>
      <c r="D2851" s="55" t="n"/>
      <c r="E2851" s="93" t="n"/>
      <c r="F2851" s="94" t="n"/>
      <c r="G2851" s="94" t="n"/>
      <c r="H2851" s="94" t="n"/>
      <c r="I2851" s="94" t="n"/>
      <c r="J2851" s="55" t="n"/>
      <c r="K2851" s="95" t="n"/>
      <c r="L2851" s="116">
        <f>IF($A2851="","",DATE(YEAR($A2851),MONTH($A2851)+IF(AND(IFERROR(N(INDEX(Übersicht!$M$15:$M$22,MATCH($B2851,Übersicht!$A$15:$A$22,0))),0)&gt;1,DAY($A2851)&gt;=IFERROR(N(INDEX(Übersicht!$M$15:$M$22,MATCH($B2851,Übersicht!$A$15:$A$22,0))),0)),1,0),1))</f>
        <v/>
      </c>
    </row>
    <row r="2852">
      <c r="A2852" s="92" t="n"/>
      <c r="B2852" s="55" t="n"/>
      <c r="C2852" s="55" t="n"/>
      <c r="D2852" s="55" t="n"/>
      <c r="E2852" s="93" t="n"/>
      <c r="F2852" s="94" t="n"/>
      <c r="G2852" s="94" t="n"/>
      <c r="H2852" s="94" t="n"/>
      <c r="I2852" s="94" t="n"/>
      <c r="J2852" s="55" t="n"/>
      <c r="K2852" s="95" t="n"/>
      <c r="L2852" s="116">
        <f>IF($A2852="","",DATE(YEAR($A2852),MONTH($A2852)+IF(AND(IFERROR(N(INDEX(Übersicht!$M$15:$M$22,MATCH($B2852,Übersicht!$A$15:$A$22,0))),0)&gt;1,DAY($A2852)&gt;=IFERROR(N(INDEX(Übersicht!$M$15:$M$22,MATCH($B2852,Übersicht!$A$15:$A$22,0))),0)),1,0),1))</f>
        <v/>
      </c>
    </row>
    <row r="2853">
      <c r="A2853" s="92" t="n"/>
      <c r="B2853" s="55" t="n"/>
      <c r="C2853" s="55" t="n"/>
      <c r="D2853" s="55" t="n"/>
      <c r="E2853" s="93" t="n"/>
      <c r="F2853" s="94" t="n"/>
      <c r="G2853" s="94" t="n"/>
      <c r="H2853" s="94" t="n"/>
      <c r="I2853" s="94" t="n"/>
      <c r="J2853" s="55" t="n"/>
      <c r="K2853" s="95" t="n"/>
      <c r="L2853" s="116">
        <f>IF($A2853="","",DATE(YEAR($A2853),MONTH($A2853)+IF(AND(IFERROR(N(INDEX(Übersicht!$M$15:$M$22,MATCH($B2853,Übersicht!$A$15:$A$22,0))),0)&gt;1,DAY($A2853)&gt;=IFERROR(N(INDEX(Übersicht!$M$15:$M$22,MATCH($B2853,Übersicht!$A$15:$A$22,0))),0)),1,0),1))</f>
        <v/>
      </c>
    </row>
    <row r="2854">
      <c r="A2854" s="92" t="n"/>
      <c r="B2854" s="55" t="n"/>
      <c r="C2854" s="55" t="n"/>
      <c r="D2854" s="55" t="n"/>
      <c r="E2854" s="93" t="n"/>
      <c r="F2854" s="94" t="n"/>
      <c r="G2854" s="94" t="n"/>
      <c r="H2854" s="94" t="n"/>
      <c r="I2854" s="94" t="n"/>
      <c r="J2854" s="55" t="n"/>
      <c r="K2854" s="95" t="n"/>
      <c r="L2854" s="116">
        <f>IF($A2854="","",DATE(YEAR($A2854),MONTH($A2854)+IF(AND(IFERROR(N(INDEX(Übersicht!$M$15:$M$22,MATCH($B2854,Übersicht!$A$15:$A$22,0))),0)&gt;1,DAY($A2854)&gt;=IFERROR(N(INDEX(Übersicht!$M$15:$M$22,MATCH($B2854,Übersicht!$A$15:$A$22,0))),0)),1,0),1))</f>
        <v/>
      </c>
    </row>
    <row r="2855">
      <c r="A2855" s="92" t="n"/>
      <c r="B2855" s="55" t="n"/>
      <c r="C2855" s="55" t="n"/>
      <c r="D2855" s="55" t="n"/>
      <c r="E2855" s="93" t="n"/>
      <c r="F2855" s="94" t="n"/>
      <c r="G2855" s="94" t="n"/>
      <c r="H2855" s="94" t="n"/>
      <c r="I2855" s="94" t="n"/>
      <c r="J2855" s="55" t="n"/>
      <c r="K2855" s="95" t="n"/>
      <c r="L2855" s="116">
        <f>IF($A2855="","",DATE(YEAR($A2855),MONTH($A2855)+IF(AND(IFERROR(N(INDEX(Übersicht!$M$15:$M$22,MATCH($B2855,Übersicht!$A$15:$A$22,0))),0)&gt;1,DAY($A2855)&gt;=IFERROR(N(INDEX(Übersicht!$M$15:$M$22,MATCH($B2855,Übersicht!$A$15:$A$22,0))),0)),1,0),1))</f>
        <v/>
      </c>
    </row>
    <row r="2856">
      <c r="A2856" s="92" t="n"/>
      <c r="B2856" s="55" t="n"/>
      <c r="C2856" s="55" t="n"/>
      <c r="D2856" s="55" t="n"/>
      <c r="E2856" s="93" t="n"/>
      <c r="F2856" s="94" t="n"/>
      <c r="G2856" s="94" t="n"/>
      <c r="H2856" s="94" t="n"/>
      <c r="I2856" s="94" t="n"/>
      <c r="J2856" s="55" t="n"/>
      <c r="K2856" s="95" t="n"/>
      <c r="L2856" s="116">
        <f>IF($A2856="","",DATE(YEAR($A2856),MONTH($A2856)+IF(AND(IFERROR(N(INDEX(Übersicht!$M$15:$M$22,MATCH($B2856,Übersicht!$A$15:$A$22,0))),0)&gt;1,DAY($A2856)&gt;=IFERROR(N(INDEX(Übersicht!$M$15:$M$22,MATCH($B2856,Übersicht!$A$15:$A$22,0))),0)),1,0),1))</f>
        <v/>
      </c>
    </row>
    <row r="2857">
      <c r="A2857" s="92" t="n"/>
      <c r="B2857" s="55" t="n"/>
      <c r="C2857" s="55" t="n"/>
      <c r="D2857" s="55" t="n"/>
      <c r="E2857" s="93" t="n"/>
      <c r="F2857" s="94" t="n"/>
      <c r="G2857" s="94" t="n"/>
      <c r="H2857" s="94" t="n"/>
      <c r="I2857" s="94" t="n"/>
      <c r="J2857" s="55" t="n"/>
      <c r="K2857" s="95" t="n"/>
      <c r="L2857" s="116">
        <f>IF($A2857="","",DATE(YEAR($A2857),MONTH($A2857)+IF(AND(IFERROR(N(INDEX(Übersicht!$M$15:$M$22,MATCH($B2857,Übersicht!$A$15:$A$22,0))),0)&gt;1,DAY($A2857)&gt;=IFERROR(N(INDEX(Übersicht!$M$15:$M$22,MATCH($B2857,Übersicht!$A$15:$A$22,0))),0)),1,0),1))</f>
        <v/>
      </c>
    </row>
    <row r="2858">
      <c r="A2858" s="92" t="n"/>
      <c r="B2858" s="55" t="n"/>
      <c r="C2858" s="55" t="n"/>
      <c r="D2858" s="55" t="n"/>
      <c r="E2858" s="93" t="n"/>
      <c r="F2858" s="94" t="n"/>
      <c r="G2858" s="94" t="n"/>
      <c r="H2858" s="94" t="n"/>
      <c r="I2858" s="94" t="n"/>
      <c r="J2858" s="55" t="n"/>
      <c r="K2858" s="95" t="n"/>
      <c r="L2858" s="116">
        <f>IF($A2858="","",DATE(YEAR($A2858),MONTH($A2858)+IF(AND(IFERROR(N(INDEX(Übersicht!$M$15:$M$22,MATCH($B2858,Übersicht!$A$15:$A$22,0))),0)&gt;1,DAY($A2858)&gt;=IFERROR(N(INDEX(Übersicht!$M$15:$M$22,MATCH($B2858,Übersicht!$A$15:$A$22,0))),0)),1,0),1))</f>
        <v/>
      </c>
    </row>
    <row r="2859">
      <c r="A2859" s="92" t="n"/>
      <c r="B2859" s="55" t="n"/>
      <c r="C2859" s="55" t="n"/>
      <c r="D2859" s="55" t="n"/>
      <c r="E2859" s="93" t="n"/>
      <c r="F2859" s="94" t="n"/>
      <c r="G2859" s="94" t="n"/>
      <c r="H2859" s="94" t="n"/>
      <c r="I2859" s="94" t="n"/>
      <c r="J2859" s="55" t="n"/>
      <c r="K2859" s="95" t="n"/>
      <c r="L2859" s="116">
        <f>IF($A2859="","",DATE(YEAR($A2859),MONTH($A2859)+IF(AND(IFERROR(N(INDEX(Übersicht!$M$15:$M$22,MATCH($B2859,Übersicht!$A$15:$A$22,0))),0)&gt;1,DAY($A2859)&gt;=IFERROR(N(INDEX(Übersicht!$M$15:$M$22,MATCH($B2859,Übersicht!$A$15:$A$22,0))),0)),1,0),1))</f>
        <v/>
      </c>
    </row>
    <row r="2860">
      <c r="A2860" s="92" t="n"/>
      <c r="B2860" s="55" t="n"/>
      <c r="C2860" s="55" t="n"/>
      <c r="D2860" s="55" t="n"/>
      <c r="E2860" s="93" t="n"/>
      <c r="F2860" s="94" t="n"/>
      <c r="G2860" s="94" t="n"/>
      <c r="H2860" s="94" t="n"/>
      <c r="I2860" s="94" t="n"/>
      <c r="J2860" s="55" t="n"/>
      <c r="K2860" s="95" t="n"/>
      <c r="L2860" s="116">
        <f>IF($A2860="","",DATE(YEAR($A2860),MONTH($A2860)+IF(AND(IFERROR(N(INDEX(Übersicht!$M$15:$M$22,MATCH($B2860,Übersicht!$A$15:$A$22,0))),0)&gt;1,DAY($A2860)&gt;=IFERROR(N(INDEX(Übersicht!$M$15:$M$22,MATCH($B2860,Übersicht!$A$15:$A$22,0))),0)),1,0),1))</f>
        <v/>
      </c>
    </row>
    <row r="2861">
      <c r="A2861" s="92" t="n"/>
      <c r="B2861" s="55" t="n"/>
      <c r="C2861" s="55" t="n"/>
      <c r="D2861" s="55" t="n"/>
      <c r="E2861" s="93" t="n"/>
      <c r="F2861" s="94" t="n"/>
      <c r="G2861" s="94" t="n"/>
      <c r="H2861" s="94" t="n"/>
      <c r="I2861" s="94" t="n"/>
      <c r="J2861" s="55" t="n"/>
      <c r="K2861" s="95" t="n"/>
      <c r="L2861" s="116">
        <f>IF($A2861="","",DATE(YEAR($A2861),MONTH($A2861)+IF(AND(IFERROR(N(INDEX(Übersicht!$M$15:$M$22,MATCH($B2861,Übersicht!$A$15:$A$22,0))),0)&gt;1,DAY($A2861)&gt;=IFERROR(N(INDEX(Übersicht!$M$15:$M$22,MATCH($B2861,Übersicht!$A$15:$A$22,0))),0)),1,0),1))</f>
        <v/>
      </c>
    </row>
    <row r="2862">
      <c r="A2862" s="92" t="n"/>
      <c r="B2862" s="55" t="n"/>
      <c r="C2862" s="55" t="n"/>
      <c r="D2862" s="55" t="n"/>
      <c r="E2862" s="93" t="n"/>
      <c r="F2862" s="94" t="n"/>
      <c r="G2862" s="94" t="n"/>
      <c r="H2862" s="94" t="n"/>
      <c r="I2862" s="94" t="n"/>
      <c r="J2862" s="55" t="n"/>
      <c r="K2862" s="95" t="n"/>
      <c r="L2862" s="116">
        <f>IF($A2862="","",DATE(YEAR($A2862),MONTH($A2862)+IF(AND(IFERROR(N(INDEX(Übersicht!$M$15:$M$22,MATCH($B2862,Übersicht!$A$15:$A$22,0))),0)&gt;1,DAY($A2862)&gt;=IFERROR(N(INDEX(Übersicht!$M$15:$M$22,MATCH($B2862,Übersicht!$A$15:$A$22,0))),0)),1,0),1))</f>
        <v/>
      </c>
    </row>
    <row r="2863">
      <c r="A2863" s="92" t="n"/>
      <c r="B2863" s="55" t="n"/>
      <c r="C2863" s="55" t="n"/>
      <c r="D2863" s="55" t="n"/>
      <c r="E2863" s="93" t="n"/>
      <c r="F2863" s="94" t="n"/>
      <c r="G2863" s="94" t="n"/>
      <c r="H2863" s="94" t="n"/>
      <c r="I2863" s="94" t="n"/>
      <c r="J2863" s="55" t="n"/>
      <c r="K2863" s="95" t="n"/>
      <c r="L2863" s="116">
        <f>IF($A2863="","",DATE(YEAR($A2863),MONTH($A2863)+IF(AND(IFERROR(N(INDEX(Übersicht!$M$15:$M$22,MATCH($B2863,Übersicht!$A$15:$A$22,0))),0)&gt;1,DAY($A2863)&gt;=IFERROR(N(INDEX(Übersicht!$M$15:$M$22,MATCH($B2863,Übersicht!$A$15:$A$22,0))),0)),1,0),1))</f>
        <v/>
      </c>
    </row>
    <row r="2864">
      <c r="A2864" s="92" t="n"/>
      <c r="B2864" s="55" t="n"/>
      <c r="C2864" s="55" t="n"/>
      <c r="D2864" s="55" t="n"/>
      <c r="E2864" s="93" t="n"/>
      <c r="F2864" s="94" t="n"/>
      <c r="G2864" s="94" t="n"/>
      <c r="H2864" s="94" t="n"/>
      <c r="I2864" s="94" t="n"/>
      <c r="J2864" s="55" t="n"/>
      <c r="K2864" s="95" t="n"/>
      <c r="L2864" s="116">
        <f>IF($A2864="","",DATE(YEAR($A2864),MONTH($A2864)+IF(AND(IFERROR(N(INDEX(Übersicht!$M$15:$M$22,MATCH($B2864,Übersicht!$A$15:$A$22,0))),0)&gt;1,DAY($A2864)&gt;=IFERROR(N(INDEX(Übersicht!$M$15:$M$22,MATCH($B2864,Übersicht!$A$15:$A$22,0))),0)),1,0),1))</f>
        <v/>
      </c>
    </row>
    <row r="2865">
      <c r="A2865" s="92" t="n"/>
      <c r="B2865" s="55" t="n"/>
      <c r="C2865" s="55" t="n"/>
      <c r="D2865" s="55" t="n"/>
      <c r="E2865" s="93" t="n"/>
      <c r="F2865" s="94" t="n"/>
      <c r="G2865" s="94" t="n"/>
      <c r="H2865" s="94" t="n"/>
      <c r="I2865" s="94" t="n"/>
      <c r="J2865" s="55" t="n"/>
      <c r="K2865" s="95" t="n"/>
      <c r="L2865" s="116">
        <f>IF($A2865="","",DATE(YEAR($A2865),MONTH($A2865)+IF(AND(IFERROR(N(INDEX(Übersicht!$M$15:$M$22,MATCH($B2865,Übersicht!$A$15:$A$22,0))),0)&gt;1,DAY($A2865)&gt;=IFERROR(N(INDEX(Übersicht!$M$15:$M$22,MATCH($B2865,Übersicht!$A$15:$A$22,0))),0)),1,0),1))</f>
        <v/>
      </c>
    </row>
    <row r="2866">
      <c r="A2866" s="92" t="n"/>
      <c r="B2866" s="55" t="n"/>
      <c r="C2866" s="55" t="n"/>
      <c r="D2866" s="55" t="n"/>
      <c r="E2866" s="93" t="n"/>
      <c r="F2866" s="94" t="n"/>
      <c r="G2866" s="94" t="n"/>
      <c r="H2866" s="94" t="n"/>
      <c r="I2866" s="94" t="n"/>
      <c r="J2866" s="55" t="n"/>
      <c r="K2866" s="95" t="n"/>
      <c r="L2866" s="116">
        <f>IF($A2866="","",DATE(YEAR($A2866),MONTH($A2866)+IF(AND(IFERROR(N(INDEX(Übersicht!$M$15:$M$22,MATCH($B2866,Übersicht!$A$15:$A$22,0))),0)&gt;1,DAY($A2866)&gt;=IFERROR(N(INDEX(Übersicht!$M$15:$M$22,MATCH($B2866,Übersicht!$A$15:$A$22,0))),0)),1,0),1))</f>
        <v/>
      </c>
    </row>
    <row r="2867">
      <c r="A2867" s="92" t="n"/>
      <c r="B2867" s="55" t="n"/>
      <c r="C2867" s="55" t="n"/>
      <c r="D2867" s="55" t="n"/>
      <c r="E2867" s="93" t="n"/>
      <c r="F2867" s="94" t="n"/>
      <c r="G2867" s="94" t="n"/>
      <c r="H2867" s="94" t="n"/>
      <c r="I2867" s="94" t="n"/>
      <c r="J2867" s="55" t="n"/>
      <c r="K2867" s="95" t="n"/>
      <c r="L2867" s="116">
        <f>IF($A2867="","",DATE(YEAR($A2867),MONTH($A2867)+IF(AND(IFERROR(N(INDEX(Übersicht!$M$15:$M$22,MATCH($B2867,Übersicht!$A$15:$A$22,0))),0)&gt;1,DAY($A2867)&gt;=IFERROR(N(INDEX(Übersicht!$M$15:$M$22,MATCH($B2867,Übersicht!$A$15:$A$22,0))),0)),1,0),1))</f>
        <v/>
      </c>
    </row>
    <row r="2868">
      <c r="A2868" s="92" t="n"/>
      <c r="B2868" s="55" t="n"/>
      <c r="C2868" s="55" t="n"/>
      <c r="D2868" s="55" t="n"/>
      <c r="E2868" s="93" t="n"/>
      <c r="F2868" s="94" t="n"/>
      <c r="G2868" s="94" t="n"/>
      <c r="H2868" s="94" t="n"/>
      <c r="I2868" s="94" t="n"/>
      <c r="J2868" s="55" t="n"/>
      <c r="K2868" s="95" t="n"/>
      <c r="L2868" s="116">
        <f>IF($A2868="","",DATE(YEAR($A2868),MONTH($A2868)+IF(AND(IFERROR(N(INDEX(Übersicht!$M$15:$M$22,MATCH($B2868,Übersicht!$A$15:$A$22,0))),0)&gt;1,DAY($A2868)&gt;=IFERROR(N(INDEX(Übersicht!$M$15:$M$22,MATCH($B2868,Übersicht!$A$15:$A$22,0))),0)),1,0),1))</f>
        <v/>
      </c>
    </row>
    <row r="2869">
      <c r="A2869" s="92" t="n"/>
      <c r="B2869" s="55" t="n"/>
      <c r="C2869" s="55" t="n"/>
      <c r="D2869" s="55" t="n"/>
      <c r="E2869" s="93" t="n"/>
      <c r="F2869" s="94" t="n"/>
      <c r="G2869" s="94" t="n"/>
      <c r="H2869" s="94" t="n"/>
      <c r="I2869" s="94" t="n"/>
      <c r="J2869" s="55" t="n"/>
      <c r="K2869" s="95" t="n"/>
      <c r="L2869" s="116">
        <f>IF($A2869="","",DATE(YEAR($A2869),MONTH($A2869)+IF(AND(IFERROR(N(INDEX(Übersicht!$M$15:$M$22,MATCH($B2869,Übersicht!$A$15:$A$22,0))),0)&gt;1,DAY($A2869)&gt;=IFERROR(N(INDEX(Übersicht!$M$15:$M$22,MATCH($B2869,Übersicht!$A$15:$A$22,0))),0)),1,0),1))</f>
        <v/>
      </c>
    </row>
    <row r="2870">
      <c r="A2870" s="92" t="n"/>
      <c r="B2870" s="55" t="n"/>
      <c r="C2870" s="55" t="n"/>
      <c r="D2870" s="55" t="n"/>
      <c r="E2870" s="93" t="n"/>
      <c r="F2870" s="94" t="n"/>
      <c r="G2870" s="94" t="n"/>
      <c r="H2870" s="94" t="n"/>
      <c r="I2870" s="94" t="n"/>
      <c r="J2870" s="55" t="n"/>
      <c r="K2870" s="95" t="n"/>
      <c r="L2870" s="116">
        <f>IF($A2870="","",DATE(YEAR($A2870),MONTH($A2870)+IF(AND(IFERROR(N(INDEX(Übersicht!$M$15:$M$22,MATCH($B2870,Übersicht!$A$15:$A$22,0))),0)&gt;1,DAY($A2870)&gt;=IFERROR(N(INDEX(Übersicht!$M$15:$M$22,MATCH($B2870,Übersicht!$A$15:$A$22,0))),0)),1,0),1))</f>
        <v/>
      </c>
    </row>
    <row r="2871">
      <c r="A2871" s="92" t="n"/>
      <c r="B2871" s="55" t="n"/>
      <c r="C2871" s="55" t="n"/>
      <c r="D2871" s="55" t="n"/>
      <c r="E2871" s="93" t="n"/>
      <c r="F2871" s="94" t="n"/>
      <c r="G2871" s="94" t="n"/>
      <c r="H2871" s="94" t="n"/>
      <c r="I2871" s="94" t="n"/>
      <c r="J2871" s="55" t="n"/>
      <c r="K2871" s="95" t="n"/>
      <c r="L2871" s="116">
        <f>IF($A2871="","",DATE(YEAR($A2871),MONTH($A2871)+IF(AND(IFERROR(N(INDEX(Übersicht!$M$15:$M$22,MATCH($B2871,Übersicht!$A$15:$A$22,0))),0)&gt;1,DAY($A2871)&gt;=IFERROR(N(INDEX(Übersicht!$M$15:$M$22,MATCH($B2871,Übersicht!$A$15:$A$22,0))),0)),1,0),1))</f>
        <v/>
      </c>
    </row>
    <row r="2872">
      <c r="A2872" s="92" t="n"/>
      <c r="B2872" s="55" t="n"/>
      <c r="C2872" s="55" t="n"/>
      <c r="D2872" s="55" t="n"/>
      <c r="E2872" s="93" t="n"/>
      <c r="F2872" s="94" t="n"/>
      <c r="G2872" s="94" t="n"/>
      <c r="H2872" s="94" t="n"/>
      <c r="I2872" s="94" t="n"/>
      <c r="J2872" s="55" t="n"/>
      <c r="K2872" s="95" t="n"/>
      <c r="L2872" s="116">
        <f>IF($A2872="","",DATE(YEAR($A2872),MONTH($A2872)+IF(AND(IFERROR(N(INDEX(Übersicht!$M$15:$M$22,MATCH($B2872,Übersicht!$A$15:$A$22,0))),0)&gt;1,DAY($A2872)&gt;=IFERROR(N(INDEX(Übersicht!$M$15:$M$22,MATCH($B2872,Übersicht!$A$15:$A$22,0))),0)),1,0),1))</f>
        <v/>
      </c>
    </row>
    <row r="2873">
      <c r="A2873" s="92" t="n"/>
      <c r="B2873" s="55" t="n"/>
      <c r="C2873" s="55" t="n"/>
      <c r="D2873" s="55" t="n"/>
      <c r="E2873" s="93" t="n"/>
      <c r="F2873" s="94" t="n"/>
      <c r="G2873" s="94" t="n"/>
      <c r="H2873" s="94" t="n"/>
      <c r="I2873" s="94" t="n"/>
      <c r="J2873" s="55" t="n"/>
      <c r="K2873" s="95" t="n"/>
      <c r="L2873" s="116">
        <f>IF($A2873="","",DATE(YEAR($A2873),MONTH($A2873)+IF(AND(IFERROR(N(INDEX(Übersicht!$M$15:$M$22,MATCH($B2873,Übersicht!$A$15:$A$22,0))),0)&gt;1,DAY($A2873)&gt;=IFERROR(N(INDEX(Übersicht!$M$15:$M$22,MATCH($B2873,Übersicht!$A$15:$A$22,0))),0)),1,0),1))</f>
        <v/>
      </c>
    </row>
    <row r="2874">
      <c r="A2874" s="92" t="n"/>
      <c r="B2874" s="55" t="n"/>
      <c r="C2874" s="55" t="n"/>
      <c r="D2874" s="55" t="n"/>
      <c r="E2874" s="93" t="n"/>
      <c r="F2874" s="94" t="n"/>
      <c r="G2874" s="94" t="n"/>
      <c r="H2874" s="94" t="n"/>
      <c r="I2874" s="94" t="n"/>
      <c r="J2874" s="55" t="n"/>
      <c r="K2874" s="95" t="n"/>
      <c r="L2874" s="116">
        <f>IF($A2874="","",DATE(YEAR($A2874),MONTH($A2874)+IF(AND(IFERROR(N(INDEX(Übersicht!$M$15:$M$22,MATCH($B2874,Übersicht!$A$15:$A$22,0))),0)&gt;1,DAY($A2874)&gt;=IFERROR(N(INDEX(Übersicht!$M$15:$M$22,MATCH($B2874,Übersicht!$A$15:$A$22,0))),0)),1,0),1))</f>
        <v/>
      </c>
    </row>
    <row r="2875">
      <c r="A2875" s="92" t="n"/>
      <c r="B2875" s="55" t="n"/>
      <c r="C2875" s="55" t="n"/>
      <c r="D2875" s="55" t="n"/>
      <c r="E2875" s="93" t="n"/>
      <c r="F2875" s="94" t="n"/>
      <c r="G2875" s="94" t="n"/>
      <c r="H2875" s="94" t="n"/>
      <c r="I2875" s="94" t="n"/>
      <c r="J2875" s="55" t="n"/>
      <c r="K2875" s="95" t="n"/>
      <c r="L2875" s="116">
        <f>IF($A2875="","",DATE(YEAR($A2875),MONTH($A2875)+IF(AND(IFERROR(N(INDEX(Übersicht!$M$15:$M$22,MATCH($B2875,Übersicht!$A$15:$A$22,0))),0)&gt;1,DAY($A2875)&gt;=IFERROR(N(INDEX(Übersicht!$M$15:$M$22,MATCH($B2875,Übersicht!$A$15:$A$22,0))),0)),1,0),1))</f>
        <v/>
      </c>
    </row>
    <row r="2876">
      <c r="A2876" s="92" t="n"/>
      <c r="B2876" s="55" t="n"/>
      <c r="C2876" s="55" t="n"/>
      <c r="D2876" s="55" t="n"/>
      <c r="E2876" s="93" t="n"/>
      <c r="F2876" s="94" t="n"/>
      <c r="G2876" s="94" t="n"/>
      <c r="H2876" s="94" t="n"/>
      <c r="I2876" s="94" t="n"/>
      <c r="J2876" s="55" t="n"/>
      <c r="K2876" s="95" t="n"/>
      <c r="L2876" s="116">
        <f>IF($A2876="","",DATE(YEAR($A2876),MONTH($A2876)+IF(AND(IFERROR(N(INDEX(Übersicht!$M$15:$M$22,MATCH($B2876,Übersicht!$A$15:$A$22,0))),0)&gt;1,DAY($A2876)&gt;=IFERROR(N(INDEX(Übersicht!$M$15:$M$22,MATCH($B2876,Übersicht!$A$15:$A$22,0))),0)),1,0),1))</f>
        <v/>
      </c>
    </row>
    <row r="2877">
      <c r="A2877" s="92" t="n"/>
      <c r="B2877" s="55" t="n"/>
      <c r="C2877" s="55" t="n"/>
      <c r="D2877" s="55" t="n"/>
      <c r="E2877" s="93" t="n"/>
      <c r="F2877" s="94" t="n"/>
      <c r="G2877" s="94" t="n"/>
      <c r="H2877" s="94" t="n"/>
      <c r="I2877" s="94" t="n"/>
      <c r="J2877" s="55" t="n"/>
      <c r="K2877" s="95" t="n"/>
      <c r="L2877" s="116">
        <f>IF($A2877="","",DATE(YEAR($A2877),MONTH($A2877)+IF(AND(IFERROR(N(INDEX(Übersicht!$M$15:$M$22,MATCH($B2877,Übersicht!$A$15:$A$22,0))),0)&gt;1,DAY($A2877)&gt;=IFERROR(N(INDEX(Übersicht!$M$15:$M$22,MATCH($B2877,Übersicht!$A$15:$A$22,0))),0)),1,0),1))</f>
        <v/>
      </c>
    </row>
    <row r="2878">
      <c r="A2878" s="92" t="n"/>
      <c r="B2878" s="55" t="n"/>
      <c r="C2878" s="55" t="n"/>
      <c r="D2878" s="55" t="n"/>
      <c r="E2878" s="93" t="n"/>
      <c r="F2878" s="94" t="n"/>
      <c r="G2878" s="94" t="n"/>
      <c r="H2878" s="94" t="n"/>
      <c r="I2878" s="94" t="n"/>
      <c r="J2878" s="55" t="n"/>
      <c r="K2878" s="95" t="n"/>
      <c r="L2878" s="116">
        <f>IF($A2878="","",DATE(YEAR($A2878),MONTH($A2878)+IF(AND(IFERROR(N(INDEX(Übersicht!$M$15:$M$22,MATCH($B2878,Übersicht!$A$15:$A$22,0))),0)&gt;1,DAY($A2878)&gt;=IFERROR(N(INDEX(Übersicht!$M$15:$M$22,MATCH($B2878,Übersicht!$A$15:$A$22,0))),0)),1,0),1))</f>
        <v/>
      </c>
    </row>
    <row r="2879">
      <c r="A2879" s="92" t="n"/>
      <c r="B2879" s="55" t="n"/>
      <c r="C2879" s="55" t="n"/>
      <c r="D2879" s="55" t="n"/>
      <c r="E2879" s="93" t="n"/>
      <c r="F2879" s="94" t="n"/>
      <c r="G2879" s="94" t="n"/>
      <c r="H2879" s="94" t="n"/>
      <c r="I2879" s="94" t="n"/>
      <c r="J2879" s="55" t="n"/>
      <c r="K2879" s="95" t="n"/>
      <c r="L2879" s="116">
        <f>IF($A2879="","",DATE(YEAR($A2879),MONTH($A2879)+IF(AND(IFERROR(N(INDEX(Übersicht!$M$15:$M$22,MATCH($B2879,Übersicht!$A$15:$A$22,0))),0)&gt;1,DAY($A2879)&gt;=IFERROR(N(INDEX(Übersicht!$M$15:$M$22,MATCH($B2879,Übersicht!$A$15:$A$22,0))),0)),1,0),1))</f>
        <v/>
      </c>
    </row>
    <row r="2880">
      <c r="A2880" s="92" t="n"/>
      <c r="B2880" s="55" t="n"/>
      <c r="C2880" s="55" t="n"/>
      <c r="D2880" s="55" t="n"/>
      <c r="E2880" s="93" t="n"/>
      <c r="F2880" s="94" t="n"/>
      <c r="G2880" s="94" t="n"/>
      <c r="H2880" s="94" t="n"/>
      <c r="I2880" s="94" t="n"/>
      <c r="J2880" s="55" t="n"/>
      <c r="K2880" s="95" t="n"/>
      <c r="L2880" s="116">
        <f>IF($A2880="","",DATE(YEAR($A2880),MONTH($A2880)+IF(AND(IFERROR(N(INDEX(Übersicht!$M$15:$M$22,MATCH($B2880,Übersicht!$A$15:$A$22,0))),0)&gt;1,DAY($A2880)&gt;=IFERROR(N(INDEX(Übersicht!$M$15:$M$22,MATCH($B2880,Übersicht!$A$15:$A$22,0))),0)),1,0),1))</f>
        <v/>
      </c>
    </row>
    <row r="2881">
      <c r="A2881" s="92" t="n"/>
      <c r="B2881" s="55" t="n"/>
      <c r="C2881" s="55" t="n"/>
      <c r="D2881" s="55" t="n"/>
      <c r="E2881" s="93" t="n"/>
      <c r="F2881" s="94" t="n"/>
      <c r="G2881" s="94" t="n"/>
      <c r="H2881" s="94" t="n"/>
      <c r="I2881" s="94" t="n"/>
      <c r="J2881" s="55" t="n"/>
      <c r="K2881" s="95" t="n"/>
      <c r="L2881" s="116">
        <f>IF($A2881="","",DATE(YEAR($A2881),MONTH($A2881)+IF(AND(IFERROR(N(INDEX(Übersicht!$M$15:$M$22,MATCH($B2881,Übersicht!$A$15:$A$22,0))),0)&gt;1,DAY($A2881)&gt;=IFERROR(N(INDEX(Übersicht!$M$15:$M$22,MATCH($B2881,Übersicht!$A$15:$A$22,0))),0)),1,0),1))</f>
        <v/>
      </c>
    </row>
    <row r="2882">
      <c r="A2882" s="92" t="n"/>
      <c r="B2882" s="55" t="n"/>
      <c r="C2882" s="55" t="n"/>
      <c r="D2882" s="55" t="n"/>
      <c r="E2882" s="93" t="n"/>
      <c r="F2882" s="94" t="n"/>
      <c r="G2882" s="94" t="n"/>
      <c r="H2882" s="94" t="n"/>
      <c r="I2882" s="94" t="n"/>
      <c r="J2882" s="55" t="n"/>
      <c r="K2882" s="95" t="n"/>
      <c r="L2882" s="116">
        <f>IF($A2882="","",DATE(YEAR($A2882),MONTH($A2882)+IF(AND(IFERROR(N(INDEX(Übersicht!$M$15:$M$22,MATCH($B2882,Übersicht!$A$15:$A$22,0))),0)&gt;1,DAY($A2882)&gt;=IFERROR(N(INDEX(Übersicht!$M$15:$M$22,MATCH($B2882,Übersicht!$A$15:$A$22,0))),0)),1,0),1))</f>
        <v/>
      </c>
    </row>
    <row r="2883">
      <c r="A2883" s="92" t="n"/>
      <c r="B2883" s="55" t="n"/>
      <c r="C2883" s="55" t="n"/>
      <c r="D2883" s="55" t="n"/>
      <c r="E2883" s="93" t="n"/>
      <c r="F2883" s="94" t="n"/>
      <c r="G2883" s="94" t="n"/>
      <c r="H2883" s="94" t="n"/>
      <c r="I2883" s="94" t="n"/>
      <c r="J2883" s="55" t="n"/>
      <c r="K2883" s="95" t="n"/>
      <c r="L2883" s="116">
        <f>IF($A2883="","",DATE(YEAR($A2883),MONTH($A2883)+IF(AND(IFERROR(N(INDEX(Übersicht!$M$15:$M$22,MATCH($B2883,Übersicht!$A$15:$A$22,0))),0)&gt;1,DAY($A2883)&gt;=IFERROR(N(INDEX(Übersicht!$M$15:$M$22,MATCH($B2883,Übersicht!$A$15:$A$22,0))),0)),1,0),1))</f>
        <v/>
      </c>
    </row>
    <row r="2884">
      <c r="A2884" s="92" t="n"/>
      <c r="B2884" s="55" t="n"/>
      <c r="C2884" s="55" t="n"/>
      <c r="D2884" s="55" t="n"/>
      <c r="E2884" s="93" t="n"/>
      <c r="F2884" s="94" t="n"/>
      <c r="G2884" s="94" t="n"/>
      <c r="H2884" s="94" t="n"/>
      <c r="I2884" s="94" t="n"/>
      <c r="J2884" s="55" t="n"/>
      <c r="K2884" s="95" t="n"/>
      <c r="L2884" s="116">
        <f>IF($A2884="","",DATE(YEAR($A2884),MONTH($A2884)+IF(AND(IFERROR(N(INDEX(Übersicht!$M$15:$M$22,MATCH($B2884,Übersicht!$A$15:$A$22,0))),0)&gt;1,DAY($A2884)&gt;=IFERROR(N(INDEX(Übersicht!$M$15:$M$22,MATCH($B2884,Übersicht!$A$15:$A$22,0))),0)),1,0),1))</f>
        <v/>
      </c>
    </row>
    <row r="2885">
      <c r="A2885" s="92" t="n"/>
      <c r="B2885" s="55" t="n"/>
      <c r="C2885" s="55" t="n"/>
      <c r="D2885" s="55" t="n"/>
      <c r="E2885" s="93" t="n"/>
      <c r="F2885" s="94" t="n"/>
      <c r="G2885" s="94" t="n"/>
      <c r="H2885" s="94" t="n"/>
      <c r="I2885" s="94" t="n"/>
      <c r="J2885" s="55" t="n"/>
      <c r="K2885" s="95" t="n"/>
      <c r="L2885" s="116">
        <f>IF($A2885="","",DATE(YEAR($A2885),MONTH($A2885)+IF(AND(IFERROR(N(INDEX(Übersicht!$M$15:$M$22,MATCH($B2885,Übersicht!$A$15:$A$22,0))),0)&gt;1,DAY($A2885)&gt;=IFERROR(N(INDEX(Übersicht!$M$15:$M$22,MATCH($B2885,Übersicht!$A$15:$A$22,0))),0)),1,0),1))</f>
        <v/>
      </c>
    </row>
    <row r="2886">
      <c r="A2886" s="92" t="n"/>
      <c r="B2886" s="55" t="n"/>
      <c r="C2886" s="55" t="n"/>
      <c r="D2886" s="55" t="n"/>
      <c r="E2886" s="93" t="n"/>
      <c r="F2886" s="94" t="n"/>
      <c r="G2886" s="94" t="n"/>
      <c r="H2886" s="94" t="n"/>
      <c r="I2886" s="94" t="n"/>
      <c r="J2886" s="55" t="n"/>
      <c r="K2886" s="95" t="n"/>
      <c r="L2886" s="116">
        <f>IF($A2886="","",DATE(YEAR($A2886),MONTH($A2886)+IF(AND(IFERROR(N(INDEX(Übersicht!$M$15:$M$22,MATCH($B2886,Übersicht!$A$15:$A$22,0))),0)&gt;1,DAY($A2886)&gt;=IFERROR(N(INDEX(Übersicht!$M$15:$M$22,MATCH($B2886,Übersicht!$A$15:$A$22,0))),0)),1,0),1))</f>
        <v/>
      </c>
    </row>
    <row r="2887">
      <c r="A2887" s="92" t="n"/>
      <c r="B2887" s="55" t="n"/>
      <c r="C2887" s="55" t="n"/>
      <c r="D2887" s="55" t="n"/>
      <c r="E2887" s="93" t="n"/>
      <c r="F2887" s="94" t="n"/>
      <c r="G2887" s="94" t="n"/>
      <c r="H2887" s="94" t="n"/>
      <c r="I2887" s="94" t="n"/>
      <c r="J2887" s="55" t="n"/>
      <c r="K2887" s="95" t="n"/>
      <c r="L2887" s="116">
        <f>IF($A2887="","",DATE(YEAR($A2887),MONTH($A2887)+IF(AND(IFERROR(N(INDEX(Übersicht!$M$15:$M$22,MATCH($B2887,Übersicht!$A$15:$A$22,0))),0)&gt;1,DAY($A2887)&gt;=IFERROR(N(INDEX(Übersicht!$M$15:$M$22,MATCH($B2887,Übersicht!$A$15:$A$22,0))),0)),1,0),1))</f>
        <v/>
      </c>
    </row>
    <row r="2888">
      <c r="A2888" s="92" t="n"/>
      <c r="B2888" s="55" t="n"/>
      <c r="C2888" s="55" t="n"/>
      <c r="D2888" s="55" t="n"/>
      <c r="E2888" s="93" t="n"/>
      <c r="F2888" s="94" t="n"/>
      <c r="G2888" s="94" t="n"/>
      <c r="H2888" s="94" t="n"/>
      <c r="I2888" s="94" t="n"/>
      <c r="J2888" s="55" t="n"/>
      <c r="K2888" s="95" t="n"/>
      <c r="L2888" s="116">
        <f>IF($A2888="","",DATE(YEAR($A2888),MONTH($A2888)+IF(AND(IFERROR(N(INDEX(Übersicht!$M$15:$M$22,MATCH($B2888,Übersicht!$A$15:$A$22,0))),0)&gt;1,DAY($A2888)&gt;=IFERROR(N(INDEX(Übersicht!$M$15:$M$22,MATCH($B2888,Übersicht!$A$15:$A$22,0))),0)),1,0),1))</f>
        <v/>
      </c>
    </row>
    <row r="2889">
      <c r="A2889" s="92" t="n"/>
      <c r="B2889" s="55" t="n"/>
      <c r="C2889" s="55" t="n"/>
      <c r="D2889" s="55" t="n"/>
      <c r="E2889" s="93" t="n"/>
      <c r="F2889" s="94" t="n"/>
      <c r="G2889" s="94" t="n"/>
      <c r="H2889" s="94" t="n"/>
      <c r="I2889" s="94" t="n"/>
      <c r="J2889" s="55" t="n"/>
      <c r="K2889" s="95" t="n"/>
      <c r="L2889" s="116">
        <f>IF($A2889="","",DATE(YEAR($A2889),MONTH($A2889)+IF(AND(IFERROR(N(INDEX(Übersicht!$M$15:$M$22,MATCH($B2889,Übersicht!$A$15:$A$22,0))),0)&gt;1,DAY($A2889)&gt;=IFERROR(N(INDEX(Übersicht!$M$15:$M$22,MATCH($B2889,Übersicht!$A$15:$A$22,0))),0)),1,0),1))</f>
        <v/>
      </c>
    </row>
    <row r="2890">
      <c r="A2890" s="92" t="n"/>
      <c r="B2890" s="55" t="n"/>
      <c r="C2890" s="55" t="n"/>
      <c r="D2890" s="55" t="n"/>
      <c r="E2890" s="93" t="n"/>
      <c r="F2890" s="94" t="n"/>
      <c r="G2890" s="94" t="n"/>
      <c r="H2890" s="94" t="n"/>
      <c r="I2890" s="94" t="n"/>
      <c r="J2890" s="55" t="n"/>
      <c r="K2890" s="95" t="n"/>
      <c r="L2890" s="116">
        <f>IF($A2890="","",DATE(YEAR($A2890),MONTH($A2890)+IF(AND(IFERROR(N(INDEX(Übersicht!$M$15:$M$22,MATCH($B2890,Übersicht!$A$15:$A$22,0))),0)&gt;1,DAY($A2890)&gt;=IFERROR(N(INDEX(Übersicht!$M$15:$M$22,MATCH($B2890,Übersicht!$A$15:$A$22,0))),0)),1,0),1))</f>
        <v/>
      </c>
    </row>
    <row r="2891">
      <c r="A2891" s="92" t="n"/>
      <c r="B2891" s="55" t="n"/>
      <c r="C2891" s="55" t="n"/>
      <c r="D2891" s="55" t="n"/>
      <c r="E2891" s="93" t="n"/>
      <c r="F2891" s="94" t="n"/>
      <c r="G2891" s="94" t="n"/>
      <c r="H2891" s="94" t="n"/>
      <c r="I2891" s="94" t="n"/>
      <c r="J2891" s="55" t="n"/>
      <c r="K2891" s="95" t="n"/>
      <c r="L2891" s="116">
        <f>IF($A2891="","",DATE(YEAR($A2891),MONTH($A2891)+IF(AND(IFERROR(N(INDEX(Übersicht!$M$15:$M$22,MATCH($B2891,Übersicht!$A$15:$A$22,0))),0)&gt;1,DAY($A2891)&gt;=IFERROR(N(INDEX(Übersicht!$M$15:$M$22,MATCH($B2891,Übersicht!$A$15:$A$22,0))),0)),1,0),1))</f>
        <v/>
      </c>
    </row>
    <row r="2892">
      <c r="A2892" s="92" t="n"/>
      <c r="B2892" s="55" t="n"/>
      <c r="C2892" s="55" t="n"/>
      <c r="D2892" s="55" t="n"/>
      <c r="E2892" s="93" t="n"/>
      <c r="F2892" s="94" t="n"/>
      <c r="G2892" s="94" t="n"/>
      <c r="H2892" s="94" t="n"/>
      <c r="I2892" s="94" t="n"/>
      <c r="J2892" s="55" t="n"/>
      <c r="K2892" s="95" t="n"/>
      <c r="L2892" s="116">
        <f>IF($A2892="","",DATE(YEAR($A2892),MONTH($A2892)+IF(AND(IFERROR(N(INDEX(Übersicht!$M$15:$M$22,MATCH($B2892,Übersicht!$A$15:$A$22,0))),0)&gt;1,DAY($A2892)&gt;=IFERROR(N(INDEX(Übersicht!$M$15:$M$22,MATCH($B2892,Übersicht!$A$15:$A$22,0))),0)),1,0),1))</f>
        <v/>
      </c>
    </row>
    <row r="2893">
      <c r="A2893" s="92" t="n"/>
      <c r="B2893" s="55" t="n"/>
      <c r="C2893" s="55" t="n"/>
      <c r="D2893" s="55" t="n"/>
      <c r="E2893" s="93" t="n"/>
      <c r="F2893" s="94" t="n"/>
      <c r="G2893" s="94" t="n"/>
      <c r="H2893" s="94" t="n"/>
      <c r="I2893" s="94" t="n"/>
      <c r="J2893" s="55" t="n"/>
      <c r="K2893" s="95" t="n"/>
      <c r="L2893" s="116">
        <f>IF($A2893="","",DATE(YEAR($A2893),MONTH($A2893)+IF(AND(IFERROR(N(INDEX(Übersicht!$M$15:$M$22,MATCH($B2893,Übersicht!$A$15:$A$22,0))),0)&gt;1,DAY($A2893)&gt;=IFERROR(N(INDEX(Übersicht!$M$15:$M$22,MATCH($B2893,Übersicht!$A$15:$A$22,0))),0)),1,0),1))</f>
        <v/>
      </c>
    </row>
    <row r="2894">
      <c r="A2894" s="92" t="n"/>
      <c r="B2894" s="55" t="n"/>
      <c r="C2894" s="55" t="n"/>
      <c r="D2894" s="55" t="n"/>
      <c r="E2894" s="93" t="n"/>
      <c r="F2894" s="94" t="n"/>
      <c r="G2894" s="94" t="n"/>
      <c r="H2894" s="94" t="n"/>
      <c r="I2894" s="94" t="n"/>
      <c r="J2894" s="55" t="n"/>
      <c r="K2894" s="95" t="n"/>
      <c r="L2894" s="116">
        <f>IF($A2894="","",DATE(YEAR($A2894),MONTH($A2894)+IF(AND(IFERROR(N(INDEX(Übersicht!$M$15:$M$22,MATCH($B2894,Übersicht!$A$15:$A$22,0))),0)&gt;1,DAY($A2894)&gt;=IFERROR(N(INDEX(Übersicht!$M$15:$M$22,MATCH($B2894,Übersicht!$A$15:$A$22,0))),0)),1,0),1))</f>
        <v/>
      </c>
    </row>
    <row r="2895">
      <c r="A2895" s="92" t="n"/>
      <c r="B2895" s="55" t="n"/>
      <c r="C2895" s="55" t="n"/>
      <c r="D2895" s="55" t="n"/>
      <c r="E2895" s="93" t="n"/>
      <c r="F2895" s="94" t="n"/>
      <c r="G2895" s="94" t="n"/>
      <c r="H2895" s="94" t="n"/>
      <c r="I2895" s="94" t="n"/>
      <c r="J2895" s="55" t="n"/>
      <c r="K2895" s="95" t="n"/>
      <c r="L2895" s="116">
        <f>IF($A2895="","",DATE(YEAR($A2895),MONTH($A2895)+IF(AND(IFERROR(N(INDEX(Übersicht!$M$15:$M$22,MATCH($B2895,Übersicht!$A$15:$A$22,0))),0)&gt;1,DAY($A2895)&gt;=IFERROR(N(INDEX(Übersicht!$M$15:$M$22,MATCH($B2895,Übersicht!$A$15:$A$22,0))),0)),1,0),1))</f>
        <v/>
      </c>
    </row>
    <row r="2896">
      <c r="A2896" s="92" t="n"/>
      <c r="B2896" s="55" t="n"/>
      <c r="C2896" s="55" t="n"/>
      <c r="D2896" s="55" t="n"/>
      <c r="E2896" s="93" t="n"/>
      <c r="F2896" s="94" t="n"/>
      <c r="G2896" s="94" t="n"/>
      <c r="H2896" s="94" t="n"/>
      <c r="I2896" s="94" t="n"/>
      <c r="J2896" s="55" t="n"/>
      <c r="K2896" s="95" t="n"/>
      <c r="L2896" s="116">
        <f>IF($A2896="","",DATE(YEAR($A2896),MONTH($A2896)+IF(AND(IFERROR(N(INDEX(Übersicht!$M$15:$M$22,MATCH($B2896,Übersicht!$A$15:$A$22,0))),0)&gt;1,DAY($A2896)&gt;=IFERROR(N(INDEX(Übersicht!$M$15:$M$22,MATCH($B2896,Übersicht!$A$15:$A$22,0))),0)),1,0),1))</f>
        <v/>
      </c>
    </row>
    <row r="2897">
      <c r="A2897" s="92" t="n"/>
      <c r="B2897" s="55" t="n"/>
      <c r="C2897" s="55" t="n"/>
      <c r="D2897" s="55" t="n"/>
      <c r="E2897" s="93" t="n"/>
      <c r="F2897" s="94" t="n"/>
      <c r="G2897" s="94" t="n"/>
      <c r="H2897" s="94" t="n"/>
      <c r="I2897" s="94" t="n"/>
      <c r="J2897" s="55" t="n"/>
      <c r="K2897" s="95" t="n"/>
      <c r="L2897" s="116">
        <f>IF($A2897="","",DATE(YEAR($A2897),MONTH($A2897)+IF(AND(IFERROR(N(INDEX(Übersicht!$M$15:$M$22,MATCH($B2897,Übersicht!$A$15:$A$22,0))),0)&gt;1,DAY($A2897)&gt;=IFERROR(N(INDEX(Übersicht!$M$15:$M$22,MATCH($B2897,Übersicht!$A$15:$A$22,0))),0)),1,0),1))</f>
        <v/>
      </c>
    </row>
    <row r="2898">
      <c r="A2898" s="92" t="n"/>
      <c r="B2898" s="55" t="n"/>
      <c r="C2898" s="55" t="n"/>
      <c r="D2898" s="55" t="n"/>
      <c r="E2898" s="93" t="n"/>
      <c r="F2898" s="94" t="n"/>
      <c r="G2898" s="94" t="n"/>
      <c r="H2898" s="94" t="n"/>
      <c r="I2898" s="94" t="n"/>
      <c r="J2898" s="55" t="n"/>
      <c r="K2898" s="95" t="n"/>
      <c r="L2898" s="116">
        <f>IF($A2898="","",DATE(YEAR($A2898),MONTH($A2898)+IF(AND(IFERROR(N(INDEX(Übersicht!$M$15:$M$22,MATCH($B2898,Übersicht!$A$15:$A$22,0))),0)&gt;1,DAY($A2898)&gt;=IFERROR(N(INDEX(Übersicht!$M$15:$M$22,MATCH($B2898,Übersicht!$A$15:$A$22,0))),0)),1,0),1))</f>
        <v/>
      </c>
    </row>
    <row r="2899">
      <c r="A2899" s="92" t="n"/>
      <c r="B2899" s="55" t="n"/>
      <c r="C2899" s="55" t="n"/>
      <c r="D2899" s="55" t="n"/>
      <c r="E2899" s="93" t="n"/>
      <c r="F2899" s="94" t="n"/>
      <c r="G2899" s="94" t="n"/>
      <c r="H2899" s="94" t="n"/>
      <c r="I2899" s="94" t="n"/>
      <c r="J2899" s="55" t="n"/>
      <c r="K2899" s="95" t="n"/>
      <c r="L2899" s="116">
        <f>IF($A2899="","",DATE(YEAR($A2899),MONTH($A2899)+IF(AND(IFERROR(N(INDEX(Übersicht!$M$15:$M$22,MATCH($B2899,Übersicht!$A$15:$A$22,0))),0)&gt;1,DAY($A2899)&gt;=IFERROR(N(INDEX(Übersicht!$M$15:$M$22,MATCH($B2899,Übersicht!$A$15:$A$22,0))),0)),1,0),1))</f>
        <v/>
      </c>
    </row>
    <row r="2900">
      <c r="A2900" s="92" t="n"/>
      <c r="B2900" s="55" t="n"/>
      <c r="C2900" s="55" t="n"/>
      <c r="D2900" s="55" t="n"/>
      <c r="E2900" s="93" t="n"/>
      <c r="F2900" s="94" t="n"/>
      <c r="G2900" s="94" t="n"/>
      <c r="H2900" s="94" t="n"/>
      <c r="I2900" s="94" t="n"/>
      <c r="J2900" s="55" t="n"/>
      <c r="K2900" s="95" t="n"/>
      <c r="L2900" s="116">
        <f>IF($A2900="","",DATE(YEAR($A2900),MONTH($A2900)+IF(AND(IFERROR(N(INDEX(Übersicht!$M$15:$M$22,MATCH($B2900,Übersicht!$A$15:$A$22,0))),0)&gt;1,DAY($A2900)&gt;=IFERROR(N(INDEX(Übersicht!$M$15:$M$22,MATCH($B2900,Übersicht!$A$15:$A$22,0))),0)),1,0),1))</f>
        <v/>
      </c>
    </row>
    <row r="2901">
      <c r="A2901" s="92" t="n"/>
      <c r="B2901" s="55" t="n"/>
      <c r="C2901" s="55" t="n"/>
      <c r="D2901" s="55" t="n"/>
      <c r="E2901" s="93" t="n"/>
      <c r="F2901" s="94" t="n"/>
      <c r="G2901" s="94" t="n"/>
      <c r="H2901" s="94" t="n"/>
      <c r="I2901" s="94" t="n"/>
      <c r="J2901" s="55" t="n"/>
      <c r="K2901" s="95" t="n"/>
      <c r="L2901" s="116">
        <f>IF($A2901="","",DATE(YEAR($A2901),MONTH($A2901)+IF(AND(IFERROR(N(INDEX(Übersicht!$M$15:$M$22,MATCH($B2901,Übersicht!$A$15:$A$22,0))),0)&gt;1,DAY($A2901)&gt;=IFERROR(N(INDEX(Übersicht!$M$15:$M$22,MATCH($B2901,Übersicht!$A$15:$A$22,0))),0)),1,0),1))</f>
        <v/>
      </c>
    </row>
    <row r="2902">
      <c r="A2902" s="92" t="n"/>
      <c r="B2902" s="55" t="n"/>
      <c r="C2902" s="55" t="n"/>
      <c r="D2902" s="55" t="n"/>
      <c r="E2902" s="93" t="n"/>
      <c r="F2902" s="94" t="n"/>
      <c r="G2902" s="94" t="n"/>
      <c r="H2902" s="94" t="n"/>
      <c r="I2902" s="94" t="n"/>
      <c r="J2902" s="55" t="n"/>
      <c r="K2902" s="95" t="n"/>
      <c r="L2902" s="116">
        <f>IF($A2902="","",DATE(YEAR($A2902),MONTH($A2902)+IF(AND(IFERROR(N(INDEX(Übersicht!$M$15:$M$22,MATCH($B2902,Übersicht!$A$15:$A$22,0))),0)&gt;1,DAY($A2902)&gt;=IFERROR(N(INDEX(Übersicht!$M$15:$M$22,MATCH($B2902,Übersicht!$A$15:$A$22,0))),0)),1,0),1))</f>
        <v/>
      </c>
    </row>
    <row r="2903">
      <c r="A2903" s="92" t="n"/>
      <c r="B2903" s="55" t="n"/>
      <c r="C2903" s="55" t="n"/>
      <c r="D2903" s="55" t="n"/>
      <c r="E2903" s="93" t="n"/>
      <c r="F2903" s="94" t="n"/>
      <c r="G2903" s="94" t="n"/>
      <c r="H2903" s="94" t="n"/>
      <c r="I2903" s="94" t="n"/>
      <c r="J2903" s="55" t="n"/>
      <c r="K2903" s="95" t="n"/>
      <c r="L2903" s="116">
        <f>IF($A2903="","",DATE(YEAR($A2903),MONTH($A2903)+IF(AND(IFERROR(N(INDEX(Übersicht!$M$15:$M$22,MATCH($B2903,Übersicht!$A$15:$A$22,0))),0)&gt;1,DAY($A2903)&gt;=IFERROR(N(INDEX(Übersicht!$M$15:$M$22,MATCH($B2903,Übersicht!$A$15:$A$22,0))),0)),1,0),1))</f>
        <v/>
      </c>
    </row>
    <row r="2904">
      <c r="A2904" s="92" t="n"/>
      <c r="B2904" s="55" t="n"/>
      <c r="C2904" s="55" t="n"/>
      <c r="D2904" s="55" t="n"/>
      <c r="E2904" s="93" t="n"/>
      <c r="F2904" s="94" t="n"/>
      <c r="G2904" s="94" t="n"/>
      <c r="H2904" s="94" t="n"/>
      <c r="I2904" s="94" t="n"/>
      <c r="J2904" s="55" t="n"/>
      <c r="K2904" s="95" t="n"/>
      <c r="L2904" s="116">
        <f>IF($A2904="","",DATE(YEAR($A2904),MONTH($A2904)+IF(AND(IFERROR(N(INDEX(Übersicht!$M$15:$M$22,MATCH($B2904,Übersicht!$A$15:$A$22,0))),0)&gt;1,DAY($A2904)&gt;=IFERROR(N(INDEX(Übersicht!$M$15:$M$22,MATCH($B2904,Übersicht!$A$15:$A$22,0))),0)),1,0),1))</f>
        <v/>
      </c>
    </row>
    <row r="2905">
      <c r="A2905" s="92" t="n"/>
      <c r="B2905" s="55" t="n"/>
      <c r="C2905" s="55" t="n"/>
      <c r="D2905" s="55" t="n"/>
      <c r="E2905" s="93" t="n"/>
      <c r="F2905" s="94" t="n"/>
      <c r="G2905" s="94" t="n"/>
      <c r="H2905" s="94" t="n"/>
      <c r="I2905" s="94" t="n"/>
      <c r="J2905" s="55" t="n"/>
      <c r="K2905" s="95" t="n"/>
      <c r="L2905" s="116">
        <f>IF($A2905="","",DATE(YEAR($A2905),MONTH($A2905)+IF(AND(IFERROR(N(INDEX(Übersicht!$M$15:$M$22,MATCH($B2905,Übersicht!$A$15:$A$22,0))),0)&gt;1,DAY($A2905)&gt;=IFERROR(N(INDEX(Übersicht!$M$15:$M$22,MATCH($B2905,Übersicht!$A$15:$A$22,0))),0)),1,0),1))</f>
        <v/>
      </c>
    </row>
    <row r="2906">
      <c r="A2906" s="92" t="n"/>
      <c r="B2906" s="55" t="n"/>
      <c r="C2906" s="55" t="n"/>
      <c r="D2906" s="55" t="n"/>
      <c r="E2906" s="93" t="n"/>
      <c r="F2906" s="94" t="n"/>
      <c r="G2906" s="94" t="n"/>
      <c r="H2906" s="94" t="n"/>
      <c r="I2906" s="94" t="n"/>
      <c r="J2906" s="55" t="n"/>
      <c r="K2906" s="95" t="n"/>
      <c r="L2906" s="116">
        <f>IF($A2906="","",DATE(YEAR($A2906),MONTH($A2906)+IF(AND(IFERROR(N(INDEX(Übersicht!$M$15:$M$22,MATCH($B2906,Übersicht!$A$15:$A$22,0))),0)&gt;1,DAY($A2906)&gt;=IFERROR(N(INDEX(Übersicht!$M$15:$M$22,MATCH($B2906,Übersicht!$A$15:$A$22,0))),0)),1,0),1))</f>
        <v/>
      </c>
    </row>
    <row r="2907">
      <c r="A2907" s="92" t="n"/>
      <c r="B2907" s="55" t="n"/>
      <c r="C2907" s="55" t="n"/>
      <c r="D2907" s="55" t="n"/>
      <c r="E2907" s="93" t="n"/>
      <c r="F2907" s="94" t="n"/>
      <c r="G2907" s="94" t="n"/>
      <c r="H2907" s="94" t="n"/>
      <c r="I2907" s="94" t="n"/>
      <c r="J2907" s="55" t="n"/>
      <c r="K2907" s="95" t="n"/>
      <c r="L2907" s="116">
        <f>IF($A2907="","",DATE(YEAR($A2907),MONTH($A2907)+IF(AND(IFERROR(N(INDEX(Übersicht!$M$15:$M$22,MATCH($B2907,Übersicht!$A$15:$A$22,0))),0)&gt;1,DAY($A2907)&gt;=IFERROR(N(INDEX(Übersicht!$M$15:$M$22,MATCH($B2907,Übersicht!$A$15:$A$22,0))),0)),1,0),1))</f>
        <v/>
      </c>
    </row>
    <row r="2908">
      <c r="A2908" s="92" t="n"/>
      <c r="B2908" s="55" t="n"/>
      <c r="C2908" s="55" t="n"/>
      <c r="D2908" s="55" t="n"/>
      <c r="E2908" s="93" t="n"/>
      <c r="F2908" s="94" t="n"/>
      <c r="G2908" s="94" t="n"/>
      <c r="H2908" s="94" t="n"/>
      <c r="I2908" s="94" t="n"/>
      <c r="J2908" s="55" t="n"/>
      <c r="K2908" s="95" t="n"/>
      <c r="L2908" s="116">
        <f>IF($A2908="","",DATE(YEAR($A2908),MONTH($A2908)+IF(AND(IFERROR(N(INDEX(Übersicht!$M$15:$M$22,MATCH($B2908,Übersicht!$A$15:$A$22,0))),0)&gt;1,DAY($A2908)&gt;=IFERROR(N(INDEX(Übersicht!$M$15:$M$22,MATCH($B2908,Übersicht!$A$15:$A$22,0))),0)),1,0),1))</f>
        <v/>
      </c>
    </row>
    <row r="2909">
      <c r="A2909" s="92" t="n"/>
      <c r="B2909" s="55" t="n"/>
      <c r="C2909" s="55" t="n"/>
      <c r="D2909" s="55" t="n"/>
      <c r="E2909" s="93" t="n"/>
      <c r="F2909" s="94" t="n"/>
      <c r="G2909" s="94" t="n"/>
      <c r="H2909" s="94" t="n"/>
      <c r="I2909" s="94" t="n"/>
      <c r="J2909" s="55" t="n"/>
      <c r="K2909" s="95" t="n"/>
      <c r="L2909" s="116">
        <f>IF($A2909="","",DATE(YEAR($A2909),MONTH($A2909)+IF(AND(IFERROR(N(INDEX(Übersicht!$M$15:$M$22,MATCH($B2909,Übersicht!$A$15:$A$22,0))),0)&gt;1,DAY($A2909)&gt;=IFERROR(N(INDEX(Übersicht!$M$15:$M$22,MATCH($B2909,Übersicht!$A$15:$A$22,0))),0)),1,0),1))</f>
        <v/>
      </c>
    </row>
    <row r="2910">
      <c r="A2910" s="92" t="n"/>
      <c r="B2910" s="55" t="n"/>
      <c r="C2910" s="55" t="n"/>
      <c r="D2910" s="55" t="n"/>
      <c r="E2910" s="93" t="n"/>
      <c r="F2910" s="94" t="n"/>
      <c r="G2910" s="94" t="n"/>
      <c r="H2910" s="94" t="n"/>
      <c r="I2910" s="94" t="n"/>
      <c r="J2910" s="55" t="n"/>
      <c r="K2910" s="95" t="n"/>
      <c r="L2910" s="116">
        <f>IF($A2910="","",DATE(YEAR($A2910),MONTH($A2910)+IF(AND(IFERROR(N(INDEX(Übersicht!$M$15:$M$22,MATCH($B2910,Übersicht!$A$15:$A$22,0))),0)&gt;1,DAY($A2910)&gt;=IFERROR(N(INDEX(Übersicht!$M$15:$M$22,MATCH($B2910,Übersicht!$A$15:$A$22,0))),0)),1,0),1))</f>
        <v/>
      </c>
    </row>
    <row r="2911">
      <c r="A2911" s="92" t="n"/>
      <c r="B2911" s="55" t="n"/>
      <c r="C2911" s="55" t="n"/>
      <c r="D2911" s="55" t="n"/>
      <c r="E2911" s="93" t="n"/>
      <c r="F2911" s="94" t="n"/>
      <c r="G2911" s="94" t="n"/>
      <c r="H2911" s="94" t="n"/>
      <c r="I2911" s="94" t="n"/>
      <c r="J2911" s="55" t="n"/>
      <c r="K2911" s="95" t="n"/>
      <c r="L2911" s="116">
        <f>IF($A2911="","",DATE(YEAR($A2911),MONTH($A2911)+IF(AND(IFERROR(N(INDEX(Übersicht!$M$15:$M$22,MATCH($B2911,Übersicht!$A$15:$A$22,0))),0)&gt;1,DAY($A2911)&gt;=IFERROR(N(INDEX(Übersicht!$M$15:$M$22,MATCH($B2911,Übersicht!$A$15:$A$22,0))),0)),1,0),1))</f>
        <v/>
      </c>
    </row>
    <row r="2912">
      <c r="A2912" s="92" t="n"/>
      <c r="B2912" s="55" t="n"/>
      <c r="C2912" s="55" t="n"/>
      <c r="D2912" s="55" t="n"/>
      <c r="E2912" s="93" t="n"/>
      <c r="F2912" s="94" t="n"/>
      <c r="G2912" s="94" t="n"/>
      <c r="H2912" s="94" t="n"/>
      <c r="I2912" s="94" t="n"/>
      <c r="J2912" s="55" t="n"/>
      <c r="K2912" s="95" t="n"/>
      <c r="L2912" s="116">
        <f>IF($A2912="","",DATE(YEAR($A2912),MONTH($A2912)+IF(AND(IFERROR(N(INDEX(Übersicht!$M$15:$M$22,MATCH($B2912,Übersicht!$A$15:$A$22,0))),0)&gt;1,DAY($A2912)&gt;=IFERROR(N(INDEX(Übersicht!$M$15:$M$22,MATCH($B2912,Übersicht!$A$15:$A$22,0))),0)),1,0),1))</f>
        <v/>
      </c>
    </row>
    <row r="2913">
      <c r="A2913" s="92" t="n"/>
      <c r="B2913" s="55" t="n"/>
      <c r="C2913" s="55" t="n"/>
      <c r="D2913" s="55" t="n"/>
      <c r="E2913" s="93" t="n"/>
      <c r="F2913" s="94" t="n"/>
      <c r="G2913" s="94" t="n"/>
      <c r="H2913" s="94" t="n"/>
      <c r="I2913" s="94" t="n"/>
      <c r="J2913" s="55" t="n"/>
      <c r="K2913" s="95" t="n"/>
      <c r="L2913" s="116">
        <f>IF($A2913="","",DATE(YEAR($A2913),MONTH($A2913)+IF(AND(IFERROR(N(INDEX(Übersicht!$M$15:$M$22,MATCH($B2913,Übersicht!$A$15:$A$22,0))),0)&gt;1,DAY($A2913)&gt;=IFERROR(N(INDEX(Übersicht!$M$15:$M$22,MATCH($B2913,Übersicht!$A$15:$A$22,0))),0)),1,0),1))</f>
        <v/>
      </c>
    </row>
    <row r="2914">
      <c r="A2914" s="92" t="n"/>
      <c r="B2914" s="55" t="n"/>
      <c r="C2914" s="55" t="n"/>
      <c r="D2914" s="55" t="n"/>
      <c r="E2914" s="93" t="n"/>
      <c r="F2914" s="94" t="n"/>
      <c r="G2914" s="94" t="n"/>
      <c r="H2914" s="94" t="n"/>
      <c r="I2914" s="94" t="n"/>
      <c r="J2914" s="55" t="n"/>
      <c r="K2914" s="95" t="n"/>
      <c r="L2914" s="116">
        <f>IF($A2914="","",DATE(YEAR($A2914),MONTH($A2914)+IF(AND(IFERROR(N(INDEX(Übersicht!$M$15:$M$22,MATCH($B2914,Übersicht!$A$15:$A$22,0))),0)&gt;1,DAY($A2914)&gt;=IFERROR(N(INDEX(Übersicht!$M$15:$M$22,MATCH($B2914,Übersicht!$A$15:$A$22,0))),0)),1,0),1))</f>
        <v/>
      </c>
    </row>
    <row r="2915">
      <c r="A2915" s="92" t="n"/>
      <c r="B2915" s="55" t="n"/>
      <c r="C2915" s="55" t="n"/>
      <c r="D2915" s="55" t="n"/>
      <c r="E2915" s="93" t="n"/>
      <c r="F2915" s="94" t="n"/>
      <c r="G2915" s="94" t="n"/>
      <c r="H2915" s="94" t="n"/>
      <c r="I2915" s="94" t="n"/>
      <c r="J2915" s="55" t="n"/>
      <c r="K2915" s="95" t="n"/>
      <c r="L2915" s="116">
        <f>IF($A2915="","",DATE(YEAR($A2915),MONTH($A2915)+IF(AND(IFERROR(N(INDEX(Übersicht!$M$15:$M$22,MATCH($B2915,Übersicht!$A$15:$A$22,0))),0)&gt;1,DAY($A2915)&gt;=IFERROR(N(INDEX(Übersicht!$M$15:$M$22,MATCH($B2915,Übersicht!$A$15:$A$22,0))),0)),1,0),1))</f>
        <v/>
      </c>
    </row>
    <row r="2916">
      <c r="A2916" s="92" t="n"/>
      <c r="B2916" s="55" t="n"/>
      <c r="C2916" s="55" t="n"/>
      <c r="D2916" s="55" t="n"/>
      <c r="E2916" s="93" t="n"/>
      <c r="F2916" s="94" t="n"/>
      <c r="G2916" s="94" t="n"/>
      <c r="H2916" s="94" t="n"/>
      <c r="I2916" s="94" t="n"/>
      <c r="J2916" s="55" t="n"/>
      <c r="K2916" s="95" t="n"/>
      <c r="L2916" s="116">
        <f>IF($A2916="","",DATE(YEAR($A2916),MONTH($A2916)+IF(AND(IFERROR(N(INDEX(Übersicht!$M$15:$M$22,MATCH($B2916,Übersicht!$A$15:$A$22,0))),0)&gt;1,DAY($A2916)&gt;=IFERROR(N(INDEX(Übersicht!$M$15:$M$22,MATCH($B2916,Übersicht!$A$15:$A$22,0))),0)),1,0),1))</f>
        <v/>
      </c>
    </row>
    <row r="2917">
      <c r="A2917" s="92" t="n"/>
      <c r="B2917" s="55" t="n"/>
      <c r="C2917" s="55" t="n"/>
      <c r="D2917" s="55" t="n"/>
      <c r="E2917" s="93" t="n"/>
      <c r="F2917" s="94" t="n"/>
      <c r="G2917" s="94" t="n"/>
      <c r="H2917" s="94" t="n"/>
      <c r="I2917" s="94" t="n"/>
      <c r="J2917" s="55" t="n"/>
      <c r="K2917" s="95" t="n"/>
      <c r="L2917" s="116">
        <f>IF($A2917="","",DATE(YEAR($A2917),MONTH($A2917)+IF(AND(IFERROR(N(INDEX(Übersicht!$M$15:$M$22,MATCH($B2917,Übersicht!$A$15:$A$22,0))),0)&gt;1,DAY($A2917)&gt;=IFERROR(N(INDEX(Übersicht!$M$15:$M$22,MATCH($B2917,Übersicht!$A$15:$A$22,0))),0)),1,0),1))</f>
        <v/>
      </c>
    </row>
    <row r="2918">
      <c r="A2918" s="92" t="n"/>
      <c r="B2918" s="55" t="n"/>
      <c r="C2918" s="55" t="n"/>
      <c r="D2918" s="55" t="n"/>
      <c r="E2918" s="93" t="n"/>
      <c r="F2918" s="94" t="n"/>
      <c r="G2918" s="94" t="n"/>
      <c r="H2918" s="94" t="n"/>
      <c r="I2918" s="94" t="n"/>
      <c r="J2918" s="55" t="n"/>
      <c r="K2918" s="95" t="n"/>
      <c r="L2918" s="116">
        <f>IF($A2918="","",DATE(YEAR($A2918),MONTH($A2918)+IF(AND(IFERROR(N(INDEX(Übersicht!$M$15:$M$22,MATCH($B2918,Übersicht!$A$15:$A$22,0))),0)&gt;1,DAY($A2918)&gt;=IFERROR(N(INDEX(Übersicht!$M$15:$M$22,MATCH($B2918,Übersicht!$A$15:$A$22,0))),0)),1,0),1))</f>
        <v/>
      </c>
    </row>
    <row r="2919">
      <c r="A2919" s="92" t="n"/>
      <c r="B2919" s="55" t="n"/>
      <c r="C2919" s="55" t="n"/>
      <c r="D2919" s="55" t="n"/>
      <c r="E2919" s="93" t="n"/>
      <c r="F2919" s="94" t="n"/>
      <c r="G2919" s="94" t="n"/>
      <c r="H2919" s="94" t="n"/>
      <c r="I2919" s="94" t="n"/>
      <c r="J2919" s="55" t="n"/>
      <c r="K2919" s="95" t="n"/>
      <c r="L2919" s="116">
        <f>IF($A2919="","",DATE(YEAR($A2919),MONTH($A2919)+IF(AND(IFERROR(N(INDEX(Übersicht!$M$15:$M$22,MATCH($B2919,Übersicht!$A$15:$A$22,0))),0)&gt;1,DAY($A2919)&gt;=IFERROR(N(INDEX(Übersicht!$M$15:$M$22,MATCH($B2919,Übersicht!$A$15:$A$22,0))),0)),1,0),1))</f>
        <v/>
      </c>
    </row>
    <row r="2920">
      <c r="A2920" s="92" t="n"/>
      <c r="B2920" s="55" t="n"/>
      <c r="C2920" s="55" t="n"/>
      <c r="D2920" s="55" t="n"/>
      <c r="E2920" s="93" t="n"/>
      <c r="F2920" s="94" t="n"/>
      <c r="G2920" s="94" t="n"/>
      <c r="H2920" s="94" t="n"/>
      <c r="I2920" s="94" t="n"/>
      <c r="J2920" s="55" t="n"/>
      <c r="K2920" s="95" t="n"/>
      <c r="L2920" s="116">
        <f>IF($A2920="","",DATE(YEAR($A2920),MONTH($A2920)+IF(AND(IFERROR(N(INDEX(Übersicht!$M$15:$M$22,MATCH($B2920,Übersicht!$A$15:$A$22,0))),0)&gt;1,DAY($A2920)&gt;=IFERROR(N(INDEX(Übersicht!$M$15:$M$22,MATCH($B2920,Übersicht!$A$15:$A$22,0))),0)),1,0),1))</f>
        <v/>
      </c>
    </row>
    <row r="2921">
      <c r="A2921" s="92" t="n"/>
      <c r="B2921" s="55" t="n"/>
      <c r="C2921" s="55" t="n"/>
      <c r="D2921" s="55" t="n"/>
      <c r="E2921" s="93" t="n"/>
      <c r="F2921" s="94" t="n"/>
      <c r="G2921" s="94" t="n"/>
      <c r="H2921" s="94" t="n"/>
      <c r="I2921" s="94" t="n"/>
      <c r="J2921" s="55" t="n"/>
      <c r="K2921" s="95" t="n"/>
      <c r="L2921" s="116">
        <f>IF($A2921="","",DATE(YEAR($A2921),MONTH($A2921)+IF(AND(IFERROR(N(INDEX(Übersicht!$M$15:$M$22,MATCH($B2921,Übersicht!$A$15:$A$22,0))),0)&gt;1,DAY($A2921)&gt;=IFERROR(N(INDEX(Übersicht!$M$15:$M$22,MATCH($B2921,Übersicht!$A$15:$A$22,0))),0)),1,0),1))</f>
        <v/>
      </c>
    </row>
    <row r="2922">
      <c r="A2922" s="92" t="n"/>
      <c r="B2922" s="55" t="n"/>
      <c r="C2922" s="55" t="n"/>
      <c r="D2922" s="55" t="n"/>
      <c r="E2922" s="93" t="n"/>
      <c r="F2922" s="94" t="n"/>
      <c r="G2922" s="94" t="n"/>
      <c r="H2922" s="94" t="n"/>
      <c r="I2922" s="94" t="n"/>
      <c r="J2922" s="55" t="n"/>
      <c r="K2922" s="95" t="n"/>
      <c r="L2922" s="116">
        <f>IF($A2922="","",DATE(YEAR($A2922),MONTH($A2922)+IF(AND(IFERROR(N(INDEX(Übersicht!$M$15:$M$22,MATCH($B2922,Übersicht!$A$15:$A$22,0))),0)&gt;1,DAY($A2922)&gt;=IFERROR(N(INDEX(Übersicht!$M$15:$M$22,MATCH($B2922,Übersicht!$A$15:$A$22,0))),0)),1,0),1))</f>
        <v/>
      </c>
    </row>
    <row r="2923">
      <c r="A2923" s="92" t="n"/>
      <c r="B2923" s="55" t="n"/>
      <c r="C2923" s="55" t="n"/>
      <c r="D2923" s="55" t="n"/>
      <c r="E2923" s="93" t="n"/>
      <c r="F2923" s="94" t="n"/>
      <c r="G2923" s="94" t="n"/>
      <c r="H2923" s="94" t="n"/>
      <c r="I2923" s="94" t="n"/>
      <c r="J2923" s="55" t="n"/>
      <c r="K2923" s="95" t="n"/>
      <c r="L2923" s="116">
        <f>IF($A2923="","",DATE(YEAR($A2923),MONTH($A2923)+IF(AND(IFERROR(N(INDEX(Übersicht!$M$15:$M$22,MATCH($B2923,Übersicht!$A$15:$A$22,0))),0)&gt;1,DAY($A2923)&gt;=IFERROR(N(INDEX(Übersicht!$M$15:$M$22,MATCH($B2923,Übersicht!$A$15:$A$22,0))),0)),1,0),1))</f>
        <v/>
      </c>
    </row>
    <row r="2924">
      <c r="A2924" s="92" t="n"/>
      <c r="B2924" s="55" t="n"/>
      <c r="C2924" s="55" t="n"/>
      <c r="D2924" s="55" t="n"/>
      <c r="E2924" s="93" t="n"/>
      <c r="F2924" s="94" t="n"/>
      <c r="G2924" s="94" t="n"/>
      <c r="H2924" s="94" t="n"/>
      <c r="I2924" s="94" t="n"/>
      <c r="J2924" s="55" t="n"/>
      <c r="K2924" s="95" t="n"/>
      <c r="L2924" s="116">
        <f>IF($A2924="","",DATE(YEAR($A2924),MONTH($A2924)+IF(AND(IFERROR(N(INDEX(Übersicht!$M$15:$M$22,MATCH($B2924,Übersicht!$A$15:$A$22,0))),0)&gt;1,DAY($A2924)&gt;=IFERROR(N(INDEX(Übersicht!$M$15:$M$22,MATCH($B2924,Übersicht!$A$15:$A$22,0))),0)),1,0),1))</f>
        <v/>
      </c>
    </row>
    <row r="2925">
      <c r="A2925" s="92" t="n"/>
      <c r="B2925" s="55" t="n"/>
      <c r="C2925" s="55" t="n"/>
      <c r="D2925" s="55" t="n"/>
      <c r="E2925" s="93" t="n"/>
      <c r="F2925" s="94" t="n"/>
      <c r="G2925" s="94" t="n"/>
      <c r="H2925" s="94" t="n"/>
      <c r="I2925" s="94" t="n"/>
      <c r="J2925" s="55" t="n"/>
      <c r="K2925" s="95" t="n"/>
      <c r="L2925" s="116">
        <f>IF($A2925="","",DATE(YEAR($A2925),MONTH($A2925)+IF(AND(IFERROR(N(INDEX(Übersicht!$M$15:$M$22,MATCH($B2925,Übersicht!$A$15:$A$22,0))),0)&gt;1,DAY($A2925)&gt;=IFERROR(N(INDEX(Übersicht!$M$15:$M$22,MATCH($B2925,Übersicht!$A$15:$A$22,0))),0)),1,0),1))</f>
        <v/>
      </c>
    </row>
    <row r="2926">
      <c r="A2926" s="92" t="n"/>
      <c r="B2926" s="55" t="n"/>
      <c r="C2926" s="55" t="n"/>
      <c r="D2926" s="55" t="n"/>
      <c r="E2926" s="93" t="n"/>
      <c r="F2926" s="94" t="n"/>
      <c r="G2926" s="94" t="n"/>
      <c r="H2926" s="94" t="n"/>
      <c r="I2926" s="94" t="n"/>
      <c r="J2926" s="55" t="n"/>
      <c r="K2926" s="95" t="n"/>
      <c r="L2926" s="116">
        <f>IF($A2926="","",DATE(YEAR($A2926),MONTH($A2926)+IF(AND(IFERROR(N(INDEX(Übersicht!$M$15:$M$22,MATCH($B2926,Übersicht!$A$15:$A$22,0))),0)&gt;1,DAY($A2926)&gt;=IFERROR(N(INDEX(Übersicht!$M$15:$M$22,MATCH($B2926,Übersicht!$A$15:$A$22,0))),0)),1,0),1))</f>
        <v/>
      </c>
    </row>
    <row r="2927">
      <c r="A2927" s="92" t="n"/>
      <c r="B2927" s="55" t="n"/>
      <c r="C2927" s="55" t="n"/>
      <c r="D2927" s="55" t="n"/>
      <c r="E2927" s="93" t="n"/>
      <c r="F2927" s="94" t="n"/>
      <c r="G2927" s="94" t="n"/>
      <c r="H2927" s="94" t="n"/>
      <c r="I2927" s="94" t="n"/>
      <c r="J2927" s="55" t="n"/>
      <c r="K2927" s="95" t="n"/>
      <c r="L2927" s="116">
        <f>IF($A2927="","",DATE(YEAR($A2927),MONTH($A2927)+IF(AND(IFERROR(N(INDEX(Übersicht!$M$15:$M$22,MATCH($B2927,Übersicht!$A$15:$A$22,0))),0)&gt;1,DAY($A2927)&gt;=IFERROR(N(INDEX(Übersicht!$M$15:$M$22,MATCH($B2927,Übersicht!$A$15:$A$22,0))),0)),1,0),1))</f>
        <v/>
      </c>
    </row>
    <row r="2928">
      <c r="A2928" s="92" t="n"/>
      <c r="B2928" s="55" t="n"/>
      <c r="C2928" s="55" t="n"/>
      <c r="D2928" s="55" t="n"/>
      <c r="E2928" s="93" t="n"/>
      <c r="F2928" s="94" t="n"/>
      <c r="G2928" s="94" t="n"/>
      <c r="H2928" s="94" t="n"/>
      <c r="I2928" s="94" t="n"/>
      <c r="J2928" s="55" t="n"/>
      <c r="K2928" s="95" t="n"/>
      <c r="L2928" s="116">
        <f>IF($A2928="","",DATE(YEAR($A2928),MONTH($A2928)+IF(AND(IFERROR(N(INDEX(Übersicht!$M$15:$M$22,MATCH($B2928,Übersicht!$A$15:$A$22,0))),0)&gt;1,DAY($A2928)&gt;=IFERROR(N(INDEX(Übersicht!$M$15:$M$22,MATCH($B2928,Übersicht!$A$15:$A$22,0))),0)),1,0),1))</f>
        <v/>
      </c>
    </row>
    <row r="2929">
      <c r="A2929" s="92" t="n"/>
      <c r="B2929" s="55" t="n"/>
      <c r="C2929" s="55" t="n"/>
      <c r="D2929" s="55" t="n"/>
      <c r="E2929" s="93" t="n"/>
      <c r="F2929" s="94" t="n"/>
      <c r="G2929" s="94" t="n"/>
      <c r="H2929" s="94" t="n"/>
      <c r="I2929" s="94" t="n"/>
      <c r="J2929" s="55" t="n"/>
      <c r="K2929" s="95" t="n"/>
      <c r="L2929" s="116">
        <f>IF($A2929="","",DATE(YEAR($A2929),MONTH($A2929)+IF(AND(IFERROR(N(INDEX(Übersicht!$M$15:$M$22,MATCH($B2929,Übersicht!$A$15:$A$22,0))),0)&gt;1,DAY($A2929)&gt;=IFERROR(N(INDEX(Übersicht!$M$15:$M$22,MATCH($B2929,Übersicht!$A$15:$A$22,0))),0)),1,0),1))</f>
        <v/>
      </c>
    </row>
    <row r="2930">
      <c r="A2930" s="92" t="n"/>
      <c r="B2930" s="55" t="n"/>
      <c r="C2930" s="55" t="n"/>
      <c r="D2930" s="55" t="n"/>
      <c r="E2930" s="93" t="n"/>
      <c r="F2930" s="94" t="n"/>
      <c r="G2930" s="94" t="n"/>
      <c r="H2930" s="94" t="n"/>
      <c r="I2930" s="94" t="n"/>
      <c r="J2930" s="55" t="n"/>
      <c r="K2930" s="95" t="n"/>
      <c r="L2930" s="116">
        <f>IF($A2930="","",DATE(YEAR($A2930),MONTH($A2930)+IF(AND(IFERROR(N(INDEX(Übersicht!$M$15:$M$22,MATCH($B2930,Übersicht!$A$15:$A$22,0))),0)&gt;1,DAY($A2930)&gt;=IFERROR(N(INDEX(Übersicht!$M$15:$M$22,MATCH($B2930,Übersicht!$A$15:$A$22,0))),0)),1,0),1))</f>
        <v/>
      </c>
    </row>
    <row r="2931">
      <c r="A2931" s="92" t="n"/>
      <c r="B2931" s="55" t="n"/>
      <c r="C2931" s="55" t="n"/>
      <c r="D2931" s="55" t="n"/>
      <c r="E2931" s="93" t="n"/>
      <c r="F2931" s="94" t="n"/>
      <c r="G2931" s="94" t="n"/>
      <c r="H2931" s="94" t="n"/>
      <c r="I2931" s="94" t="n"/>
      <c r="J2931" s="55" t="n"/>
      <c r="K2931" s="95" t="n"/>
      <c r="L2931" s="116">
        <f>IF($A2931="","",DATE(YEAR($A2931),MONTH($A2931)+IF(AND(IFERROR(N(INDEX(Übersicht!$M$15:$M$22,MATCH($B2931,Übersicht!$A$15:$A$22,0))),0)&gt;1,DAY($A2931)&gt;=IFERROR(N(INDEX(Übersicht!$M$15:$M$22,MATCH($B2931,Übersicht!$A$15:$A$22,0))),0)),1,0),1))</f>
        <v/>
      </c>
    </row>
    <row r="2932">
      <c r="A2932" s="92" t="n"/>
      <c r="B2932" s="55" t="n"/>
      <c r="C2932" s="55" t="n"/>
      <c r="D2932" s="55" t="n"/>
      <c r="E2932" s="93" t="n"/>
      <c r="F2932" s="94" t="n"/>
      <c r="G2932" s="94" t="n"/>
      <c r="H2932" s="94" t="n"/>
      <c r="I2932" s="94" t="n"/>
      <c r="J2932" s="55" t="n"/>
      <c r="K2932" s="95" t="n"/>
      <c r="L2932" s="116">
        <f>IF($A2932="","",DATE(YEAR($A2932),MONTH($A2932)+IF(AND(IFERROR(N(INDEX(Übersicht!$M$15:$M$22,MATCH($B2932,Übersicht!$A$15:$A$22,0))),0)&gt;1,DAY($A2932)&gt;=IFERROR(N(INDEX(Übersicht!$M$15:$M$22,MATCH($B2932,Übersicht!$A$15:$A$22,0))),0)),1,0),1))</f>
        <v/>
      </c>
    </row>
    <row r="2933">
      <c r="A2933" s="92" t="n"/>
      <c r="B2933" s="55" t="n"/>
      <c r="C2933" s="55" t="n"/>
      <c r="D2933" s="55" t="n"/>
      <c r="E2933" s="93" t="n"/>
      <c r="F2933" s="94" t="n"/>
      <c r="G2933" s="94" t="n"/>
      <c r="H2933" s="94" t="n"/>
      <c r="I2933" s="94" t="n"/>
      <c r="J2933" s="55" t="n"/>
      <c r="K2933" s="95" t="n"/>
      <c r="L2933" s="116">
        <f>IF($A2933="","",DATE(YEAR($A2933),MONTH($A2933)+IF(AND(IFERROR(N(INDEX(Übersicht!$M$15:$M$22,MATCH($B2933,Übersicht!$A$15:$A$22,0))),0)&gt;1,DAY($A2933)&gt;=IFERROR(N(INDEX(Übersicht!$M$15:$M$22,MATCH($B2933,Übersicht!$A$15:$A$22,0))),0)),1,0),1))</f>
        <v/>
      </c>
    </row>
    <row r="2934">
      <c r="A2934" s="92" t="n"/>
      <c r="B2934" s="55" t="n"/>
      <c r="C2934" s="55" t="n"/>
      <c r="D2934" s="55" t="n"/>
      <c r="E2934" s="93" t="n"/>
      <c r="F2934" s="94" t="n"/>
      <c r="G2934" s="94" t="n"/>
      <c r="H2934" s="94" t="n"/>
      <c r="I2934" s="94" t="n"/>
      <c r="J2934" s="55" t="n"/>
      <c r="K2934" s="95" t="n"/>
      <c r="L2934" s="116">
        <f>IF($A2934="","",DATE(YEAR($A2934),MONTH($A2934)+IF(AND(IFERROR(N(INDEX(Übersicht!$M$15:$M$22,MATCH($B2934,Übersicht!$A$15:$A$22,0))),0)&gt;1,DAY($A2934)&gt;=IFERROR(N(INDEX(Übersicht!$M$15:$M$22,MATCH($B2934,Übersicht!$A$15:$A$22,0))),0)),1,0),1))</f>
        <v/>
      </c>
    </row>
    <row r="2935">
      <c r="A2935" s="92" t="n"/>
      <c r="B2935" s="55" t="n"/>
      <c r="C2935" s="55" t="n"/>
      <c r="D2935" s="55" t="n"/>
      <c r="E2935" s="93" t="n"/>
      <c r="F2935" s="94" t="n"/>
      <c r="G2935" s="94" t="n"/>
      <c r="H2935" s="94" t="n"/>
      <c r="I2935" s="94" t="n"/>
      <c r="J2935" s="55" t="n"/>
      <c r="K2935" s="95" t="n"/>
      <c r="L2935" s="116">
        <f>IF($A2935="","",DATE(YEAR($A2935),MONTH($A2935)+IF(AND(IFERROR(N(INDEX(Übersicht!$M$15:$M$22,MATCH($B2935,Übersicht!$A$15:$A$22,0))),0)&gt;1,DAY($A2935)&gt;=IFERROR(N(INDEX(Übersicht!$M$15:$M$22,MATCH($B2935,Übersicht!$A$15:$A$22,0))),0)),1,0),1))</f>
        <v/>
      </c>
    </row>
    <row r="2936">
      <c r="A2936" s="92" t="n"/>
      <c r="B2936" s="55" t="n"/>
      <c r="C2936" s="55" t="n"/>
      <c r="D2936" s="55" t="n"/>
      <c r="E2936" s="93" t="n"/>
      <c r="F2936" s="94" t="n"/>
      <c r="G2936" s="94" t="n"/>
      <c r="H2936" s="94" t="n"/>
      <c r="I2936" s="94" t="n"/>
      <c r="J2936" s="55" t="n"/>
      <c r="K2936" s="95" t="n"/>
      <c r="L2936" s="116">
        <f>IF($A2936="","",DATE(YEAR($A2936),MONTH($A2936)+IF(AND(IFERROR(N(INDEX(Übersicht!$M$15:$M$22,MATCH($B2936,Übersicht!$A$15:$A$22,0))),0)&gt;1,DAY($A2936)&gt;=IFERROR(N(INDEX(Übersicht!$M$15:$M$22,MATCH($B2936,Übersicht!$A$15:$A$22,0))),0)),1,0),1))</f>
        <v/>
      </c>
    </row>
    <row r="2937">
      <c r="A2937" s="92" t="n"/>
      <c r="B2937" s="55" t="n"/>
      <c r="C2937" s="55" t="n"/>
      <c r="D2937" s="55" t="n"/>
      <c r="E2937" s="93" t="n"/>
      <c r="F2937" s="94" t="n"/>
      <c r="G2937" s="94" t="n"/>
      <c r="H2937" s="94" t="n"/>
      <c r="I2937" s="94" t="n"/>
      <c r="J2937" s="55" t="n"/>
      <c r="K2937" s="95" t="n"/>
      <c r="L2937" s="116">
        <f>IF($A2937="","",DATE(YEAR($A2937),MONTH($A2937)+IF(AND(IFERROR(N(INDEX(Übersicht!$M$15:$M$22,MATCH($B2937,Übersicht!$A$15:$A$22,0))),0)&gt;1,DAY($A2937)&gt;=IFERROR(N(INDEX(Übersicht!$M$15:$M$22,MATCH($B2937,Übersicht!$A$15:$A$22,0))),0)),1,0),1))</f>
        <v/>
      </c>
    </row>
    <row r="2938">
      <c r="A2938" s="92" t="n"/>
      <c r="B2938" s="55" t="n"/>
      <c r="C2938" s="55" t="n"/>
      <c r="D2938" s="55" t="n"/>
      <c r="E2938" s="93" t="n"/>
      <c r="F2938" s="94" t="n"/>
      <c r="G2938" s="94" t="n"/>
      <c r="H2938" s="94" t="n"/>
      <c r="I2938" s="94" t="n"/>
      <c r="J2938" s="55" t="n"/>
      <c r="K2938" s="95" t="n"/>
      <c r="L2938" s="116">
        <f>IF($A2938="","",DATE(YEAR($A2938),MONTH($A2938)+IF(AND(IFERROR(N(INDEX(Übersicht!$M$15:$M$22,MATCH($B2938,Übersicht!$A$15:$A$22,0))),0)&gt;1,DAY($A2938)&gt;=IFERROR(N(INDEX(Übersicht!$M$15:$M$22,MATCH($B2938,Übersicht!$A$15:$A$22,0))),0)),1,0),1))</f>
        <v/>
      </c>
    </row>
    <row r="2939">
      <c r="A2939" s="92" t="n"/>
      <c r="B2939" s="55" t="n"/>
      <c r="C2939" s="55" t="n"/>
      <c r="D2939" s="55" t="n"/>
      <c r="E2939" s="93" t="n"/>
      <c r="F2939" s="94" t="n"/>
      <c r="G2939" s="94" t="n"/>
      <c r="H2939" s="94" t="n"/>
      <c r="I2939" s="94" t="n"/>
      <c r="J2939" s="55" t="n"/>
      <c r="K2939" s="95" t="n"/>
      <c r="L2939" s="116">
        <f>IF($A2939="","",DATE(YEAR($A2939),MONTH($A2939)+IF(AND(IFERROR(N(INDEX(Übersicht!$M$15:$M$22,MATCH($B2939,Übersicht!$A$15:$A$22,0))),0)&gt;1,DAY($A2939)&gt;=IFERROR(N(INDEX(Übersicht!$M$15:$M$22,MATCH($B2939,Übersicht!$A$15:$A$22,0))),0)),1,0),1))</f>
        <v/>
      </c>
    </row>
    <row r="2940">
      <c r="A2940" s="92" t="n"/>
      <c r="B2940" s="55" t="n"/>
      <c r="C2940" s="55" t="n"/>
      <c r="D2940" s="55" t="n"/>
      <c r="E2940" s="93" t="n"/>
      <c r="F2940" s="94" t="n"/>
      <c r="G2940" s="94" t="n"/>
      <c r="H2940" s="94" t="n"/>
      <c r="I2940" s="94" t="n"/>
      <c r="J2940" s="55" t="n"/>
      <c r="K2940" s="95" t="n"/>
      <c r="L2940" s="116">
        <f>IF($A2940="","",DATE(YEAR($A2940),MONTH($A2940)+IF(AND(IFERROR(N(INDEX(Übersicht!$M$15:$M$22,MATCH($B2940,Übersicht!$A$15:$A$22,0))),0)&gt;1,DAY($A2940)&gt;=IFERROR(N(INDEX(Übersicht!$M$15:$M$22,MATCH($B2940,Übersicht!$A$15:$A$22,0))),0)),1,0),1))</f>
        <v/>
      </c>
    </row>
    <row r="2941">
      <c r="A2941" s="92" t="n"/>
      <c r="B2941" s="55" t="n"/>
      <c r="C2941" s="55" t="n"/>
      <c r="D2941" s="55" t="n"/>
      <c r="E2941" s="93" t="n"/>
      <c r="F2941" s="94" t="n"/>
      <c r="G2941" s="94" t="n"/>
      <c r="H2941" s="94" t="n"/>
      <c r="I2941" s="94" t="n"/>
      <c r="J2941" s="55" t="n"/>
      <c r="K2941" s="95" t="n"/>
      <c r="L2941" s="116">
        <f>IF($A2941="","",DATE(YEAR($A2941),MONTH($A2941)+IF(AND(IFERROR(N(INDEX(Übersicht!$M$15:$M$22,MATCH($B2941,Übersicht!$A$15:$A$22,0))),0)&gt;1,DAY($A2941)&gt;=IFERROR(N(INDEX(Übersicht!$M$15:$M$22,MATCH($B2941,Übersicht!$A$15:$A$22,0))),0)),1,0),1))</f>
        <v/>
      </c>
    </row>
    <row r="2942">
      <c r="A2942" s="92" t="n"/>
      <c r="B2942" s="55" t="n"/>
      <c r="C2942" s="55" t="n"/>
      <c r="D2942" s="55" t="n"/>
      <c r="E2942" s="93" t="n"/>
      <c r="F2942" s="94" t="n"/>
      <c r="G2942" s="94" t="n"/>
      <c r="H2942" s="94" t="n"/>
      <c r="I2942" s="94" t="n"/>
      <c r="J2942" s="55" t="n"/>
      <c r="K2942" s="95" t="n"/>
      <c r="L2942" s="116">
        <f>IF($A2942="","",DATE(YEAR($A2942),MONTH($A2942)+IF(AND(IFERROR(N(INDEX(Übersicht!$M$15:$M$22,MATCH($B2942,Übersicht!$A$15:$A$22,0))),0)&gt;1,DAY($A2942)&gt;=IFERROR(N(INDEX(Übersicht!$M$15:$M$22,MATCH($B2942,Übersicht!$A$15:$A$22,0))),0)),1,0),1))</f>
        <v/>
      </c>
    </row>
    <row r="2943">
      <c r="A2943" s="92" t="n"/>
      <c r="B2943" s="55" t="n"/>
      <c r="C2943" s="55" t="n"/>
      <c r="D2943" s="55" t="n"/>
      <c r="E2943" s="93" t="n"/>
      <c r="F2943" s="94" t="n"/>
      <c r="G2943" s="94" t="n"/>
      <c r="H2943" s="94" t="n"/>
      <c r="I2943" s="94" t="n"/>
      <c r="J2943" s="55" t="n"/>
      <c r="K2943" s="95" t="n"/>
      <c r="L2943" s="116">
        <f>IF($A2943="","",DATE(YEAR($A2943),MONTH($A2943)+IF(AND(IFERROR(N(INDEX(Übersicht!$M$15:$M$22,MATCH($B2943,Übersicht!$A$15:$A$22,0))),0)&gt;1,DAY($A2943)&gt;=IFERROR(N(INDEX(Übersicht!$M$15:$M$22,MATCH($B2943,Übersicht!$A$15:$A$22,0))),0)),1,0),1))</f>
        <v/>
      </c>
    </row>
    <row r="2944">
      <c r="A2944" s="92" t="n"/>
      <c r="B2944" s="55" t="n"/>
      <c r="C2944" s="55" t="n"/>
      <c r="D2944" s="55" t="n"/>
      <c r="E2944" s="93" t="n"/>
      <c r="F2944" s="94" t="n"/>
      <c r="G2944" s="94" t="n"/>
      <c r="H2944" s="94" t="n"/>
      <c r="I2944" s="94" t="n"/>
      <c r="J2944" s="55" t="n"/>
      <c r="K2944" s="95" t="n"/>
      <c r="L2944" s="116">
        <f>IF($A2944="","",DATE(YEAR($A2944),MONTH($A2944)+IF(AND(IFERROR(N(INDEX(Übersicht!$M$15:$M$22,MATCH($B2944,Übersicht!$A$15:$A$22,0))),0)&gt;1,DAY($A2944)&gt;=IFERROR(N(INDEX(Übersicht!$M$15:$M$22,MATCH($B2944,Übersicht!$A$15:$A$22,0))),0)),1,0),1))</f>
        <v/>
      </c>
    </row>
    <row r="2945">
      <c r="A2945" s="92" t="n"/>
      <c r="B2945" s="55" t="n"/>
      <c r="C2945" s="55" t="n"/>
      <c r="D2945" s="55" t="n"/>
      <c r="E2945" s="93" t="n"/>
      <c r="F2945" s="94" t="n"/>
      <c r="G2945" s="94" t="n"/>
      <c r="H2945" s="94" t="n"/>
      <c r="I2945" s="94" t="n"/>
      <c r="J2945" s="55" t="n"/>
      <c r="K2945" s="95" t="n"/>
      <c r="L2945" s="116">
        <f>IF($A2945="","",DATE(YEAR($A2945),MONTH($A2945)+IF(AND(IFERROR(N(INDEX(Übersicht!$M$15:$M$22,MATCH($B2945,Übersicht!$A$15:$A$22,0))),0)&gt;1,DAY($A2945)&gt;=IFERROR(N(INDEX(Übersicht!$M$15:$M$22,MATCH($B2945,Übersicht!$A$15:$A$22,0))),0)),1,0),1))</f>
        <v/>
      </c>
    </row>
    <row r="2946">
      <c r="A2946" s="92" t="n"/>
      <c r="B2946" s="55" t="n"/>
      <c r="C2946" s="55" t="n"/>
      <c r="D2946" s="55" t="n"/>
      <c r="E2946" s="93" t="n"/>
      <c r="F2946" s="94" t="n"/>
      <c r="G2946" s="94" t="n"/>
      <c r="H2946" s="94" t="n"/>
      <c r="I2946" s="94" t="n"/>
      <c r="J2946" s="55" t="n"/>
      <c r="K2946" s="95" t="n"/>
      <c r="L2946" s="116">
        <f>IF($A2946="","",DATE(YEAR($A2946),MONTH($A2946)+IF(AND(IFERROR(N(INDEX(Übersicht!$M$15:$M$22,MATCH($B2946,Übersicht!$A$15:$A$22,0))),0)&gt;1,DAY($A2946)&gt;=IFERROR(N(INDEX(Übersicht!$M$15:$M$22,MATCH($B2946,Übersicht!$A$15:$A$22,0))),0)),1,0),1))</f>
        <v/>
      </c>
    </row>
    <row r="2947">
      <c r="A2947" s="92" t="n"/>
      <c r="B2947" s="55" t="n"/>
      <c r="C2947" s="55" t="n"/>
      <c r="D2947" s="55" t="n"/>
      <c r="E2947" s="93" t="n"/>
      <c r="F2947" s="94" t="n"/>
      <c r="G2947" s="94" t="n"/>
      <c r="H2947" s="94" t="n"/>
      <c r="I2947" s="94" t="n"/>
      <c r="J2947" s="55" t="n"/>
      <c r="K2947" s="95" t="n"/>
      <c r="L2947" s="116">
        <f>IF($A2947="","",DATE(YEAR($A2947),MONTH($A2947)+IF(AND(IFERROR(N(INDEX(Übersicht!$M$15:$M$22,MATCH($B2947,Übersicht!$A$15:$A$22,0))),0)&gt;1,DAY($A2947)&gt;=IFERROR(N(INDEX(Übersicht!$M$15:$M$22,MATCH($B2947,Übersicht!$A$15:$A$22,0))),0)),1,0),1))</f>
        <v/>
      </c>
    </row>
    <row r="2948">
      <c r="A2948" s="92" t="n"/>
      <c r="B2948" s="55" t="n"/>
      <c r="C2948" s="55" t="n"/>
      <c r="D2948" s="55" t="n"/>
      <c r="E2948" s="93" t="n"/>
      <c r="F2948" s="94" t="n"/>
      <c r="G2948" s="94" t="n"/>
      <c r="H2948" s="94" t="n"/>
      <c r="I2948" s="94" t="n"/>
      <c r="J2948" s="55" t="n"/>
      <c r="K2948" s="95" t="n"/>
      <c r="L2948" s="116">
        <f>IF($A2948="","",DATE(YEAR($A2948),MONTH($A2948)+IF(AND(IFERROR(N(INDEX(Übersicht!$M$15:$M$22,MATCH($B2948,Übersicht!$A$15:$A$22,0))),0)&gt;1,DAY($A2948)&gt;=IFERROR(N(INDEX(Übersicht!$M$15:$M$22,MATCH($B2948,Übersicht!$A$15:$A$22,0))),0)),1,0),1))</f>
        <v/>
      </c>
    </row>
    <row r="2949">
      <c r="A2949" s="92" t="n"/>
      <c r="B2949" s="55" t="n"/>
      <c r="C2949" s="55" t="n"/>
      <c r="D2949" s="55" t="n"/>
      <c r="E2949" s="93" t="n"/>
      <c r="F2949" s="94" t="n"/>
      <c r="G2949" s="94" t="n"/>
      <c r="H2949" s="94" t="n"/>
      <c r="I2949" s="94" t="n"/>
      <c r="J2949" s="55" t="n"/>
      <c r="K2949" s="95" t="n"/>
      <c r="L2949" s="116">
        <f>IF($A2949="","",DATE(YEAR($A2949),MONTH($A2949)+IF(AND(IFERROR(N(INDEX(Übersicht!$M$15:$M$22,MATCH($B2949,Übersicht!$A$15:$A$22,0))),0)&gt;1,DAY($A2949)&gt;=IFERROR(N(INDEX(Übersicht!$M$15:$M$22,MATCH($B2949,Übersicht!$A$15:$A$22,0))),0)),1,0),1))</f>
        <v/>
      </c>
    </row>
    <row r="2950">
      <c r="A2950" s="92" t="n"/>
      <c r="B2950" s="55" t="n"/>
      <c r="C2950" s="55" t="n"/>
      <c r="D2950" s="55" t="n"/>
      <c r="E2950" s="93" t="n"/>
      <c r="F2950" s="94" t="n"/>
      <c r="G2950" s="94" t="n"/>
      <c r="H2950" s="94" t="n"/>
      <c r="I2950" s="94" t="n"/>
      <c r="J2950" s="55" t="n"/>
      <c r="K2950" s="95" t="n"/>
      <c r="L2950" s="116">
        <f>IF($A2950="","",DATE(YEAR($A2950),MONTH($A2950)+IF(AND(IFERROR(N(INDEX(Übersicht!$M$15:$M$22,MATCH($B2950,Übersicht!$A$15:$A$22,0))),0)&gt;1,DAY($A2950)&gt;=IFERROR(N(INDEX(Übersicht!$M$15:$M$22,MATCH($B2950,Übersicht!$A$15:$A$22,0))),0)),1,0),1))</f>
        <v/>
      </c>
    </row>
    <row r="2951">
      <c r="A2951" s="92" t="n"/>
      <c r="B2951" s="55" t="n"/>
      <c r="C2951" s="55" t="n"/>
      <c r="D2951" s="55" t="n"/>
      <c r="E2951" s="93" t="n"/>
      <c r="F2951" s="94" t="n"/>
      <c r="G2951" s="94" t="n"/>
      <c r="H2951" s="94" t="n"/>
      <c r="I2951" s="94" t="n"/>
      <c r="J2951" s="55" t="n"/>
      <c r="K2951" s="95" t="n"/>
      <c r="L2951" s="116">
        <f>IF($A2951="","",DATE(YEAR($A2951),MONTH($A2951)+IF(AND(IFERROR(N(INDEX(Übersicht!$M$15:$M$22,MATCH($B2951,Übersicht!$A$15:$A$22,0))),0)&gt;1,DAY($A2951)&gt;=IFERROR(N(INDEX(Übersicht!$M$15:$M$22,MATCH($B2951,Übersicht!$A$15:$A$22,0))),0)),1,0),1))</f>
        <v/>
      </c>
    </row>
    <row r="2952">
      <c r="A2952" s="92" t="n"/>
      <c r="B2952" s="55" t="n"/>
      <c r="C2952" s="55" t="n"/>
      <c r="D2952" s="55" t="n"/>
      <c r="E2952" s="93" t="n"/>
      <c r="F2952" s="94" t="n"/>
      <c r="G2952" s="94" t="n"/>
      <c r="H2952" s="94" t="n"/>
      <c r="I2952" s="94" t="n"/>
      <c r="J2952" s="55" t="n"/>
      <c r="K2952" s="95" t="n"/>
      <c r="L2952" s="116">
        <f>IF($A2952="","",DATE(YEAR($A2952),MONTH($A2952)+IF(AND(IFERROR(N(INDEX(Übersicht!$M$15:$M$22,MATCH($B2952,Übersicht!$A$15:$A$22,0))),0)&gt;1,DAY($A2952)&gt;=IFERROR(N(INDEX(Übersicht!$M$15:$M$22,MATCH($B2952,Übersicht!$A$15:$A$22,0))),0)),1,0),1))</f>
        <v/>
      </c>
    </row>
    <row r="2953">
      <c r="A2953" s="92" t="n"/>
      <c r="B2953" s="55" t="n"/>
      <c r="C2953" s="55" t="n"/>
      <c r="D2953" s="55" t="n"/>
      <c r="E2953" s="93" t="n"/>
      <c r="F2953" s="94" t="n"/>
      <c r="G2953" s="94" t="n"/>
      <c r="H2953" s="94" t="n"/>
      <c r="I2953" s="94" t="n"/>
      <c r="J2953" s="55" t="n"/>
      <c r="K2953" s="95" t="n"/>
      <c r="L2953" s="116">
        <f>IF($A2953="","",DATE(YEAR($A2953),MONTH($A2953)+IF(AND(IFERROR(N(INDEX(Übersicht!$M$15:$M$22,MATCH($B2953,Übersicht!$A$15:$A$22,0))),0)&gt;1,DAY($A2953)&gt;=IFERROR(N(INDEX(Übersicht!$M$15:$M$22,MATCH($B2953,Übersicht!$A$15:$A$22,0))),0)),1,0),1))</f>
        <v/>
      </c>
    </row>
    <row r="2954">
      <c r="A2954" s="92" t="n"/>
      <c r="B2954" s="55" t="n"/>
      <c r="C2954" s="55" t="n"/>
      <c r="D2954" s="55" t="n"/>
      <c r="E2954" s="93" t="n"/>
      <c r="F2954" s="94" t="n"/>
      <c r="G2954" s="94" t="n"/>
      <c r="H2954" s="94" t="n"/>
      <c r="I2954" s="94" t="n"/>
      <c r="J2954" s="55" t="n"/>
      <c r="K2954" s="95" t="n"/>
      <c r="L2954" s="116">
        <f>IF($A2954="","",DATE(YEAR($A2954),MONTH($A2954)+IF(AND(IFERROR(N(INDEX(Übersicht!$M$15:$M$22,MATCH($B2954,Übersicht!$A$15:$A$22,0))),0)&gt;1,DAY($A2954)&gt;=IFERROR(N(INDEX(Übersicht!$M$15:$M$22,MATCH($B2954,Übersicht!$A$15:$A$22,0))),0)),1,0),1))</f>
        <v/>
      </c>
    </row>
    <row r="2955">
      <c r="A2955" s="92" t="n"/>
      <c r="B2955" s="55" t="n"/>
      <c r="C2955" s="55" t="n"/>
      <c r="D2955" s="55" t="n"/>
      <c r="E2955" s="93" t="n"/>
      <c r="F2955" s="94" t="n"/>
      <c r="G2955" s="94" t="n"/>
      <c r="H2955" s="94" t="n"/>
      <c r="I2955" s="94" t="n"/>
      <c r="J2955" s="55" t="n"/>
      <c r="K2955" s="95" t="n"/>
      <c r="L2955" s="116">
        <f>IF($A2955="","",DATE(YEAR($A2955),MONTH($A2955)+IF(AND(IFERROR(N(INDEX(Übersicht!$M$15:$M$22,MATCH($B2955,Übersicht!$A$15:$A$22,0))),0)&gt;1,DAY($A2955)&gt;=IFERROR(N(INDEX(Übersicht!$M$15:$M$22,MATCH($B2955,Übersicht!$A$15:$A$22,0))),0)),1,0),1))</f>
        <v/>
      </c>
    </row>
    <row r="2956">
      <c r="A2956" s="92" t="n"/>
      <c r="B2956" s="55" t="n"/>
      <c r="C2956" s="55" t="n"/>
      <c r="D2956" s="55" t="n"/>
      <c r="E2956" s="93" t="n"/>
      <c r="F2956" s="94" t="n"/>
      <c r="G2956" s="94" t="n"/>
      <c r="H2956" s="94" t="n"/>
      <c r="I2956" s="94" t="n"/>
      <c r="J2956" s="55" t="n"/>
      <c r="K2956" s="95" t="n"/>
      <c r="L2956" s="116">
        <f>IF($A2956="","",DATE(YEAR($A2956),MONTH($A2956)+IF(AND(IFERROR(N(INDEX(Übersicht!$M$15:$M$22,MATCH($B2956,Übersicht!$A$15:$A$22,0))),0)&gt;1,DAY($A2956)&gt;=IFERROR(N(INDEX(Übersicht!$M$15:$M$22,MATCH($B2956,Übersicht!$A$15:$A$22,0))),0)),1,0),1))</f>
        <v/>
      </c>
    </row>
    <row r="2957">
      <c r="A2957" s="92" t="n"/>
      <c r="B2957" s="55" t="n"/>
      <c r="C2957" s="55" t="n"/>
      <c r="D2957" s="55" t="n"/>
      <c r="E2957" s="93" t="n"/>
      <c r="F2957" s="94" t="n"/>
      <c r="G2957" s="94" t="n"/>
      <c r="H2957" s="94" t="n"/>
      <c r="I2957" s="94" t="n"/>
      <c r="J2957" s="55" t="n"/>
      <c r="K2957" s="95" t="n"/>
      <c r="L2957" s="116">
        <f>IF($A2957="","",DATE(YEAR($A2957),MONTH($A2957)+IF(AND(IFERROR(N(INDEX(Übersicht!$M$15:$M$22,MATCH($B2957,Übersicht!$A$15:$A$22,0))),0)&gt;1,DAY($A2957)&gt;=IFERROR(N(INDEX(Übersicht!$M$15:$M$22,MATCH($B2957,Übersicht!$A$15:$A$22,0))),0)),1,0),1))</f>
        <v/>
      </c>
    </row>
    <row r="2958">
      <c r="A2958" s="92" t="n"/>
      <c r="B2958" s="55" t="n"/>
      <c r="C2958" s="55" t="n"/>
      <c r="D2958" s="55" t="n"/>
      <c r="E2958" s="93" t="n"/>
      <c r="F2958" s="94" t="n"/>
      <c r="G2958" s="94" t="n"/>
      <c r="H2958" s="94" t="n"/>
      <c r="I2958" s="94" t="n"/>
      <c r="J2958" s="55" t="n"/>
      <c r="K2958" s="95" t="n"/>
      <c r="L2958" s="116">
        <f>IF($A2958="","",DATE(YEAR($A2958),MONTH($A2958)+IF(AND(IFERROR(N(INDEX(Übersicht!$M$15:$M$22,MATCH($B2958,Übersicht!$A$15:$A$22,0))),0)&gt;1,DAY($A2958)&gt;=IFERROR(N(INDEX(Übersicht!$M$15:$M$22,MATCH($B2958,Übersicht!$A$15:$A$22,0))),0)),1,0),1))</f>
        <v/>
      </c>
    </row>
    <row r="2959">
      <c r="A2959" s="92" t="n"/>
      <c r="B2959" s="55" t="n"/>
      <c r="C2959" s="55" t="n"/>
      <c r="D2959" s="55" t="n"/>
      <c r="E2959" s="93" t="n"/>
      <c r="F2959" s="94" t="n"/>
      <c r="G2959" s="94" t="n"/>
      <c r="H2959" s="94" t="n"/>
      <c r="I2959" s="94" t="n"/>
      <c r="J2959" s="55" t="n"/>
      <c r="K2959" s="95" t="n"/>
      <c r="L2959" s="116">
        <f>IF($A2959="","",DATE(YEAR($A2959),MONTH($A2959)+IF(AND(IFERROR(N(INDEX(Übersicht!$M$15:$M$22,MATCH($B2959,Übersicht!$A$15:$A$22,0))),0)&gt;1,DAY($A2959)&gt;=IFERROR(N(INDEX(Übersicht!$M$15:$M$22,MATCH($B2959,Übersicht!$A$15:$A$22,0))),0)),1,0),1))</f>
        <v/>
      </c>
    </row>
    <row r="2960">
      <c r="A2960" s="92" t="n"/>
      <c r="B2960" s="55" t="n"/>
      <c r="C2960" s="55" t="n"/>
      <c r="D2960" s="55" t="n"/>
      <c r="E2960" s="93" t="n"/>
      <c r="F2960" s="94" t="n"/>
      <c r="G2960" s="94" t="n"/>
      <c r="H2960" s="94" t="n"/>
      <c r="I2960" s="94" t="n"/>
      <c r="J2960" s="55" t="n"/>
      <c r="K2960" s="95" t="n"/>
      <c r="L2960" s="116">
        <f>IF($A2960="","",DATE(YEAR($A2960),MONTH($A2960)+IF(AND(IFERROR(N(INDEX(Übersicht!$M$15:$M$22,MATCH($B2960,Übersicht!$A$15:$A$22,0))),0)&gt;1,DAY($A2960)&gt;=IFERROR(N(INDEX(Übersicht!$M$15:$M$22,MATCH($B2960,Übersicht!$A$15:$A$22,0))),0)),1,0),1))</f>
        <v/>
      </c>
    </row>
    <row r="2961">
      <c r="A2961" s="92" t="n"/>
      <c r="B2961" s="55" t="n"/>
      <c r="C2961" s="55" t="n"/>
      <c r="D2961" s="55" t="n"/>
      <c r="E2961" s="93" t="n"/>
      <c r="F2961" s="94" t="n"/>
      <c r="G2961" s="94" t="n"/>
      <c r="H2961" s="94" t="n"/>
      <c r="I2961" s="94" t="n"/>
      <c r="J2961" s="55" t="n"/>
      <c r="K2961" s="95" t="n"/>
      <c r="L2961" s="116">
        <f>IF($A2961="","",DATE(YEAR($A2961),MONTH($A2961)+IF(AND(IFERROR(N(INDEX(Übersicht!$M$15:$M$22,MATCH($B2961,Übersicht!$A$15:$A$22,0))),0)&gt;1,DAY($A2961)&gt;=IFERROR(N(INDEX(Übersicht!$M$15:$M$22,MATCH($B2961,Übersicht!$A$15:$A$22,0))),0)),1,0),1))</f>
        <v/>
      </c>
    </row>
    <row r="2962">
      <c r="A2962" s="92" t="n"/>
      <c r="B2962" s="55" t="n"/>
      <c r="C2962" s="55" t="n"/>
      <c r="D2962" s="55" t="n"/>
      <c r="E2962" s="93" t="n"/>
      <c r="F2962" s="94" t="n"/>
      <c r="G2962" s="94" t="n"/>
      <c r="H2962" s="94" t="n"/>
      <c r="I2962" s="94" t="n"/>
      <c r="J2962" s="55" t="n"/>
      <c r="K2962" s="95" t="n"/>
      <c r="L2962" s="116">
        <f>IF($A2962="","",DATE(YEAR($A2962),MONTH($A2962)+IF(AND(IFERROR(N(INDEX(Übersicht!$M$15:$M$22,MATCH($B2962,Übersicht!$A$15:$A$22,0))),0)&gt;1,DAY($A2962)&gt;=IFERROR(N(INDEX(Übersicht!$M$15:$M$22,MATCH($B2962,Übersicht!$A$15:$A$22,0))),0)),1,0),1))</f>
        <v/>
      </c>
    </row>
    <row r="2963">
      <c r="A2963" s="92" t="n"/>
      <c r="B2963" s="55" t="n"/>
      <c r="C2963" s="55" t="n"/>
      <c r="D2963" s="55" t="n"/>
      <c r="E2963" s="93" t="n"/>
      <c r="F2963" s="94" t="n"/>
      <c r="G2963" s="94" t="n"/>
      <c r="H2963" s="94" t="n"/>
      <c r="I2963" s="94" t="n"/>
      <c r="J2963" s="55" t="n"/>
      <c r="K2963" s="95" t="n"/>
      <c r="L2963" s="116">
        <f>IF($A2963="","",DATE(YEAR($A2963),MONTH($A2963)+IF(AND(IFERROR(N(INDEX(Übersicht!$M$15:$M$22,MATCH($B2963,Übersicht!$A$15:$A$22,0))),0)&gt;1,DAY($A2963)&gt;=IFERROR(N(INDEX(Übersicht!$M$15:$M$22,MATCH($B2963,Übersicht!$A$15:$A$22,0))),0)),1,0),1))</f>
        <v/>
      </c>
    </row>
    <row r="2964">
      <c r="A2964" s="92" t="n"/>
      <c r="B2964" s="55" t="n"/>
      <c r="C2964" s="55" t="n"/>
      <c r="D2964" s="55" t="n"/>
      <c r="E2964" s="93" t="n"/>
      <c r="F2964" s="94" t="n"/>
      <c r="G2964" s="94" t="n"/>
      <c r="H2964" s="94" t="n"/>
      <c r="I2964" s="94" t="n"/>
      <c r="J2964" s="55" t="n"/>
      <c r="K2964" s="95" t="n"/>
      <c r="L2964" s="116">
        <f>IF($A2964="","",DATE(YEAR($A2964),MONTH($A2964)+IF(AND(IFERROR(N(INDEX(Übersicht!$M$15:$M$22,MATCH($B2964,Übersicht!$A$15:$A$22,0))),0)&gt;1,DAY($A2964)&gt;=IFERROR(N(INDEX(Übersicht!$M$15:$M$22,MATCH($B2964,Übersicht!$A$15:$A$22,0))),0)),1,0),1))</f>
        <v/>
      </c>
    </row>
    <row r="2965">
      <c r="A2965" s="92" t="n"/>
      <c r="B2965" s="55" t="n"/>
      <c r="C2965" s="55" t="n"/>
      <c r="D2965" s="55" t="n"/>
      <c r="E2965" s="93" t="n"/>
      <c r="F2965" s="94" t="n"/>
      <c r="G2965" s="94" t="n"/>
      <c r="H2965" s="94" t="n"/>
      <c r="I2965" s="94" t="n"/>
      <c r="J2965" s="55" t="n"/>
      <c r="K2965" s="95" t="n"/>
      <c r="L2965" s="116">
        <f>IF($A2965="","",DATE(YEAR($A2965),MONTH($A2965)+IF(AND(IFERROR(N(INDEX(Übersicht!$M$15:$M$22,MATCH($B2965,Übersicht!$A$15:$A$22,0))),0)&gt;1,DAY($A2965)&gt;=IFERROR(N(INDEX(Übersicht!$M$15:$M$22,MATCH($B2965,Übersicht!$A$15:$A$22,0))),0)),1,0),1))</f>
        <v/>
      </c>
    </row>
    <row r="2966">
      <c r="A2966" s="92" t="n"/>
      <c r="B2966" s="55" t="n"/>
      <c r="C2966" s="55" t="n"/>
      <c r="D2966" s="55" t="n"/>
      <c r="E2966" s="93" t="n"/>
      <c r="F2966" s="94" t="n"/>
      <c r="G2966" s="94" t="n"/>
      <c r="H2966" s="94" t="n"/>
      <c r="I2966" s="94" t="n"/>
      <c r="J2966" s="55" t="n"/>
      <c r="K2966" s="95" t="n"/>
      <c r="L2966" s="116">
        <f>IF($A2966="","",DATE(YEAR($A2966),MONTH($A2966)+IF(AND(IFERROR(N(INDEX(Übersicht!$M$15:$M$22,MATCH($B2966,Übersicht!$A$15:$A$22,0))),0)&gt;1,DAY($A2966)&gt;=IFERROR(N(INDEX(Übersicht!$M$15:$M$22,MATCH($B2966,Übersicht!$A$15:$A$22,0))),0)),1,0),1))</f>
        <v/>
      </c>
    </row>
    <row r="2967">
      <c r="A2967" s="92" t="n"/>
      <c r="B2967" s="55" t="n"/>
      <c r="C2967" s="55" t="n"/>
      <c r="D2967" s="55" t="n"/>
      <c r="E2967" s="93" t="n"/>
      <c r="F2967" s="94" t="n"/>
      <c r="G2967" s="94" t="n"/>
      <c r="H2967" s="94" t="n"/>
      <c r="I2967" s="94" t="n"/>
      <c r="J2967" s="55" t="n"/>
      <c r="K2967" s="95" t="n"/>
      <c r="L2967" s="116">
        <f>IF($A2967="","",DATE(YEAR($A2967),MONTH($A2967)+IF(AND(IFERROR(N(INDEX(Übersicht!$M$15:$M$22,MATCH($B2967,Übersicht!$A$15:$A$22,0))),0)&gt;1,DAY($A2967)&gt;=IFERROR(N(INDEX(Übersicht!$M$15:$M$22,MATCH($B2967,Übersicht!$A$15:$A$22,0))),0)),1,0),1))</f>
        <v/>
      </c>
    </row>
    <row r="2968">
      <c r="A2968" s="92" t="n"/>
      <c r="B2968" s="55" t="n"/>
      <c r="C2968" s="55" t="n"/>
      <c r="D2968" s="55" t="n"/>
      <c r="E2968" s="93" t="n"/>
      <c r="F2968" s="94" t="n"/>
      <c r="G2968" s="94" t="n"/>
      <c r="H2968" s="94" t="n"/>
      <c r="I2968" s="94" t="n"/>
      <c r="J2968" s="55" t="n"/>
      <c r="K2968" s="95" t="n"/>
      <c r="L2968" s="116">
        <f>IF($A2968="","",DATE(YEAR($A2968),MONTH($A2968)+IF(AND(IFERROR(N(INDEX(Übersicht!$M$15:$M$22,MATCH($B2968,Übersicht!$A$15:$A$22,0))),0)&gt;1,DAY($A2968)&gt;=IFERROR(N(INDEX(Übersicht!$M$15:$M$22,MATCH($B2968,Übersicht!$A$15:$A$22,0))),0)),1,0),1))</f>
        <v/>
      </c>
    </row>
    <row r="2969">
      <c r="A2969" s="92" t="n"/>
      <c r="B2969" s="55" t="n"/>
      <c r="C2969" s="55" t="n"/>
      <c r="D2969" s="55" t="n"/>
      <c r="E2969" s="93" t="n"/>
      <c r="F2969" s="94" t="n"/>
      <c r="G2969" s="94" t="n"/>
      <c r="H2969" s="94" t="n"/>
      <c r="I2969" s="94" t="n"/>
      <c r="J2969" s="55" t="n"/>
      <c r="K2969" s="95" t="n"/>
      <c r="L2969" s="116">
        <f>IF($A2969="","",DATE(YEAR($A2969),MONTH($A2969)+IF(AND(IFERROR(N(INDEX(Übersicht!$M$15:$M$22,MATCH($B2969,Übersicht!$A$15:$A$22,0))),0)&gt;1,DAY($A2969)&gt;=IFERROR(N(INDEX(Übersicht!$M$15:$M$22,MATCH($B2969,Übersicht!$A$15:$A$22,0))),0)),1,0),1))</f>
        <v/>
      </c>
    </row>
    <row r="2970">
      <c r="A2970" s="92" t="n"/>
      <c r="B2970" s="55" t="n"/>
      <c r="C2970" s="55" t="n"/>
      <c r="D2970" s="55" t="n"/>
      <c r="E2970" s="93" t="n"/>
      <c r="F2970" s="94" t="n"/>
      <c r="G2970" s="94" t="n"/>
      <c r="H2970" s="94" t="n"/>
      <c r="I2970" s="94" t="n"/>
      <c r="J2970" s="55" t="n"/>
      <c r="K2970" s="95" t="n"/>
      <c r="L2970" s="116">
        <f>IF($A2970="","",DATE(YEAR($A2970),MONTH($A2970)+IF(AND(IFERROR(N(INDEX(Übersicht!$M$15:$M$22,MATCH($B2970,Übersicht!$A$15:$A$22,0))),0)&gt;1,DAY($A2970)&gt;=IFERROR(N(INDEX(Übersicht!$M$15:$M$22,MATCH($B2970,Übersicht!$A$15:$A$22,0))),0)),1,0),1))</f>
        <v/>
      </c>
    </row>
    <row r="2971">
      <c r="A2971" s="92" t="n"/>
      <c r="B2971" s="55" t="n"/>
      <c r="C2971" s="55" t="n"/>
      <c r="D2971" s="55" t="n"/>
      <c r="E2971" s="93" t="n"/>
      <c r="F2971" s="94" t="n"/>
      <c r="G2971" s="94" t="n"/>
      <c r="H2971" s="94" t="n"/>
      <c r="I2971" s="94" t="n"/>
      <c r="J2971" s="55" t="n"/>
      <c r="K2971" s="95" t="n"/>
      <c r="L2971" s="116">
        <f>IF($A2971="","",DATE(YEAR($A2971),MONTH($A2971)+IF(AND(IFERROR(N(INDEX(Übersicht!$M$15:$M$22,MATCH($B2971,Übersicht!$A$15:$A$22,0))),0)&gt;1,DAY($A2971)&gt;=IFERROR(N(INDEX(Übersicht!$M$15:$M$22,MATCH($B2971,Übersicht!$A$15:$A$22,0))),0)),1,0),1))</f>
        <v/>
      </c>
    </row>
    <row r="2972">
      <c r="A2972" s="92" t="n"/>
      <c r="B2972" s="55" t="n"/>
      <c r="C2972" s="55" t="n"/>
      <c r="D2972" s="55" t="n"/>
      <c r="E2972" s="93" t="n"/>
      <c r="F2972" s="94" t="n"/>
      <c r="G2972" s="94" t="n"/>
      <c r="H2972" s="94" t="n"/>
      <c r="I2972" s="94" t="n"/>
      <c r="J2972" s="55" t="n"/>
      <c r="K2972" s="95" t="n"/>
      <c r="L2972" s="116">
        <f>IF($A2972="","",DATE(YEAR($A2972),MONTH($A2972)+IF(AND(IFERROR(N(INDEX(Übersicht!$M$15:$M$22,MATCH($B2972,Übersicht!$A$15:$A$22,0))),0)&gt;1,DAY($A2972)&gt;=IFERROR(N(INDEX(Übersicht!$M$15:$M$22,MATCH($B2972,Übersicht!$A$15:$A$22,0))),0)),1,0),1))</f>
        <v/>
      </c>
    </row>
    <row r="2973">
      <c r="A2973" s="92" t="n"/>
      <c r="B2973" s="55" t="n"/>
      <c r="C2973" s="55" t="n"/>
      <c r="D2973" s="55" t="n"/>
      <c r="E2973" s="93" t="n"/>
      <c r="F2973" s="94" t="n"/>
      <c r="G2973" s="94" t="n"/>
      <c r="H2973" s="94" t="n"/>
      <c r="I2973" s="94" t="n"/>
      <c r="J2973" s="55" t="n"/>
      <c r="K2973" s="95" t="n"/>
      <c r="L2973" s="116">
        <f>IF($A2973="","",DATE(YEAR($A2973),MONTH($A2973)+IF(AND(IFERROR(N(INDEX(Übersicht!$M$15:$M$22,MATCH($B2973,Übersicht!$A$15:$A$22,0))),0)&gt;1,DAY($A2973)&gt;=IFERROR(N(INDEX(Übersicht!$M$15:$M$22,MATCH($B2973,Übersicht!$A$15:$A$22,0))),0)),1,0),1))</f>
        <v/>
      </c>
    </row>
    <row r="2974">
      <c r="A2974" s="92" t="n"/>
      <c r="B2974" s="55" t="n"/>
      <c r="C2974" s="55" t="n"/>
      <c r="D2974" s="55" t="n"/>
      <c r="E2974" s="93" t="n"/>
      <c r="F2974" s="94" t="n"/>
      <c r="G2974" s="94" t="n"/>
      <c r="H2974" s="94" t="n"/>
      <c r="I2974" s="94" t="n"/>
      <c r="J2974" s="55" t="n"/>
      <c r="K2974" s="95" t="n"/>
      <c r="L2974" s="116">
        <f>IF($A2974="","",DATE(YEAR($A2974),MONTH($A2974)+IF(AND(IFERROR(N(INDEX(Übersicht!$M$15:$M$22,MATCH($B2974,Übersicht!$A$15:$A$22,0))),0)&gt;1,DAY($A2974)&gt;=IFERROR(N(INDEX(Übersicht!$M$15:$M$22,MATCH($B2974,Übersicht!$A$15:$A$22,0))),0)),1,0),1))</f>
        <v/>
      </c>
    </row>
    <row r="2975">
      <c r="A2975" s="92" t="n"/>
      <c r="B2975" s="55" t="n"/>
      <c r="C2975" s="55" t="n"/>
      <c r="D2975" s="55" t="n"/>
      <c r="E2975" s="93" t="n"/>
      <c r="F2975" s="94" t="n"/>
      <c r="G2975" s="94" t="n"/>
      <c r="H2975" s="94" t="n"/>
      <c r="I2975" s="94" t="n"/>
      <c r="J2975" s="55" t="n"/>
      <c r="K2975" s="95" t="n"/>
      <c r="L2975" s="116">
        <f>IF($A2975="","",DATE(YEAR($A2975),MONTH($A2975)+IF(AND(IFERROR(N(INDEX(Übersicht!$M$15:$M$22,MATCH($B2975,Übersicht!$A$15:$A$22,0))),0)&gt;1,DAY($A2975)&gt;=IFERROR(N(INDEX(Übersicht!$M$15:$M$22,MATCH($B2975,Übersicht!$A$15:$A$22,0))),0)),1,0),1))</f>
        <v/>
      </c>
    </row>
    <row r="2976">
      <c r="A2976" s="92" t="n"/>
      <c r="B2976" s="55" t="n"/>
      <c r="C2976" s="55" t="n"/>
      <c r="D2976" s="55" t="n"/>
      <c r="E2976" s="93" t="n"/>
      <c r="F2976" s="94" t="n"/>
      <c r="G2976" s="94" t="n"/>
      <c r="H2976" s="94" t="n"/>
      <c r="I2976" s="94" t="n"/>
      <c r="J2976" s="55" t="n"/>
      <c r="K2976" s="95" t="n"/>
      <c r="L2976" s="116">
        <f>IF($A2976="","",DATE(YEAR($A2976),MONTH($A2976)+IF(AND(IFERROR(N(INDEX(Übersicht!$M$15:$M$22,MATCH($B2976,Übersicht!$A$15:$A$22,0))),0)&gt;1,DAY($A2976)&gt;=IFERROR(N(INDEX(Übersicht!$M$15:$M$22,MATCH($B2976,Übersicht!$A$15:$A$22,0))),0)),1,0),1))</f>
        <v/>
      </c>
    </row>
    <row r="2977">
      <c r="A2977" s="92" t="n"/>
      <c r="B2977" s="55" t="n"/>
      <c r="C2977" s="55" t="n"/>
      <c r="D2977" s="55" t="n"/>
      <c r="E2977" s="93" t="n"/>
      <c r="F2977" s="94" t="n"/>
      <c r="G2977" s="94" t="n"/>
      <c r="H2977" s="94" t="n"/>
      <c r="I2977" s="94" t="n"/>
      <c r="J2977" s="55" t="n"/>
      <c r="K2977" s="95" t="n"/>
      <c r="L2977" s="116">
        <f>IF($A2977="","",DATE(YEAR($A2977),MONTH($A2977)+IF(AND(IFERROR(N(INDEX(Übersicht!$M$15:$M$22,MATCH($B2977,Übersicht!$A$15:$A$22,0))),0)&gt;1,DAY($A2977)&gt;=IFERROR(N(INDEX(Übersicht!$M$15:$M$22,MATCH($B2977,Übersicht!$A$15:$A$22,0))),0)),1,0),1))</f>
        <v/>
      </c>
    </row>
    <row r="2978">
      <c r="A2978" s="92" t="n"/>
      <c r="B2978" s="55" t="n"/>
      <c r="C2978" s="55" t="n"/>
      <c r="D2978" s="55" t="n"/>
      <c r="E2978" s="93" t="n"/>
      <c r="F2978" s="94" t="n"/>
      <c r="G2978" s="94" t="n"/>
      <c r="H2978" s="94" t="n"/>
      <c r="I2978" s="94" t="n"/>
      <c r="J2978" s="55" t="n"/>
      <c r="K2978" s="95" t="n"/>
      <c r="L2978" s="116">
        <f>IF($A2978="","",DATE(YEAR($A2978),MONTH($A2978)+IF(AND(IFERROR(N(INDEX(Übersicht!$M$15:$M$22,MATCH($B2978,Übersicht!$A$15:$A$22,0))),0)&gt;1,DAY($A2978)&gt;=IFERROR(N(INDEX(Übersicht!$M$15:$M$22,MATCH($B2978,Übersicht!$A$15:$A$22,0))),0)),1,0),1))</f>
        <v/>
      </c>
    </row>
    <row r="2979">
      <c r="A2979" s="92" t="n"/>
      <c r="B2979" s="55" t="n"/>
      <c r="C2979" s="55" t="n"/>
      <c r="D2979" s="55" t="n"/>
      <c r="E2979" s="93" t="n"/>
      <c r="F2979" s="94" t="n"/>
      <c r="G2979" s="94" t="n"/>
      <c r="H2979" s="94" t="n"/>
      <c r="I2979" s="94" t="n"/>
      <c r="J2979" s="55" t="n"/>
      <c r="K2979" s="95" t="n"/>
      <c r="L2979" s="116">
        <f>IF($A2979="","",DATE(YEAR($A2979),MONTH($A2979)+IF(AND(IFERROR(N(INDEX(Übersicht!$M$15:$M$22,MATCH($B2979,Übersicht!$A$15:$A$22,0))),0)&gt;1,DAY($A2979)&gt;=IFERROR(N(INDEX(Übersicht!$M$15:$M$22,MATCH($B2979,Übersicht!$A$15:$A$22,0))),0)),1,0),1))</f>
        <v/>
      </c>
    </row>
    <row r="2980">
      <c r="A2980" s="92" t="n"/>
      <c r="B2980" s="55" t="n"/>
      <c r="C2980" s="55" t="n"/>
      <c r="D2980" s="55" t="n"/>
      <c r="E2980" s="93" t="n"/>
      <c r="F2980" s="94" t="n"/>
      <c r="G2980" s="94" t="n"/>
      <c r="H2980" s="94" t="n"/>
      <c r="I2980" s="94" t="n"/>
      <c r="J2980" s="55" t="n"/>
      <c r="K2980" s="95" t="n"/>
      <c r="L2980" s="116">
        <f>IF($A2980="","",DATE(YEAR($A2980),MONTH($A2980)+IF(AND(IFERROR(N(INDEX(Übersicht!$M$15:$M$22,MATCH($B2980,Übersicht!$A$15:$A$22,0))),0)&gt;1,DAY($A2980)&gt;=IFERROR(N(INDEX(Übersicht!$M$15:$M$22,MATCH($B2980,Übersicht!$A$15:$A$22,0))),0)),1,0),1))</f>
        <v/>
      </c>
    </row>
    <row r="2981">
      <c r="A2981" s="92" t="n"/>
      <c r="B2981" s="55" t="n"/>
      <c r="C2981" s="55" t="n"/>
      <c r="D2981" s="55" t="n"/>
      <c r="E2981" s="93" t="n"/>
      <c r="F2981" s="94" t="n"/>
      <c r="G2981" s="94" t="n"/>
      <c r="H2981" s="94" t="n"/>
      <c r="I2981" s="94" t="n"/>
      <c r="J2981" s="55" t="n"/>
      <c r="K2981" s="95" t="n"/>
      <c r="L2981" s="116">
        <f>IF($A2981="","",DATE(YEAR($A2981),MONTH($A2981)+IF(AND(IFERROR(N(INDEX(Übersicht!$M$15:$M$22,MATCH($B2981,Übersicht!$A$15:$A$22,0))),0)&gt;1,DAY($A2981)&gt;=IFERROR(N(INDEX(Übersicht!$M$15:$M$22,MATCH($B2981,Übersicht!$A$15:$A$22,0))),0)),1,0),1))</f>
        <v/>
      </c>
    </row>
    <row r="2982">
      <c r="A2982" s="92" t="n"/>
      <c r="B2982" s="55" t="n"/>
      <c r="C2982" s="55" t="n"/>
      <c r="D2982" s="55" t="n"/>
      <c r="E2982" s="93" t="n"/>
      <c r="F2982" s="94" t="n"/>
      <c r="G2982" s="94" t="n"/>
      <c r="H2982" s="94" t="n"/>
      <c r="I2982" s="94" t="n"/>
      <c r="J2982" s="55" t="n"/>
      <c r="K2982" s="95" t="n"/>
      <c r="L2982" s="116">
        <f>IF($A2982="","",DATE(YEAR($A2982),MONTH($A2982)+IF(AND(IFERROR(N(INDEX(Übersicht!$M$15:$M$22,MATCH($B2982,Übersicht!$A$15:$A$22,0))),0)&gt;1,DAY($A2982)&gt;=IFERROR(N(INDEX(Übersicht!$M$15:$M$22,MATCH($B2982,Übersicht!$A$15:$A$22,0))),0)),1,0),1))</f>
        <v/>
      </c>
    </row>
    <row r="2983">
      <c r="A2983" s="92" t="n"/>
      <c r="B2983" s="55" t="n"/>
      <c r="C2983" s="55" t="n"/>
      <c r="D2983" s="55" t="n"/>
      <c r="E2983" s="93" t="n"/>
      <c r="F2983" s="94" t="n"/>
      <c r="G2983" s="94" t="n"/>
      <c r="H2983" s="94" t="n"/>
      <c r="I2983" s="94" t="n"/>
      <c r="J2983" s="55" t="n"/>
      <c r="K2983" s="95" t="n"/>
      <c r="L2983" s="116">
        <f>IF($A2983="","",DATE(YEAR($A2983),MONTH($A2983)+IF(AND(IFERROR(N(INDEX(Übersicht!$M$15:$M$22,MATCH($B2983,Übersicht!$A$15:$A$22,0))),0)&gt;1,DAY($A2983)&gt;=IFERROR(N(INDEX(Übersicht!$M$15:$M$22,MATCH($B2983,Übersicht!$A$15:$A$22,0))),0)),1,0),1))</f>
        <v/>
      </c>
    </row>
    <row r="2984">
      <c r="A2984" s="92" t="n"/>
      <c r="B2984" s="55" t="n"/>
      <c r="C2984" s="55" t="n"/>
      <c r="D2984" s="55" t="n"/>
      <c r="E2984" s="93" t="n"/>
      <c r="F2984" s="94" t="n"/>
      <c r="G2984" s="94" t="n"/>
      <c r="H2984" s="94" t="n"/>
      <c r="I2984" s="94" t="n"/>
      <c r="J2984" s="55" t="n"/>
      <c r="K2984" s="95" t="n"/>
      <c r="L2984" s="116">
        <f>IF($A2984="","",DATE(YEAR($A2984),MONTH($A2984)+IF(AND(IFERROR(N(INDEX(Übersicht!$M$15:$M$22,MATCH($B2984,Übersicht!$A$15:$A$22,0))),0)&gt;1,DAY($A2984)&gt;=IFERROR(N(INDEX(Übersicht!$M$15:$M$22,MATCH($B2984,Übersicht!$A$15:$A$22,0))),0)),1,0),1))</f>
        <v/>
      </c>
    </row>
    <row r="2985">
      <c r="A2985" s="92" t="n"/>
      <c r="B2985" s="55" t="n"/>
      <c r="C2985" s="55" t="n"/>
      <c r="D2985" s="55" t="n"/>
      <c r="E2985" s="93" t="n"/>
      <c r="F2985" s="94" t="n"/>
      <c r="G2985" s="94" t="n"/>
      <c r="H2985" s="94" t="n"/>
      <c r="I2985" s="94" t="n"/>
      <c r="J2985" s="55" t="n"/>
      <c r="K2985" s="95" t="n"/>
      <c r="L2985" s="116">
        <f>IF($A2985="","",DATE(YEAR($A2985),MONTH($A2985)+IF(AND(IFERROR(N(INDEX(Übersicht!$M$15:$M$22,MATCH($B2985,Übersicht!$A$15:$A$22,0))),0)&gt;1,DAY($A2985)&gt;=IFERROR(N(INDEX(Übersicht!$M$15:$M$22,MATCH($B2985,Übersicht!$A$15:$A$22,0))),0)),1,0),1))</f>
        <v/>
      </c>
    </row>
    <row r="2986">
      <c r="A2986" s="92" t="n"/>
      <c r="B2986" s="55" t="n"/>
      <c r="C2986" s="55" t="n"/>
      <c r="D2986" s="55" t="n"/>
      <c r="E2986" s="93" t="n"/>
      <c r="F2986" s="94" t="n"/>
      <c r="G2986" s="94" t="n"/>
      <c r="H2986" s="94" t="n"/>
      <c r="I2986" s="94" t="n"/>
      <c r="J2986" s="55" t="n"/>
      <c r="K2986" s="95" t="n"/>
      <c r="L2986" s="116">
        <f>IF($A2986="","",DATE(YEAR($A2986),MONTH($A2986)+IF(AND(IFERROR(N(INDEX(Übersicht!$M$15:$M$22,MATCH($B2986,Übersicht!$A$15:$A$22,0))),0)&gt;1,DAY($A2986)&gt;=IFERROR(N(INDEX(Übersicht!$M$15:$M$22,MATCH($B2986,Übersicht!$A$15:$A$22,0))),0)),1,0),1))</f>
        <v/>
      </c>
    </row>
    <row r="2987">
      <c r="A2987" s="92" t="n"/>
      <c r="B2987" s="55" t="n"/>
      <c r="C2987" s="55" t="n"/>
      <c r="D2987" s="55" t="n"/>
      <c r="E2987" s="93" t="n"/>
      <c r="F2987" s="94" t="n"/>
      <c r="G2987" s="94" t="n"/>
      <c r="H2987" s="94" t="n"/>
      <c r="I2987" s="94" t="n"/>
      <c r="J2987" s="55" t="n"/>
      <c r="K2987" s="95" t="n"/>
      <c r="L2987" s="116">
        <f>IF($A2987="","",DATE(YEAR($A2987),MONTH($A2987)+IF(AND(IFERROR(N(INDEX(Übersicht!$M$15:$M$22,MATCH($B2987,Übersicht!$A$15:$A$22,0))),0)&gt;1,DAY($A2987)&gt;=IFERROR(N(INDEX(Übersicht!$M$15:$M$22,MATCH($B2987,Übersicht!$A$15:$A$22,0))),0)),1,0),1))</f>
        <v/>
      </c>
    </row>
    <row r="2988">
      <c r="A2988" s="92" t="n"/>
      <c r="B2988" s="55" t="n"/>
      <c r="C2988" s="55" t="n"/>
      <c r="D2988" s="55" t="n"/>
      <c r="E2988" s="93" t="n"/>
      <c r="F2988" s="94" t="n"/>
      <c r="G2988" s="94" t="n"/>
      <c r="H2988" s="94" t="n"/>
      <c r="I2988" s="94" t="n"/>
      <c r="J2988" s="55" t="n"/>
      <c r="K2988" s="95" t="n"/>
      <c r="L2988" s="116">
        <f>IF($A2988="","",DATE(YEAR($A2988),MONTH($A2988)+IF(AND(IFERROR(N(INDEX(Übersicht!$M$15:$M$22,MATCH($B2988,Übersicht!$A$15:$A$22,0))),0)&gt;1,DAY($A2988)&gt;=IFERROR(N(INDEX(Übersicht!$M$15:$M$22,MATCH($B2988,Übersicht!$A$15:$A$22,0))),0)),1,0),1))</f>
        <v/>
      </c>
    </row>
    <row r="2989">
      <c r="A2989" s="92" t="n"/>
      <c r="B2989" s="55" t="n"/>
      <c r="C2989" s="55" t="n"/>
      <c r="D2989" s="55" t="n"/>
      <c r="E2989" s="93" t="n"/>
      <c r="F2989" s="94" t="n"/>
      <c r="G2989" s="94" t="n"/>
      <c r="H2989" s="94" t="n"/>
      <c r="I2989" s="94" t="n"/>
      <c r="J2989" s="55" t="n"/>
      <c r="K2989" s="95" t="n"/>
      <c r="L2989" s="116">
        <f>IF($A2989="","",DATE(YEAR($A2989),MONTH($A2989)+IF(AND(IFERROR(N(INDEX(Übersicht!$M$15:$M$22,MATCH($B2989,Übersicht!$A$15:$A$22,0))),0)&gt;1,DAY($A2989)&gt;=IFERROR(N(INDEX(Übersicht!$M$15:$M$22,MATCH($B2989,Übersicht!$A$15:$A$22,0))),0)),1,0),1))</f>
        <v/>
      </c>
    </row>
    <row r="2990">
      <c r="A2990" s="92" t="n"/>
      <c r="B2990" s="55" t="n"/>
      <c r="C2990" s="55" t="n"/>
      <c r="D2990" s="55" t="n"/>
      <c r="E2990" s="93" t="n"/>
      <c r="F2990" s="94" t="n"/>
      <c r="G2990" s="94" t="n"/>
      <c r="H2990" s="94" t="n"/>
      <c r="I2990" s="94" t="n"/>
      <c r="J2990" s="55" t="n"/>
      <c r="K2990" s="95" t="n"/>
      <c r="L2990" s="116">
        <f>IF($A2990="","",DATE(YEAR($A2990),MONTH($A2990)+IF(AND(IFERROR(N(INDEX(Übersicht!$M$15:$M$22,MATCH($B2990,Übersicht!$A$15:$A$22,0))),0)&gt;1,DAY($A2990)&gt;=IFERROR(N(INDEX(Übersicht!$M$15:$M$22,MATCH($B2990,Übersicht!$A$15:$A$22,0))),0)),1,0),1))</f>
        <v/>
      </c>
    </row>
    <row r="2991">
      <c r="A2991" s="92" t="n"/>
      <c r="B2991" s="55" t="n"/>
      <c r="C2991" s="55" t="n"/>
      <c r="D2991" s="55" t="n"/>
      <c r="E2991" s="93" t="n"/>
      <c r="F2991" s="94" t="n"/>
      <c r="G2991" s="94" t="n"/>
      <c r="H2991" s="94" t="n"/>
      <c r="I2991" s="94" t="n"/>
      <c r="J2991" s="55" t="n"/>
      <c r="K2991" s="95" t="n"/>
      <c r="L2991" s="116">
        <f>IF($A2991="","",DATE(YEAR($A2991),MONTH($A2991)+IF(AND(IFERROR(N(INDEX(Übersicht!$M$15:$M$22,MATCH($B2991,Übersicht!$A$15:$A$22,0))),0)&gt;1,DAY($A2991)&gt;=IFERROR(N(INDEX(Übersicht!$M$15:$M$22,MATCH($B2991,Übersicht!$A$15:$A$22,0))),0)),1,0),1))</f>
        <v/>
      </c>
    </row>
    <row r="2992">
      <c r="A2992" s="92" t="n"/>
      <c r="B2992" s="55" t="n"/>
      <c r="C2992" s="55" t="n"/>
      <c r="D2992" s="55" t="n"/>
      <c r="E2992" s="93" t="n"/>
      <c r="F2992" s="94" t="n"/>
      <c r="G2992" s="94" t="n"/>
      <c r="H2992" s="94" t="n"/>
      <c r="I2992" s="94" t="n"/>
      <c r="J2992" s="55" t="n"/>
      <c r="K2992" s="95" t="n"/>
      <c r="L2992" s="116">
        <f>IF($A2992="","",DATE(YEAR($A2992),MONTH($A2992)+IF(AND(IFERROR(N(INDEX(Übersicht!$M$15:$M$22,MATCH($B2992,Übersicht!$A$15:$A$22,0))),0)&gt;1,DAY($A2992)&gt;=IFERROR(N(INDEX(Übersicht!$M$15:$M$22,MATCH($B2992,Übersicht!$A$15:$A$22,0))),0)),1,0),1))</f>
        <v/>
      </c>
    </row>
    <row r="2993">
      <c r="A2993" s="92" t="n"/>
      <c r="B2993" s="55" t="n"/>
      <c r="C2993" s="55" t="n"/>
      <c r="D2993" s="55" t="n"/>
      <c r="E2993" s="93" t="n"/>
      <c r="F2993" s="94" t="n"/>
      <c r="G2993" s="94" t="n"/>
      <c r="H2993" s="94" t="n"/>
      <c r="I2993" s="94" t="n"/>
      <c r="J2993" s="55" t="n"/>
      <c r="K2993" s="95" t="n"/>
      <c r="L2993" s="116">
        <f>IF($A2993="","",DATE(YEAR($A2993),MONTH($A2993)+IF(AND(IFERROR(N(INDEX(Übersicht!$M$15:$M$22,MATCH($B2993,Übersicht!$A$15:$A$22,0))),0)&gt;1,DAY($A2993)&gt;=IFERROR(N(INDEX(Übersicht!$M$15:$M$22,MATCH($B2993,Übersicht!$A$15:$A$22,0))),0)),1,0),1))</f>
        <v/>
      </c>
    </row>
    <row r="2994">
      <c r="A2994" s="92" t="n"/>
      <c r="B2994" s="55" t="n"/>
      <c r="C2994" s="55" t="n"/>
      <c r="D2994" s="55" t="n"/>
      <c r="E2994" s="93" t="n"/>
      <c r="F2994" s="94" t="n"/>
      <c r="G2994" s="94" t="n"/>
      <c r="H2994" s="94" t="n"/>
      <c r="I2994" s="94" t="n"/>
      <c r="J2994" s="55" t="n"/>
      <c r="K2994" s="95" t="n"/>
      <c r="L2994" s="116">
        <f>IF($A2994="","",DATE(YEAR($A2994),MONTH($A2994)+IF(AND(IFERROR(N(INDEX(Übersicht!$M$15:$M$22,MATCH($B2994,Übersicht!$A$15:$A$22,0))),0)&gt;1,DAY($A2994)&gt;=IFERROR(N(INDEX(Übersicht!$M$15:$M$22,MATCH($B2994,Übersicht!$A$15:$A$22,0))),0)),1,0),1))</f>
        <v/>
      </c>
    </row>
    <row r="2995">
      <c r="A2995" s="92" t="n"/>
      <c r="B2995" s="55" t="n"/>
      <c r="C2995" s="55" t="n"/>
      <c r="D2995" s="55" t="n"/>
      <c r="E2995" s="93" t="n"/>
      <c r="F2995" s="94" t="n"/>
      <c r="G2995" s="94" t="n"/>
      <c r="H2995" s="94" t="n"/>
      <c r="I2995" s="94" t="n"/>
      <c r="J2995" s="55" t="n"/>
      <c r="K2995" s="95" t="n"/>
      <c r="L2995" s="116">
        <f>IF($A2995="","",DATE(YEAR($A2995),MONTH($A2995)+IF(AND(IFERROR(N(INDEX(Übersicht!$M$15:$M$22,MATCH($B2995,Übersicht!$A$15:$A$22,0))),0)&gt;1,DAY($A2995)&gt;=IFERROR(N(INDEX(Übersicht!$M$15:$M$22,MATCH($B2995,Übersicht!$A$15:$A$22,0))),0)),1,0),1))</f>
        <v/>
      </c>
    </row>
    <row r="2996">
      <c r="A2996" s="92" t="n"/>
      <c r="B2996" s="55" t="n"/>
      <c r="C2996" s="55" t="n"/>
      <c r="D2996" s="55" t="n"/>
      <c r="E2996" s="93" t="n"/>
      <c r="F2996" s="94" t="n"/>
      <c r="G2996" s="94" t="n"/>
      <c r="H2996" s="94" t="n"/>
      <c r="I2996" s="94" t="n"/>
      <c r="J2996" s="55" t="n"/>
      <c r="K2996" s="95" t="n"/>
      <c r="L2996" s="116">
        <f>IF($A2996="","",DATE(YEAR($A2996),MONTH($A2996)+IF(AND(IFERROR(N(INDEX(Übersicht!$M$15:$M$22,MATCH($B2996,Übersicht!$A$15:$A$22,0))),0)&gt;1,DAY($A2996)&gt;=IFERROR(N(INDEX(Übersicht!$M$15:$M$22,MATCH($B2996,Übersicht!$A$15:$A$22,0))),0)),1,0),1))</f>
        <v/>
      </c>
    </row>
    <row r="2997">
      <c r="A2997" s="92" t="n"/>
      <c r="B2997" s="55" t="n"/>
      <c r="C2997" s="55" t="n"/>
      <c r="D2997" s="55" t="n"/>
      <c r="E2997" s="93" t="n"/>
      <c r="F2997" s="94" t="n"/>
      <c r="G2997" s="94" t="n"/>
      <c r="H2997" s="94" t="n"/>
      <c r="I2997" s="94" t="n"/>
      <c r="J2997" s="55" t="n"/>
      <c r="K2997" s="95" t="n"/>
      <c r="L2997" s="116">
        <f>IF($A2997="","",DATE(YEAR($A2997),MONTH($A2997)+IF(AND(IFERROR(N(INDEX(Übersicht!$M$15:$M$22,MATCH($B2997,Übersicht!$A$15:$A$22,0))),0)&gt;1,DAY($A2997)&gt;=IFERROR(N(INDEX(Übersicht!$M$15:$M$22,MATCH($B2997,Übersicht!$A$15:$A$22,0))),0)),1,0),1))</f>
        <v/>
      </c>
    </row>
    <row r="2998">
      <c r="A2998" s="92" t="n"/>
      <c r="B2998" s="55" t="n"/>
      <c r="C2998" s="55" t="n"/>
      <c r="D2998" s="55" t="n"/>
      <c r="E2998" s="93" t="n"/>
      <c r="F2998" s="94" t="n"/>
      <c r="G2998" s="94" t="n"/>
      <c r="H2998" s="94" t="n"/>
      <c r="I2998" s="94" t="n"/>
      <c r="J2998" s="55" t="n"/>
      <c r="K2998" s="95" t="n"/>
      <c r="L2998" s="116">
        <f>IF($A2998="","",DATE(YEAR($A2998),MONTH($A2998)+IF(AND(IFERROR(N(INDEX(Übersicht!$M$15:$M$22,MATCH($B2998,Übersicht!$A$15:$A$22,0))),0)&gt;1,DAY($A2998)&gt;=IFERROR(N(INDEX(Übersicht!$M$15:$M$22,MATCH($B2998,Übersicht!$A$15:$A$22,0))),0)),1,0),1))</f>
        <v/>
      </c>
    </row>
    <row r="2999">
      <c r="A2999" s="92" t="n"/>
      <c r="B2999" s="55" t="n"/>
      <c r="C2999" s="55" t="n"/>
      <c r="D2999" s="55" t="n"/>
      <c r="E2999" s="93" t="n"/>
      <c r="F2999" s="94" t="n"/>
      <c r="G2999" s="94" t="n"/>
      <c r="H2999" s="94" t="n"/>
      <c r="I2999" s="94" t="n"/>
      <c r="J2999" s="55" t="n"/>
      <c r="K2999" s="95" t="n"/>
      <c r="L2999" s="116">
        <f>IF($A2999="","",DATE(YEAR($A2999),MONTH($A2999)+IF(AND(IFERROR(N(INDEX(Übersicht!$M$15:$M$22,MATCH($B2999,Übersicht!$A$15:$A$22,0))),0)&gt;1,DAY($A2999)&gt;=IFERROR(N(INDEX(Übersicht!$M$15:$M$22,MATCH($B2999,Übersicht!$A$15:$A$22,0))),0)),1,0),1))</f>
        <v/>
      </c>
    </row>
    <row r="3000">
      <c r="A3000" s="92" t="n"/>
      <c r="B3000" s="55" t="n"/>
      <c r="C3000" s="55" t="n"/>
      <c r="D3000" s="55" t="n"/>
      <c r="E3000" s="93" t="n"/>
      <c r="F3000" s="94" t="n"/>
      <c r="G3000" s="94" t="n"/>
      <c r="H3000" s="94" t="n"/>
      <c r="I3000" s="94" t="n"/>
      <c r="J3000" s="55" t="n"/>
      <c r="K3000" s="95" t="n"/>
      <c r="L3000" s="116">
        <f>IF($A3000="","",DATE(YEAR($A3000),MONTH($A3000)+IF(AND(IFERROR(N(INDEX(Übersicht!$M$15:$M$22,MATCH($B3000,Übersicht!$A$15:$A$22,0))),0)&gt;1,DAY($A3000)&gt;=IFERROR(N(INDEX(Übersicht!$M$15:$M$22,MATCH($B3000,Übersicht!$A$15:$A$22,0))),0)),1,0),1))</f>
        <v/>
      </c>
    </row>
    <row r="3001">
      <c r="A3001" s="92" t="n"/>
      <c r="B3001" s="55" t="n"/>
      <c r="C3001" s="55" t="n"/>
      <c r="D3001" s="55" t="n"/>
      <c r="E3001" s="93" t="n"/>
      <c r="F3001" s="94" t="n"/>
      <c r="G3001" s="94" t="n"/>
      <c r="H3001" s="94" t="n"/>
      <c r="I3001" s="94" t="n"/>
      <c r="J3001" s="55" t="n"/>
      <c r="K3001" s="95" t="n"/>
      <c r="L3001" s="116">
        <f>IF($A3001="","",DATE(YEAR($A3001),MONTH($A3001)+IF(AND(IFERROR(N(INDEX(Übersicht!$M$15:$M$22,MATCH($B3001,Übersicht!$A$15:$A$22,0))),0)&gt;1,DAY($A3001)&gt;=IFERROR(N(INDEX(Übersicht!$M$15:$M$22,MATCH($B3001,Übersicht!$A$15:$A$22,0))),0)),1,0),1))</f>
        <v/>
      </c>
    </row>
    <row r="3002">
      <c r="A3002" s="92" t="n"/>
      <c r="B3002" s="55" t="n"/>
      <c r="C3002" s="55" t="n"/>
      <c r="D3002" s="55" t="n"/>
      <c r="E3002" s="93" t="n"/>
      <c r="F3002" s="94" t="n"/>
      <c r="G3002" s="94" t="n"/>
      <c r="H3002" s="94" t="n"/>
      <c r="I3002" s="94" t="n"/>
      <c r="J3002" s="55" t="n"/>
      <c r="K3002" s="95" t="n"/>
      <c r="L3002" s="116">
        <f>IF($A3002="","",DATE(YEAR($A3002),MONTH($A3002)+IF(AND(IFERROR(N(INDEX(Übersicht!$M$15:$M$22,MATCH($B3002,Übersicht!$A$15:$A$22,0))),0)&gt;1,DAY($A3002)&gt;=IFERROR(N(INDEX(Übersicht!$M$15:$M$22,MATCH($B3002,Übersicht!$A$15:$A$22,0))),0)),1,0),1))</f>
        <v/>
      </c>
    </row>
    <row r="3003">
      <c r="A3003" s="92" t="n"/>
      <c r="B3003" s="55" t="n"/>
      <c r="C3003" s="55" t="n"/>
      <c r="D3003" s="55" t="n"/>
      <c r="E3003" s="93" t="n"/>
      <c r="F3003" s="94" t="n"/>
      <c r="G3003" s="94" t="n"/>
      <c r="H3003" s="94" t="n"/>
      <c r="I3003" s="94" t="n"/>
      <c r="J3003" s="55" t="n"/>
      <c r="K3003" s="95" t="n"/>
      <c r="L3003" s="116">
        <f>IF($A3003="","",DATE(YEAR($A3003),MONTH($A3003)+IF(AND(IFERROR(N(INDEX(Übersicht!$M$15:$M$22,MATCH($B3003,Übersicht!$A$15:$A$22,0))),0)&gt;1,DAY($A3003)&gt;=IFERROR(N(INDEX(Übersicht!$M$15:$M$22,MATCH($B3003,Übersicht!$A$15:$A$22,0))),0)),1,0),1))</f>
        <v/>
      </c>
    </row>
    <row r="3004">
      <c r="A3004" s="92" t="n"/>
      <c r="B3004" s="55" t="n"/>
      <c r="C3004" s="55" t="n"/>
      <c r="D3004" s="55" t="n"/>
      <c r="E3004" s="93" t="n"/>
      <c r="F3004" s="94" t="n"/>
      <c r="G3004" s="94" t="n"/>
      <c r="H3004" s="94" t="n"/>
      <c r="I3004" s="94" t="n"/>
      <c r="J3004" s="55" t="n"/>
      <c r="K3004" s="95" t="n"/>
      <c r="L3004" s="116">
        <f>IF($A3004="","",DATE(YEAR($A3004),MONTH($A3004)+IF(AND(IFERROR(N(INDEX(Übersicht!$M$15:$M$22,MATCH($B3004,Übersicht!$A$15:$A$22,0))),0)&gt;1,DAY($A3004)&gt;=IFERROR(N(INDEX(Übersicht!$M$15:$M$22,MATCH($B3004,Übersicht!$A$15:$A$22,0))),0)),1,0),1))</f>
        <v/>
      </c>
    </row>
    <row r="3005">
      <c r="A3005" s="92" t="n"/>
      <c r="B3005" s="55" t="n"/>
      <c r="C3005" s="55" t="n"/>
      <c r="D3005" s="55" t="n"/>
      <c r="E3005" s="93" t="n"/>
      <c r="F3005" s="94" t="n"/>
      <c r="G3005" s="94" t="n"/>
      <c r="H3005" s="94" t="n"/>
      <c r="I3005" s="94" t="n"/>
      <c r="J3005" s="55" t="n"/>
      <c r="K3005" s="95" t="n"/>
      <c r="L3005" s="116">
        <f>IF($A3005="","",DATE(YEAR($A3005),MONTH($A3005)+IF(AND(IFERROR(N(INDEX(Übersicht!$M$15:$M$22,MATCH($B3005,Übersicht!$A$15:$A$22,0))),0)&gt;1,DAY($A3005)&gt;=IFERROR(N(INDEX(Übersicht!$M$15:$M$22,MATCH($B3005,Übersicht!$A$15:$A$22,0))),0)),1,0),1))</f>
        <v/>
      </c>
    </row>
    <row r="3006">
      <c r="A3006" s="92" t="n"/>
      <c r="B3006" s="55" t="n"/>
      <c r="C3006" s="55" t="n"/>
      <c r="D3006" s="55" t="n"/>
      <c r="E3006" s="93" t="n"/>
      <c r="F3006" s="94" t="n"/>
      <c r="G3006" s="94" t="n"/>
      <c r="H3006" s="94" t="n"/>
      <c r="I3006" s="94" t="n"/>
      <c r="J3006" s="55" t="n"/>
      <c r="K3006" s="95" t="n"/>
      <c r="L3006" s="116">
        <f>IF($A3006="","",DATE(YEAR($A3006),MONTH($A3006)+IF(AND(IFERROR(N(INDEX(Übersicht!$M$15:$M$22,MATCH($B3006,Übersicht!$A$15:$A$22,0))),0)&gt;1,DAY($A3006)&gt;=IFERROR(N(INDEX(Übersicht!$M$15:$M$22,MATCH($B3006,Übersicht!$A$15:$A$22,0))),0)),1,0),1))</f>
        <v/>
      </c>
    </row>
    <row r="3007">
      <c r="A3007" s="92" t="n"/>
      <c r="B3007" s="55" t="n"/>
      <c r="C3007" s="55" t="n"/>
      <c r="D3007" s="55" t="n"/>
      <c r="E3007" s="93" t="n"/>
      <c r="F3007" s="94" t="n"/>
      <c r="G3007" s="94" t="n"/>
      <c r="H3007" s="94" t="n"/>
      <c r="I3007" s="94" t="n"/>
      <c r="J3007" s="55" t="n"/>
      <c r="K3007" s="95" t="n"/>
      <c r="L3007" s="116">
        <f>IF($A3007="","",DATE(YEAR($A3007),MONTH($A3007)+IF(AND(IFERROR(N(INDEX(Übersicht!$M$15:$M$22,MATCH($B3007,Übersicht!$A$15:$A$22,0))),0)&gt;1,DAY($A3007)&gt;=IFERROR(N(INDEX(Übersicht!$M$15:$M$22,MATCH($B3007,Übersicht!$A$15:$A$22,0))),0)),1,0),1))</f>
        <v/>
      </c>
    </row>
    <row r="3008">
      <c r="A3008" s="92" t="n"/>
      <c r="B3008" s="55" t="n"/>
      <c r="C3008" s="55" t="n"/>
      <c r="D3008" s="55" t="n"/>
      <c r="E3008" s="93" t="n"/>
      <c r="F3008" s="94" t="n"/>
      <c r="G3008" s="94" t="n"/>
      <c r="H3008" s="94" t="n"/>
      <c r="I3008" s="94" t="n"/>
      <c r="J3008" s="55" t="n"/>
      <c r="K3008" s="95" t="n"/>
      <c r="L3008" s="116">
        <f>IF($A3008="","",DATE(YEAR($A3008),MONTH($A3008)+IF(AND(IFERROR(N(INDEX(Übersicht!$M$15:$M$22,MATCH($B3008,Übersicht!$A$15:$A$22,0))),0)&gt;1,DAY($A3008)&gt;=IFERROR(N(INDEX(Übersicht!$M$15:$M$22,MATCH($B3008,Übersicht!$A$15:$A$22,0))),0)),1,0),1))</f>
        <v/>
      </c>
    </row>
    <row r="3009">
      <c r="A3009" s="92" t="n"/>
      <c r="B3009" s="55" t="n"/>
      <c r="C3009" s="55" t="n"/>
      <c r="D3009" s="55" t="n"/>
      <c r="E3009" s="93" t="n"/>
      <c r="F3009" s="94" t="n"/>
      <c r="G3009" s="94" t="n"/>
      <c r="H3009" s="94" t="n"/>
      <c r="I3009" s="94" t="n"/>
      <c r="J3009" s="55" t="n"/>
      <c r="K3009" s="95" t="n"/>
      <c r="L3009" s="116">
        <f>IF($A3009="","",DATE(YEAR($A3009),MONTH($A3009)+IF(AND(IFERROR(N(INDEX(Übersicht!$M$15:$M$22,MATCH($B3009,Übersicht!$A$15:$A$22,0))),0)&gt;1,DAY($A3009)&gt;=IFERROR(N(INDEX(Übersicht!$M$15:$M$22,MATCH($B3009,Übersicht!$A$15:$A$22,0))),0)),1,0),1))</f>
        <v/>
      </c>
    </row>
    <row r="3010">
      <c r="A3010" s="92" t="n"/>
      <c r="B3010" s="55" t="n"/>
      <c r="C3010" s="55" t="n"/>
      <c r="D3010" s="55" t="n"/>
      <c r="E3010" s="93" t="n"/>
      <c r="F3010" s="94" t="n"/>
      <c r="G3010" s="94" t="n"/>
      <c r="H3010" s="94" t="n"/>
      <c r="I3010" s="94" t="n"/>
      <c r="J3010" s="55" t="n"/>
      <c r="K3010" s="95" t="n"/>
      <c r="L3010" s="116">
        <f>IF($A3010="","",DATE(YEAR($A3010),MONTH($A3010)+IF(AND(IFERROR(N(INDEX(Übersicht!$M$15:$M$22,MATCH($B3010,Übersicht!$A$15:$A$22,0))),0)&gt;1,DAY($A3010)&gt;=IFERROR(N(INDEX(Übersicht!$M$15:$M$22,MATCH($B3010,Übersicht!$A$15:$A$22,0))),0)),1,0),1))</f>
        <v/>
      </c>
    </row>
    <row r="3011">
      <c r="A3011" s="92" t="n"/>
      <c r="B3011" s="55" t="n"/>
      <c r="C3011" s="55" t="n"/>
      <c r="D3011" s="55" t="n"/>
      <c r="E3011" s="93" t="n"/>
      <c r="F3011" s="94" t="n"/>
      <c r="G3011" s="94" t="n"/>
      <c r="H3011" s="94" t="n"/>
      <c r="I3011" s="94" t="n"/>
      <c r="J3011" s="55" t="n"/>
      <c r="K3011" s="95" t="n"/>
      <c r="L3011" s="116">
        <f>IF($A3011="","",DATE(YEAR($A3011),MONTH($A3011)+IF(AND(IFERROR(N(INDEX(Übersicht!$M$15:$M$22,MATCH($B3011,Übersicht!$A$15:$A$22,0))),0)&gt;1,DAY($A3011)&gt;=IFERROR(N(INDEX(Übersicht!$M$15:$M$22,MATCH($B3011,Übersicht!$A$15:$A$22,0))),0)),1,0),1))</f>
        <v/>
      </c>
    </row>
    <row r="3012">
      <c r="A3012" s="92" t="n"/>
      <c r="B3012" s="55" t="n"/>
      <c r="C3012" s="55" t="n"/>
      <c r="D3012" s="55" t="n"/>
      <c r="E3012" s="93" t="n"/>
      <c r="F3012" s="94" t="n"/>
      <c r="G3012" s="94" t="n"/>
      <c r="H3012" s="94" t="n"/>
      <c r="I3012" s="94" t="n"/>
      <c r="J3012" s="55" t="n"/>
      <c r="K3012" s="95" t="n"/>
      <c r="L3012" s="116">
        <f>IF($A3012="","",DATE(YEAR($A3012),MONTH($A3012)+IF(AND(IFERROR(N(INDEX(Übersicht!$M$15:$M$22,MATCH($B3012,Übersicht!$A$15:$A$22,0))),0)&gt;1,DAY($A3012)&gt;=IFERROR(N(INDEX(Übersicht!$M$15:$M$22,MATCH($B3012,Übersicht!$A$15:$A$22,0))),0)),1,0),1))</f>
        <v/>
      </c>
    </row>
    <row r="3013">
      <c r="A3013" s="92" t="n"/>
      <c r="B3013" s="55" t="n"/>
      <c r="C3013" s="55" t="n"/>
      <c r="D3013" s="55" t="n"/>
      <c r="E3013" s="93" t="n"/>
      <c r="F3013" s="94" t="n"/>
      <c r="G3013" s="94" t="n"/>
      <c r="H3013" s="94" t="n"/>
      <c r="I3013" s="94" t="n"/>
      <c r="J3013" s="55" t="n"/>
      <c r="K3013" s="95" t="n"/>
      <c r="L3013" s="116">
        <f>IF($A3013="","",DATE(YEAR($A3013),MONTH($A3013)+IF(AND(IFERROR(N(INDEX(Übersicht!$M$15:$M$22,MATCH($B3013,Übersicht!$A$15:$A$22,0))),0)&gt;1,DAY($A3013)&gt;=IFERROR(N(INDEX(Übersicht!$M$15:$M$22,MATCH($B3013,Übersicht!$A$15:$A$22,0))),0)),1,0),1))</f>
        <v/>
      </c>
    </row>
    <row r="3014">
      <c r="A3014" s="92" t="n"/>
      <c r="B3014" s="55" t="n"/>
      <c r="C3014" s="55" t="n"/>
      <c r="D3014" s="55" t="n"/>
      <c r="E3014" s="93" t="n"/>
      <c r="F3014" s="94" t="n"/>
      <c r="G3014" s="94" t="n"/>
      <c r="H3014" s="94" t="n"/>
      <c r="I3014" s="94" t="n"/>
      <c r="J3014" s="55" t="n"/>
      <c r="K3014" s="95" t="n"/>
      <c r="L3014" s="116">
        <f>IF($A3014="","",DATE(YEAR($A3014),MONTH($A3014)+IF(AND(IFERROR(N(INDEX(Übersicht!$M$15:$M$22,MATCH($B3014,Übersicht!$A$15:$A$22,0))),0)&gt;1,DAY($A3014)&gt;=IFERROR(N(INDEX(Übersicht!$M$15:$M$22,MATCH($B3014,Übersicht!$A$15:$A$22,0))),0)),1,0),1))</f>
        <v/>
      </c>
    </row>
    <row r="3015">
      <c r="A3015" s="92" t="n"/>
      <c r="B3015" s="55" t="n"/>
      <c r="C3015" s="55" t="n"/>
      <c r="D3015" s="55" t="n"/>
      <c r="E3015" s="93" t="n"/>
      <c r="F3015" s="94" t="n"/>
      <c r="G3015" s="94" t="n"/>
      <c r="H3015" s="94" t="n"/>
      <c r="I3015" s="94" t="n"/>
      <c r="J3015" s="55" t="n"/>
      <c r="K3015" s="95" t="n"/>
      <c r="L3015" s="116">
        <f>IF($A3015="","",DATE(YEAR($A3015),MONTH($A3015)+IF(AND(IFERROR(N(INDEX(Übersicht!$M$15:$M$22,MATCH($B3015,Übersicht!$A$15:$A$22,0))),0)&gt;1,DAY($A3015)&gt;=IFERROR(N(INDEX(Übersicht!$M$15:$M$22,MATCH($B3015,Übersicht!$A$15:$A$22,0))),0)),1,0),1))</f>
        <v/>
      </c>
    </row>
    <row r="3016">
      <c r="A3016" s="92" t="n"/>
      <c r="B3016" s="55" t="n"/>
      <c r="C3016" s="55" t="n"/>
      <c r="D3016" s="55" t="n"/>
      <c r="E3016" s="93" t="n"/>
      <c r="F3016" s="94" t="n"/>
      <c r="G3016" s="94" t="n"/>
      <c r="H3016" s="94" t="n"/>
      <c r="I3016" s="94" t="n"/>
      <c r="J3016" s="55" t="n"/>
      <c r="K3016" s="95" t="n"/>
      <c r="L3016" s="116">
        <f>IF($A3016="","",DATE(YEAR($A3016),MONTH($A3016)+IF(AND(IFERROR(N(INDEX(Übersicht!$M$15:$M$22,MATCH($B3016,Übersicht!$A$15:$A$22,0))),0)&gt;1,DAY($A3016)&gt;=IFERROR(N(INDEX(Übersicht!$M$15:$M$22,MATCH($B3016,Übersicht!$A$15:$A$22,0))),0)),1,0),1))</f>
        <v/>
      </c>
    </row>
    <row r="3017">
      <c r="A3017" s="92" t="n"/>
      <c r="B3017" s="55" t="n"/>
      <c r="C3017" s="55" t="n"/>
      <c r="D3017" s="55" t="n"/>
      <c r="E3017" s="93" t="n"/>
      <c r="F3017" s="94" t="n"/>
      <c r="G3017" s="94" t="n"/>
      <c r="H3017" s="94" t="n"/>
      <c r="I3017" s="94" t="n"/>
      <c r="J3017" s="55" t="n"/>
      <c r="K3017" s="95" t="n"/>
      <c r="L3017" s="116">
        <f>IF($A3017="","",DATE(YEAR($A3017),MONTH($A3017)+IF(AND(IFERROR(N(INDEX(Übersicht!$M$15:$M$22,MATCH($B3017,Übersicht!$A$15:$A$22,0))),0)&gt;1,DAY($A3017)&gt;=IFERROR(N(INDEX(Übersicht!$M$15:$M$22,MATCH($B3017,Übersicht!$A$15:$A$22,0))),0)),1,0),1))</f>
        <v/>
      </c>
    </row>
    <row r="3018">
      <c r="A3018" s="92" t="n"/>
      <c r="B3018" s="55" t="n"/>
      <c r="C3018" s="55" t="n"/>
      <c r="D3018" s="55" t="n"/>
      <c r="E3018" s="93" t="n"/>
      <c r="F3018" s="94" t="n"/>
      <c r="G3018" s="94" t="n"/>
      <c r="H3018" s="94" t="n"/>
      <c r="I3018" s="94" t="n"/>
      <c r="J3018" s="55" t="n"/>
      <c r="K3018" s="95" t="n"/>
      <c r="L3018" s="116">
        <f>IF($A3018="","",DATE(YEAR($A3018),MONTH($A3018)+IF(AND(IFERROR(N(INDEX(Übersicht!$M$15:$M$22,MATCH($B3018,Übersicht!$A$15:$A$22,0))),0)&gt;1,DAY($A3018)&gt;=IFERROR(N(INDEX(Übersicht!$M$15:$M$22,MATCH($B3018,Übersicht!$A$15:$A$22,0))),0)),1,0),1))</f>
        <v/>
      </c>
    </row>
    <row r="3019">
      <c r="A3019" s="92" t="n"/>
      <c r="B3019" s="55" t="n"/>
      <c r="C3019" s="55" t="n"/>
      <c r="D3019" s="55" t="n"/>
      <c r="E3019" s="93" t="n"/>
      <c r="F3019" s="94" t="n"/>
      <c r="G3019" s="94" t="n"/>
      <c r="H3019" s="94" t="n"/>
      <c r="I3019" s="94" t="n"/>
      <c r="J3019" s="55" t="n"/>
      <c r="K3019" s="95" t="n"/>
      <c r="L3019" s="116">
        <f>IF($A3019="","",DATE(YEAR($A3019),MONTH($A3019)+IF(AND(IFERROR(N(INDEX(Übersicht!$M$15:$M$22,MATCH($B3019,Übersicht!$A$15:$A$22,0))),0)&gt;1,DAY($A3019)&gt;=IFERROR(N(INDEX(Übersicht!$M$15:$M$22,MATCH($B3019,Übersicht!$A$15:$A$22,0))),0)),1,0),1))</f>
        <v/>
      </c>
    </row>
    <row r="3020">
      <c r="A3020" s="92" t="n"/>
      <c r="B3020" s="55" t="n"/>
      <c r="C3020" s="55" t="n"/>
      <c r="D3020" s="55" t="n"/>
      <c r="E3020" s="93" t="n"/>
      <c r="F3020" s="94" t="n"/>
      <c r="G3020" s="94" t="n"/>
      <c r="H3020" s="94" t="n"/>
      <c r="I3020" s="94" t="n"/>
      <c r="J3020" s="55" t="n"/>
      <c r="K3020" s="95" t="n"/>
      <c r="L3020" s="116">
        <f>IF($A3020="","",DATE(YEAR($A3020),MONTH($A3020)+IF(AND(IFERROR(N(INDEX(Übersicht!$M$15:$M$22,MATCH($B3020,Übersicht!$A$15:$A$22,0))),0)&gt;1,DAY($A3020)&gt;=IFERROR(N(INDEX(Übersicht!$M$15:$M$22,MATCH($B3020,Übersicht!$A$15:$A$22,0))),0)),1,0),1))</f>
        <v/>
      </c>
    </row>
    <row r="3021">
      <c r="A3021" s="92" t="n"/>
      <c r="B3021" s="55" t="n"/>
      <c r="C3021" s="55" t="n"/>
      <c r="D3021" s="55" t="n"/>
      <c r="E3021" s="93" t="n"/>
      <c r="F3021" s="94" t="n"/>
      <c r="G3021" s="94" t="n"/>
      <c r="H3021" s="94" t="n"/>
      <c r="I3021" s="94" t="n"/>
      <c r="J3021" s="55" t="n"/>
      <c r="K3021" s="95" t="n"/>
      <c r="L3021" s="116">
        <f>IF($A3021="","",DATE(YEAR($A3021),MONTH($A3021)+IF(AND(IFERROR(N(INDEX(Übersicht!$M$15:$M$22,MATCH($B3021,Übersicht!$A$15:$A$22,0))),0)&gt;1,DAY($A3021)&gt;=IFERROR(N(INDEX(Übersicht!$M$15:$M$22,MATCH($B3021,Übersicht!$A$15:$A$22,0))),0)),1,0),1))</f>
        <v/>
      </c>
    </row>
    <row r="3022">
      <c r="A3022" s="92" t="n"/>
      <c r="B3022" s="55" t="n"/>
      <c r="C3022" s="55" t="n"/>
      <c r="D3022" s="55" t="n"/>
      <c r="E3022" s="93" t="n"/>
      <c r="F3022" s="94" t="n"/>
      <c r="G3022" s="94" t="n"/>
      <c r="H3022" s="94" t="n"/>
      <c r="I3022" s="94" t="n"/>
      <c r="J3022" s="55" t="n"/>
      <c r="K3022" s="95" t="n"/>
      <c r="L3022" s="116">
        <f>IF($A3022="","",DATE(YEAR($A3022),MONTH($A3022)+IF(AND(IFERROR(N(INDEX(Übersicht!$M$15:$M$22,MATCH($B3022,Übersicht!$A$15:$A$22,0))),0)&gt;1,DAY($A3022)&gt;=IFERROR(N(INDEX(Übersicht!$M$15:$M$22,MATCH($B3022,Übersicht!$A$15:$A$22,0))),0)),1,0),1))</f>
        <v/>
      </c>
    </row>
    <row r="3023">
      <c r="A3023" s="92" t="n"/>
      <c r="B3023" s="55" t="n"/>
      <c r="C3023" s="55" t="n"/>
      <c r="D3023" s="55" t="n"/>
      <c r="E3023" s="93" t="n"/>
      <c r="F3023" s="94" t="n"/>
      <c r="G3023" s="94" t="n"/>
      <c r="H3023" s="94" t="n"/>
      <c r="I3023" s="94" t="n"/>
      <c r="J3023" s="55" t="n"/>
      <c r="K3023" s="95" t="n"/>
      <c r="L3023" s="116">
        <f>IF($A3023="","",DATE(YEAR($A3023),MONTH($A3023)+IF(AND(IFERROR(N(INDEX(Übersicht!$M$15:$M$22,MATCH($B3023,Übersicht!$A$15:$A$22,0))),0)&gt;1,DAY($A3023)&gt;=IFERROR(N(INDEX(Übersicht!$M$15:$M$22,MATCH($B3023,Übersicht!$A$15:$A$22,0))),0)),1,0),1))</f>
        <v/>
      </c>
    </row>
    <row r="3024">
      <c r="A3024" s="92" t="n"/>
      <c r="B3024" s="55" t="n"/>
      <c r="C3024" s="55" t="n"/>
      <c r="D3024" s="55" t="n"/>
      <c r="E3024" s="93" t="n"/>
      <c r="F3024" s="94" t="n"/>
      <c r="G3024" s="94" t="n"/>
      <c r="H3024" s="94" t="n"/>
      <c r="I3024" s="94" t="n"/>
      <c r="J3024" s="55" t="n"/>
      <c r="K3024" s="95" t="n"/>
      <c r="L3024" s="116">
        <f>IF($A3024="","",DATE(YEAR($A3024),MONTH($A3024)+IF(AND(IFERROR(N(INDEX(Übersicht!$M$15:$M$22,MATCH($B3024,Übersicht!$A$15:$A$22,0))),0)&gt;1,DAY($A3024)&gt;=IFERROR(N(INDEX(Übersicht!$M$15:$M$22,MATCH($B3024,Übersicht!$A$15:$A$22,0))),0)),1,0),1))</f>
        <v/>
      </c>
    </row>
    <row r="3025">
      <c r="A3025" s="92" t="n"/>
      <c r="B3025" s="55" t="n"/>
      <c r="C3025" s="55" t="n"/>
      <c r="D3025" s="55" t="n"/>
      <c r="E3025" s="93" t="n"/>
      <c r="F3025" s="94" t="n"/>
      <c r="G3025" s="94" t="n"/>
      <c r="H3025" s="94" t="n"/>
      <c r="I3025" s="94" t="n"/>
      <c r="J3025" s="55" t="n"/>
      <c r="K3025" s="95" t="n"/>
      <c r="L3025" s="116">
        <f>IF($A3025="","",DATE(YEAR($A3025),MONTH($A3025)+IF(AND(IFERROR(N(INDEX(Übersicht!$M$15:$M$22,MATCH($B3025,Übersicht!$A$15:$A$22,0))),0)&gt;1,DAY($A3025)&gt;=IFERROR(N(INDEX(Übersicht!$M$15:$M$22,MATCH($B3025,Übersicht!$A$15:$A$22,0))),0)),1,0),1))</f>
        <v/>
      </c>
    </row>
    <row r="3026">
      <c r="A3026" s="92" t="n"/>
      <c r="B3026" s="55" t="n"/>
      <c r="C3026" s="55" t="n"/>
      <c r="D3026" s="55" t="n"/>
      <c r="E3026" s="93" t="n"/>
      <c r="F3026" s="94" t="n"/>
      <c r="G3026" s="94" t="n"/>
      <c r="H3026" s="94" t="n"/>
      <c r="I3026" s="94" t="n"/>
      <c r="J3026" s="55" t="n"/>
      <c r="K3026" s="95" t="n"/>
      <c r="L3026" s="116">
        <f>IF($A3026="","",DATE(YEAR($A3026),MONTH($A3026)+IF(AND(IFERROR(N(INDEX(Übersicht!$M$15:$M$22,MATCH($B3026,Übersicht!$A$15:$A$22,0))),0)&gt;1,DAY($A3026)&gt;=IFERROR(N(INDEX(Übersicht!$M$15:$M$22,MATCH($B3026,Übersicht!$A$15:$A$22,0))),0)),1,0),1))</f>
        <v/>
      </c>
    </row>
    <row r="3027">
      <c r="A3027" s="92" t="n"/>
      <c r="B3027" s="55" t="n"/>
      <c r="C3027" s="55" t="n"/>
      <c r="D3027" s="55" t="n"/>
      <c r="E3027" s="93" t="n"/>
      <c r="F3027" s="94" t="n"/>
      <c r="G3027" s="94" t="n"/>
      <c r="H3027" s="94" t="n"/>
      <c r="I3027" s="94" t="n"/>
      <c r="J3027" s="55" t="n"/>
      <c r="K3027" s="95" t="n"/>
      <c r="L3027" s="116">
        <f>IF($A3027="","",DATE(YEAR($A3027),MONTH($A3027)+IF(AND(IFERROR(N(INDEX(Übersicht!$M$15:$M$22,MATCH($B3027,Übersicht!$A$15:$A$22,0))),0)&gt;1,DAY($A3027)&gt;=IFERROR(N(INDEX(Übersicht!$M$15:$M$22,MATCH($B3027,Übersicht!$A$15:$A$22,0))),0)),1,0),1))</f>
        <v/>
      </c>
    </row>
    <row r="3028">
      <c r="A3028" s="92" t="n"/>
      <c r="B3028" s="55" t="n"/>
      <c r="C3028" s="55" t="n"/>
      <c r="D3028" s="55" t="n"/>
      <c r="E3028" s="93" t="n"/>
      <c r="F3028" s="94" t="n"/>
      <c r="G3028" s="94" t="n"/>
      <c r="H3028" s="94" t="n"/>
      <c r="I3028" s="94" t="n"/>
      <c r="J3028" s="55" t="n"/>
      <c r="K3028" s="95" t="n"/>
      <c r="L3028" s="116">
        <f>IF($A3028="","",DATE(YEAR($A3028),MONTH($A3028)+IF(AND(IFERROR(N(INDEX(Übersicht!$M$15:$M$22,MATCH($B3028,Übersicht!$A$15:$A$22,0))),0)&gt;1,DAY($A3028)&gt;=IFERROR(N(INDEX(Übersicht!$M$15:$M$22,MATCH($B3028,Übersicht!$A$15:$A$22,0))),0)),1,0),1))</f>
        <v/>
      </c>
    </row>
    <row r="3029">
      <c r="A3029" s="92" t="n"/>
      <c r="B3029" s="55" t="n"/>
      <c r="C3029" s="55" t="n"/>
      <c r="D3029" s="55" t="n"/>
      <c r="E3029" s="93" t="n"/>
      <c r="F3029" s="94" t="n"/>
      <c r="G3029" s="94" t="n"/>
      <c r="H3029" s="94" t="n"/>
      <c r="I3029" s="94" t="n"/>
      <c r="J3029" s="55" t="n"/>
      <c r="K3029" s="95" t="n"/>
      <c r="L3029" s="116">
        <f>IF($A3029="","",DATE(YEAR($A3029),MONTH($A3029)+IF(AND(IFERROR(N(INDEX(Übersicht!$M$15:$M$22,MATCH($B3029,Übersicht!$A$15:$A$22,0))),0)&gt;1,DAY($A3029)&gt;=IFERROR(N(INDEX(Übersicht!$M$15:$M$22,MATCH($B3029,Übersicht!$A$15:$A$22,0))),0)),1,0),1))</f>
        <v/>
      </c>
    </row>
    <row r="3030">
      <c r="A3030" s="92" t="n"/>
      <c r="B3030" s="55" t="n"/>
      <c r="C3030" s="55" t="n"/>
      <c r="D3030" s="55" t="n"/>
      <c r="E3030" s="93" t="n"/>
      <c r="F3030" s="94" t="n"/>
      <c r="G3030" s="94" t="n"/>
      <c r="H3030" s="94" t="n"/>
      <c r="I3030" s="94" t="n"/>
      <c r="J3030" s="55" t="n"/>
      <c r="K3030" s="95" t="n"/>
      <c r="L3030" s="116">
        <f>IF($A3030="","",DATE(YEAR($A3030),MONTH($A3030)+IF(AND(IFERROR(N(INDEX(Übersicht!$M$15:$M$22,MATCH($B3030,Übersicht!$A$15:$A$22,0))),0)&gt;1,DAY($A3030)&gt;=IFERROR(N(INDEX(Übersicht!$M$15:$M$22,MATCH($B3030,Übersicht!$A$15:$A$22,0))),0)),1,0),1))</f>
        <v/>
      </c>
    </row>
    <row r="3031">
      <c r="A3031" s="92" t="n"/>
      <c r="B3031" s="55" t="n"/>
      <c r="C3031" s="55" t="n"/>
      <c r="D3031" s="55" t="n"/>
      <c r="E3031" s="93" t="n"/>
      <c r="F3031" s="94" t="n"/>
      <c r="G3031" s="94" t="n"/>
      <c r="H3031" s="94" t="n"/>
      <c r="I3031" s="94" t="n"/>
      <c r="J3031" s="55" t="n"/>
      <c r="K3031" s="95" t="n"/>
      <c r="L3031" s="116">
        <f>IF($A3031="","",DATE(YEAR($A3031),MONTH($A3031)+IF(AND(IFERROR(N(INDEX(Übersicht!$M$15:$M$22,MATCH($B3031,Übersicht!$A$15:$A$22,0))),0)&gt;1,DAY($A3031)&gt;=IFERROR(N(INDEX(Übersicht!$M$15:$M$22,MATCH($B3031,Übersicht!$A$15:$A$22,0))),0)),1,0),1))</f>
        <v/>
      </c>
    </row>
    <row r="3032">
      <c r="A3032" s="92" t="n"/>
      <c r="B3032" s="55" t="n"/>
      <c r="C3032" s="55" t="n"/>
      <c r="D3032" s="55" t="n"/>
      <c r="E3032" s="93" t="n"/>
      <c r="F3032" s="94" t="n"/>
      <c r="G3032" s="94" t="n"/>
      <c r="H3032" s="94" t="n"/>
      <c r="I3032" s="94" t="n"/>
      <c r="J3032" s="55" t="n"/>
      <c r="K3032" s="95" t="n"/>
      <c r="L3032" s="116">
        <f>IF($A3032="","",DATE(YEAR($A3032),MONTH($A3032)+IF(AND(IFERROR(N(INDEX(Übersicht!$M$15:$M$22,MATCH($B3032,Übersicht!$A$15:$A$22,0))),0)&gt;1,DAY($A3032)&gt;=IFERROR(N(INDEX(Übersicht!$M$15:$M$22,MATCH($B3032,Übersicht!$A$15:$A$22,0))),0)),1,0),1))</f>
        <v/>
      </c>
    </row>
    <row r="3033">
      <c r="A3033" s="92" t="n"/>
      <c r="B3033" s="55" t="n"/>
      <c r="C3033" s="55" t="n"/>
      <c r="D3033" s="55" t="n"/>
      <c r="E3033" s="93" t="n"/>
      <c r="F3033" s="94" t="n"/>
      <c r="G3033" s="94" t="n"/>
      <c r="H3033" s="94" t="n"/>
      <c r="I3033" s="94" t="n"/>
      <c r="J3033" s="55" t="n"/>
      <c r="K3033" s="95" t="n"/>
      <c r="L3033" s="116">
        <f>IF($A3033="","",DATE(YEAR($A3033),MONTH($A3033)+IF(AND(IFERROR(N(INDEX(Übersicht!$M$15:$M$22,MATCH($B3033,Übersicht!$A$15:$A$22,0))),0)&gt;1,DAY($A3033)&gt;=IFERROR(N(INDEX(Übersicht!$M$15:$M$22,MATCH($B3033,Übersicht!$A$15:$A$22,0))),0)),1,0),1))</f>
        <v/>
      </c>
    </row>
    <row r="3034">
      <c r="A3034" s="92" t="n"/>
      <c r="B3034" s="55" t="n"/>
      <c r="C3034" s="55" t="n"/>
      <c r="D3034" s="55" t="n"/>
      <c r="E3034" s="93" t="n"/>
      <c r="F3034" s="94" t="n"/>
      <c r="G3034" s="94" t="n"/>
      <c r="H3034" s="94" t="n"/>
      <c r="I3034" s="94" t="n"/>
      <c r="J3034" s="55" t="n"/>
      <c r="K3034" s="95" t="n"/>
      <c r="L3034" s="116">
        <f>IF($A3034="","",DATE(YEAR($A3034),MONTH($A3034)+IF(AND(IFERROR(N(INDEX(Übersicht!$M$15:$M$22,MATCH($B3034,Übersicht!$A$15:$A$22,0))),0)&gt;1,DAY($A3034)&gt;=IFERROR(N(INDEX(Übersicht!$M$15:$M$22,MATCH($B3034,Übersicht!$A$15:$A$22,0))),0)),1,0),1))</f>
        <v/>
      </c>
    </row>
    <row r="3035">
      <c r="A3035" s="92" t="n"/>
      <c r="B3035" s="55" t="n"/>
      <c r="C3035" s="55" t="n"/>
      <c r="D3035" s="55" t="n"/>
      <c r="E3035" s="93" t="n"/>
      <c r="F3035" s="94" t="n"/>
      <c r="G3035" s="94" t="n"/>
      <c r="H3035" s="94" t="n"/>
      <c r="I3035" s="94" t="n"/>
      <c r="J3035" s="55" t="n"/>
      <c r="K3035" s="95" t="n"/>
      <c r="L3035" s="116">
        <f>IF($A3035="","",DATE(YEAR($A3035),MONTH($A3035)+IF(AND(IFERROR(N(INDEX(Übersicht!$M$15:$M$22,MATCH($B3035,Übersicht!$A$15:$A$22,0))),0)&gt;1,DAY($A3035)&gt;=IFERROR(N(INDEX(Übersicht!$M$15:$M$22,MATCH($B3035,Übersicht!$A$15:$A$22,0))),0)),1,0),1))</f>
        <v/>
      </c>
    </row>
    <row r="3036">
      <c r="A3036" s="92" t="n"/>
      <c r="B3036" s="55" t="n"/>
      <c r="C3036" s="55" t="n"/>
      <c r="D3036" s="55" t="n"/>
      <c r="E3036" s="93" t="n"/>
      <c r="F3036" s="94" t="n"/>
      <c r="G3036" s="94" t="n"/>
      <c r="H3036" s="94" t="n"/>
      <c r="I3036" s="94" t="n"/>
      <c r="J3036" s="55" t="n"/>
      <c r="K3036" s="95" t="n"/>
      <c r="L3036" s="116">
        <f>IF($A3036="","",DATE(YEAR($A3036),MONTH($A3036)+IF(AND(IFERROR(N(INDEX(Übersicht!$M$15:$M$22,MATCH($B3036,Übersicht!$A$15:$A$22,0))),0)&gt;1,DAY($A3036)&gt;=IFERROR(N(INDEX(Übersicht!$M$15:$M$22,MATCH($B3036,Übersicht!$A$15:$A$22,0))),0)),1,0),1))</f>
        <v/>
      </c>
    </row>
    <row r="3037">
      <c r="A3037" s="92" t="n"/>
      <c r="B3037" s="55" t="n"/>
      <c r="C3037" s="55" t="n"/>
      <c r="D3037" s="55" t="n"/>
      <c r="E3037" s="93" t="n"/>
      <c r="F3037" s="94" t="n"/>
      <c r="G3037" s="94" t="n"/>
      <c r="H3037" s="94" t="n"/>
      <c r="I3037" s="94" t="n"/>
      <c r="J3037" s="55" t="n"/>
      <c r="K3037" s="95" t="n"/>
      <c r="L3037" s="116">
        <f>IF($A3037="","",DATE(YEAR($A3037),MONTH($A3037)+IF(AND(IFERROR(N(INDEX(Übersicht!$M$15:$M$22,MATCH($B3037,Übersicht!$A$15:$A$22,0))),0)&gt;1,DAY($A3037)&gt;=IFERROR(N(INDEX(Übersicht!$M$15:$M$22,MATCH($B3037,Übersicht!$A$15:$A$22,0))),0)),1,0),1))</f>
        <v/>
      </c>
    </row>
    <row r="3038">
      <c r="A3038" s="92" t="n"/>
      <c r="B3038" s="55" t="n"/>
      <c r="C3038" s="55" t="n"/>
      <c r="D3038" s="55" t="n"/>
      <c r="E3038" s="93" t="n"/>
      <c r="F3038" s="94" t="n"/>
      <c r="G3038" s="94" t="n"/>
      <c r="H3038" s="94" t="n"/>
      <c r="I3038" s="94" t="n"/>
      <c r="J3038" s="55" t="n"/>
      <c r="K3038" s="95" t="n"/>
      <c r="L3038" s="116">
        <f>IF($A3038="","",DATE(YEAR($A3038),MONTH($A3038)+IF(AND(IFERROR(N(INDEX(Übersicht!$M$15:$M$22,MATCH($B3038,Übersicht!$A$15:$A$22,0))),0)&gt;1,DAY($A3038)&gt;=IFERROR(N(INDEX(Übersicht!$M$15:$M$22,MATCH($B3038,Übersicht!$A$15:$A$22,0))),0)),1,0),1))</f>
        <v/>
      </c>
    </row>
    <row r="3039">
      <c r="A3039" s="92" t="n"/>
      <c r="B3039" s="55" t="n"/>
      <c r="C3039" s="55" t="n"/>
      <c r="D3039" s="55" t="n"/>
      <c r="E3039" s="93" t="n"/>
      <c r="F3039" s="94" t="n"/>
      <c r="G3039" s="94" t="n"/>
      <c r="H3039" s="94" t="n"/>
      <c r="I3039" s="94" t="n"/>
      <c r="J3039" s="55" t="n"/>
      <c r="K3039" s="95" t="n"/>
      <c r="L3039" s="116">
        <f>IF($A3039="","",DATE(YEAR($A3039),MONTH($A3039)+IF(AND(IFERROR(N(INDEX(Übersicht!$M$15:$M$22,MATCH($B3039,Übersicht!$A$15:$A$22,0))),0)&gt;1,DAY($A3039)&gt;=IFERROR(N(INDEX(Übersicht!$M$15:$M$22,MATCH($B3039,Übersicht!$A$15:$A$22,0))),0)),1,0),1))</f>
        <v/>
      </c>
    </row>
    <row r="3040">
      <c r="A3040" s="92" t="n"/>
      <c r="B3040" s="55" t="n"/>
      <c r="C3040" s="55" t="n"/>
      <c r="D3040" s="55" t="n"/>
      <c r="E3040" s="93" t="n"/>
      <c r="F3040" s="94" t="n"/>
      <c r="G3040" s="94" t="n"/>
      <c r="H3040" s="94" t="n"/>
      <c r="I3040" s="94" t="n"/>
      <c r="J3040" s="55" t="n"/>
      <c r="K3040" s="95" t="n"/>
      <c r="L3040" s="116">
        <f>IF($A3040="","",DATE(YEAR($A3040),MONTH($A3040)+IF(AND(IFERROR(N(INDEX(Übersicht!$M$15:$M$22,MATCH($B3040,Übersicht!$A$15:$A$22,0))),0)&gt;1,DAY($A3040)&gt;=IFERROR(N(INDEX(Übersicht!$M$15:$M$22,MATCH($B3040,Übersicht!$A$15:$A$22,0))),0)),1,0),1))</f>
        <v/>
      </c>
    </row>
    <row r="3041">
      <c r="A3041" s="92" t="n"/>
      <c r="B3041" s="55" t="n"/>
      <c r="C3041" s="55" t="n"/>
      <c r="D3041" s="55" t="n"/>
      <c r="E3041" s="93" t="n"/>
      <c r="F3041" s="94" t="n"/>
      <c r="G3041" s="94" t="n"/>
      <c r="H3041" s="94" t="n"/>
      <c r="I3041" s="94" t="n"/>
      <c r="J3041" s="55" t="n"/>
      <c r="K3041" s="95" t="n"/>
      <c r="L3041" s="116">
        <f>IF($A3041="","",DATE(YEAR($A3041),MONTH($A3041)+IF(AND(IFERROR(N(INDEX(Übersicht!$M$15:$M$22,MATCH($B3041,Übersicht!$A$15:$A$22,0))),0)&gt;1,DAY($A3041)&gt;=IFERROR(N(INDEX(Übersicht!$M$15:$M$22,MATCH($B3041,Übersicht!$A$15:$A$22,0))),0)),1,0),1))</f>
        <v/>
      </c>
    </row>
    <row r="3042">
      <c r="A3042" s="92" t="n"/>
      <c r="B3042" s="55" t="n"/>
      <c r="C3042" s="55" t="n"/>
      <c r="D3042" s="55" t="n"/>
      <c r="E3042" s="93" t="n"/>
      <c r="F3042" s="94" t="n"/>
      <c r="G3042" s="94" t="n"/>
      <c r="H3042" s="94" t="n"/>
      <c r="I3042" s="94" t="n"/>
      <c r="J3042" s="55" t="n"/>
      <c r="K3042" s="95" t="n"/>
      <c r="L3042" s="116">
        <f>IF($A3042="","",DATE(YEAR($A3042),MONTH($A3042)+IF(AND(IFERROR(N(INDEX(Übersicht!$M$15:$M$22,MATCH($B3042,Übersicht!$A$15:$A$22,0))),0)&gt;1,DAY($A3042)&gt;=IFERROR(N(INDEX(Übersicht!$M$15:$M$22,MATCH($B3042,Übersicht!$A$15:$A$22,0))),0)),1,0),1))</f>
        <v/>
      </c>
    </row>
    <row r="3043">
      <c r="A3043" s="92" t="n"/>
      <c r="B3043" s="55" t="n"/>
      <c r="C3043" s="55" t="n"/>
      <c r="D3043" s="55" t="n"/>
      <c r="E3043" s="93" t="n"/>
      <c r="F3043" s="94" t="n"/>
      <c r="G3043" s="94" t="n"/>
      <c r="H3043" s="94" t="n"/>
      <c r="I3043" s="94" t="n"/>
      <c r="J3043" s="55" t="n"/>
      <c r="K3043" s="95" t="n"/>
      <c r="L3043" s="116">
        <f>IF($A3043="","",DATE(YEAR($A3043),MONTH($A3043)+IF(AND(IFERROR(N(INDEX(Übersicht!$M$15:$M$22,MATCH($B3043,Übersicht!$A$15:$A$22,0))),0)&gt;1,DAY($A3043)&gt;=IFERROR(N(INDEX(Übersicht!$M$15:$M$22,MATCH($B3043,Übersicht!$A$15:$A$22,0))),0)),1,0),1))</f>
        <v/>
      </c>
    </row>
    <row r="3044">
      <c r="A3044" s="92" t="n"/>
      <c r="B3044" s="55" t="n"/>
      <c r="C3044" s="55" t="n"/>
      <c r="D3044" s="55" t="n"/>
      <c r="E3044" s="93" t="n"/>
      <c r="F3044" s="94" t="n"/>
      <c r="G3044" s="94" t="n"/>
      <c r="H3044" s="94" t="n"/>
      <c r="I3044" s="94" t="n"/>
      <c r="J3044" s="55" t="n"/>
      <c r="K3044" s="95" t="n"/>
      <c r="L3044" s="116">
        <f>IF($A3044="","",DATE(YEAR($A3044),MONTH($A3044)+IF(AND(IFERROR(N(INDEX(Übersicht!$M$15:$M$22,MATCH($B3044,Übersicht!$A$15:$A$22,0))),0)&gt;1,DAY($A3044)&gt;=IFERROR(N(INDEX(Übersicht!$M$15:$M$22,MATCH($B3044,Übersicht!$A$15:$A$22,0))),0)),1,0),1))</f>
        <v/>
      </c>
    </row>
    <row r="3045">
      <c r="A3045" s="92" t="n"/>
      <c r="B3045" s="55" t="n"/>
      <c r="C3045" s="55" t="n"/>
      <c r="D3045" s="55" t="n"/>
      <c r="E3045" s="93" t="n"/>
      <c r="F3045" s="94" t="n"/>
      <c r="G3045" s="94" t="n"/>
      <c r="H3045" s="94" t="n"/>
      <c r="I3045" s="94" t="n"/>
      <c r="J3045" s="55" t="n"/>
      <c r="K3045" s="95" t="n"/>
      <c r="L3045" s="116">
        <f>IF($A3045="","",DATE(YEAR($A3045),MONTH($A3045)+IF(AND(IFERROR(N(INDEX(Übersicht!$M$15:$M$22,MATCH($B3045,Übersicht!$A$15:$A$22,0))),0)&gt;1,DAY($A3045)&gt;=IFERROR(N(INDEX(Übersicht!$M$15:$M$22,MATCH($B3045,Übersicht!$A$15:$A$22,0))),0)),1,0),1))</f>
        <v/>
      </c>
    </row>
    <row r="3046">
      <c r="A3046" s="92" t="n"/>
      <c r="B3046" s="55" t="n"/>
      <c r="C3046" s="55" t="n"/>
      <c r="D3046" s="55" t="n"/>
      <c r="E3046" s="93" t="n"/>
      <c r="F3046" s="94" t="n"/>
      <c r="G3046" s="94" t="n"/>
      <c r="H3046" s="94" t="n"/>
      <c r="I3046" s="94" t="n"/>
      <c r="J3046" s="55" t="n"/>
      <c r="K3046" s="95" t="n"/>
      <c r="L3046" s="116">
        <f>IF($A3046="","",DATE(YEAR($A3046),MONTH($A3046)+IF(AND(IFERROR(N(INDEX(Übersicht!$M$15:$M$22,MATCH($B3046,Übersicht!$A$15:$A$22,0))),0)&gt;1,DAY($A3046)&gt;=IFERROR(N(INDEX(Übersicht!$M$15:$M$22,MATCH($B3046,Übersicht!$A$15:$A$22,0))),0)),1,0),1))</f>
        <v/>
      </c>
    </row>
    <row r="3047">
      <c r="A3047" s="92" t="n"/>
      <c r="B3047" s="55" t="n"/>
      <c r="C3047" s="55" t="n"/>
      <c r="D3047" s="55" t="n"/>
      <c r="E3047" s="93" t="n"/>
      <c r="F3047" s="94" t="n"/>
      <c r="G3047" s="94" t="n"/>
      <c r="H3047" s="94" t="n"/>
      <c r="I3047" s="94" t="n"/>
      <c r="J3047" s="55" t="n"/>
      <c r="K3047" s="95" t="n"/>
      <c r="L3047" s="116">
        <f>IF($A3047="","",DATE(YEAR($A3047),MONTH($A3047)+IF(AND(IFERROR(N(INDEX(Übersicht!$M$15:$M$22,MATCH($B3047,Übersicht!$A$15:$A$22,0))),0)&gt;1,DAY($A3047)&gt;=IFERROR(N(INDEX(Übersicht!$M$15:$M$22,MATCH($B3047,Übersicht!$A$15:$A$22,0))),0)),1,0),1))</f>
        <v/>
      </c>
    </row>
    <row r="3048">
      <c r="A3048" s="92" t="n"/>
      <c r="B3048" s="55" t="n"/>
      <c r="C3048" s="55" t="n"/>
      <c r="D3048" s="55" t="n"/>
      <c r="E3048" s="93" t="n"/>
      <c r="F3048" s="94" t="n"/>
      <c r="G3048" s="94" t="n"/>
      <c r="H3048" s="94" t="n"/>
      <c r="I3048" s="94" t="n"/>
      <c r="J3048" s="55" t="n"/>
      <c r="K3048" s="95" t="n"/>
      <c r="L3048" s="116">
        <f>IF($A3048="","",DATE(YEAR($A3048),MONTH($A3048)+IF(AND(IFERROR(N(INDEX(Übersicht!$M$15:$M$22,MATCH($B3048,Übersicht!$A$15:$A$22,0))),0)&gt;1,DAY($A3048)&gt;=IFERROR(N(INDEX(Übersicht!$M$15:$M$22,MATCH($B3048,Übersicht!$A$15:$A$22,0))),0)),1,0),1))</f>
        <v/>
      </c>
    </row>
    <row r="3049">
      <c r="A3049" s="92" t="n"/>
      <c r="B3049" s="55" t="n"/>
      <c r="C3049" s="55" t="n"/>
      <c r="D3049" s="55" t="n"/>
      <c r="E3049" s="93" t="n"/>
      <c r="F3049" s="94" t="n"/>
      <c r="G3049" s="94" t="n"/>
      <c r="H3049" s="94" t="n"/>
      <c r="I3049" s="94" t="n"/>
      <c r="J3049" s="55" t="n"/>
      <c r="K3049" s="95" t="n"/>
      <c r="L3049" s="116">
        <f>IF($A3049="","",DATE(YEAR($A3049),MONTH($A3049)+IF(AND(IFERROR(N(INDEX(Übersicht!$M$15:$M$22,MATCH($B3049,Übersicht!$A$15:$A$22,0))),0)&gt;1,DAY($A3049)&gt;=IFERROR(N(INDEX(Übersicht!$M$15:$M$22,MATCH($B3049,Übersicht!$A$15:$A$22,0))),0)),1,0),1))</f>
        <v/>
      </c>
    </row>
    <row r="3050">
      <c r="A3050" s="92" t="n"/>
      <c r="B3050" s="55" t="n"/>
      <c r="C3050" s="55" t="n"/>
      <c r="D3050" s="55" t="n"/>
      <c r="E3050" s="93" t="n"/>
      <c r="F3050" s="94" t="n"/>
      <c r="G3050" s="94" t="n"/>
      <c r="H3050" s="94" t="n"/>
      <c r="I3050" s="94" t="n"/>
      <c r="J3050" s="55" t="n"/>
      <c r="K3050" s="95" t="n"/>
      <c r="L3050" s="116">
        <f>IF($A3050="","",DATE(YEAR($A3050),MONTH($A3050)+IF(AND(IFERROR(N(INDEX(Übersicht!$M$15:$M$22,MATCH($B3050,Übersicht!$A$15:$A$22,0))),0)&gt;1,DAY($A3050)&gt;=IFERROR(N(INDEX(Übersicht!$M$15:$M$22,MATCH($B3050,Übersicht!$A$15:$A$22,0))),0)),1,0),1))</f>
        <v/>
      </c>
    </row>
    <row r="3051">
      <c r="A3051" s="92" t="n"/>
      <c r="B3051" s="55" t="n"/>
      <c r="C3051" s="55" t="n"/>
      <c r="D3051" s="55" t="n"/>
      <c r="E3051" s="93" t="n"/>
      <c r="F3051" s="94" t="n"/>
      <c r="G3051" s="94" t="n"/>
      <c r="H3051" s="94" t="n"/>
      <c r="I3051" s="94" t="n"/>
      <c r="J3051" s="55" t="n"/>
      <c r="K3051" s="95" t="n"/>
      <c r="L3051" s="116">
        <f>IF($A3051="","",DATE(YEAR($A3051),MONTH($A3051)+IF(AND(IFERROR(N(INDEX(Übersicht!$M$15:$M$22,MATCH($B3051,Übersicht!$A$15:$A$22,0))),0)&gt;1,DAY($A3051)&gt;=IFERROR(N(INDEX(Übersicht!$M$15:$M$22,MATCH($B3051,Übersicht!$A$15:$A$22,0))),0)),1,0),1))</f>
        <v/>
      </c>
    </row>
    <row r="3052">
      <c r="A3052" s="92" t="n"/>
      <c r="B3052" s="55" t="n"/>
      <c r="C3052" s="55" t="n"/>
      <c r="D3052" s="55" t="n"/>
      <c r="E3052" s="93" t="n"/>
      <c r="F3052" s="94" t="n"/>
      <c r="G3052" s="94" t="n"/>
      <c r="H3052" s="94" t="n"/>
      <c r="I3052" s="94" t="n"/>
      <c r="J3052" s="55" t="n"/>
      <c r="K3052" s="95" t="n"/>
      <c r="L3052" s="116">
        <f>IF($A3052="","",DATE(YEAR($A3052),MONTH($A3052)+IF(AND(IFERROR(N(INDEX(Übersicht!$M$15:$M$22,MATCH($B3052,Übersicht!$A$15:$A$22,0))),0)&gt;1,DAY($A3052)&gt;=IFERROR(N(INDEX(Übersicht!$M$15:$M$22,MATCH($B3052,Übersicht!$A$15:$A$22,0))),0)),1,0),1))</f>
        <v/>
      </c>
    </row>
    <row r="3053">
      <c r="A3053" s="92" t="n"/>
      <c r="B3053" s="55" t="n"/>
      <c r="C3053" s="55" t="n"/>
      <c r="D3053" s="55" t="n"/>
      <c r="E3053" s="93" t="n"/>
      <c r="F3053" s="94" t="n"/>
      <c r="G3053" s="94" t="n"/>
      <c r="H3053" s="94" t="n"/>
      <c r="I3053" s="94" t="n"/>
      <c r="J3053" s="55" t="n"/>
      <c r="K3053" s="95" t="n"/>
      <c r="L3053" s="116">
        <f>IF($A3053="","",DATE(YEAR($A3053),MONTH($A3053)+IF(AND(IFERROR(N(INDEX(Übersicht!$M$15:$M$22,MATCH($B3053,Übersicht!$A$15:$A$22,0))),0)&gt;1,DAY($A3053)&gt;=IFERROR(N(INDEX(Übersicht!$M$15:$M$22,MATCH($B3053,Übersicht!$A$15:$A$22,0))),0)),1,0),1))</f>
        <v/>
      </c>
    </row>
    <row r="3054">
      <c r="A3054" s="92" t="n"/>
      <c r="B3054" s="55" t="n"/>
      <c r="C3054" s="55" t="n"/>
      <c r="D3054" s="55" t="n"/>
      <c r="E3054" s="93" t="n"/>
      <c r="F3054" s="94" t="n"/>
      <c r="G3054" s="94" t="n"/>
      <c r="H3054" s="94" t="n"/>
      <c r="I3054" s="94" t="n"/>
      <c r="J3054" s="55" t="n"/>
      <c r="K3054" s="95" t="n"/>
      <c r="L3054" s="116">
        <f>IF($A3054="","",DATE(YEAR($A3054),MONTH($A3054)+IF(AND(IFERROR(N(INDEX(Übersicht!$M$15:$M$22,MATCH($B3054,Übersicht!$A$15:$A$22,0))),0)&gt;1,DAY($A3054)&gt;=IFERROR(N(INDEX(Übersicht!$M$15:$M$22,MATCH($B3054,Übersicht!$A$15:$A$22,0))),0)),1,0),1))</f>
        <v/>
      </c>
    </row>
    <row r="3055">
      <c r="A3055" s="92" t="n"/>
      <c r="B3055" s="55" t="n"/>
      <c r="C3055" s="55" t="n"/>
      <c r="D3055" s="55" t="n"/>
      <c r="E3055" s="93" t="n"/>
      <c r="F3055" s="94" t="n"/>
      <c r="G3055" s="94" t="n"/>
      <c r="H3055" s="94" t="n"/>
      <c r="I3055" s="94" t="n"/>
      <c r="J3055" s="55" t="n"/>
      <c r="K3055" s="95" t="n"/>
      <c r="L3055" s="116">
        <f>IF($A3055="","",DATE(YEAR($A3055),MONTH($A3055)+IF(AND(IFERROR(N(INDEX(Übersicht!$M$15:$M$22,MATCH($B3055,Übersicht!$A$15:$A$22,0))),0)&gt;1,DAY($A3055)&gt;=IFERROR(N(INDEX(Übersicht!$M$15:$M$22,MATCH($B3055,Übersicht!$A$15:$A$22,0))),0)),1,0),1))</f>
        <v/>
      </c>
    </row>
    <row r="3056">
      <c r="A3056" s="92" t="n"/>
      <c r="B3056" s="55" t="n"/>
      <c r="C3056" s="55" t="n"/>
      <c r="D3056" s="55" t="n"/>
      <c r="E3056" s="93" t="n"/>
      <c r="F3056" s="94" t="n"/>
      <c r="G3056" s="94" t="n"/>
      <c r="H3056" s="94" t="n"/>
      <c r="I3056" s="94" t="n"/>
      <c r="J3056" s="55" t="n"/>
      <c r="K3056" s="95" t="n"/>
      <c r="L3056" s="116">
        <f>IF($A3056="","",DATE(YEAR($A3056),MONTH($A3056)+IF(AND(IFERROR(N(INDEX(Übersicht!$M$15:$M$22,MATCH($B3056,Übersicht!$A$15:$A$22,0))),0)&gt;1,DAY($A3056)&gt;=IFERROR(N(INDEX(Übersicht!$M$15:$M$22,MATCH($B3056,Übersicht!$A$15:$A$22,0))),0)),1,0),1))</f>
        <v/>
      </c>
    </row>
    <row r="3057">
      <c r="A3057" s="92" t="n"/>
      <c r="B3057" s="55" t="n"/>
      <c r="C3057" s="55" t="n"/>
      <c r="D3057" s="55" t="n"/>
      <c r="E3057" s="93" t="n"/>
      <c r="F3057" s="94" t="n"/>
      <c r="G3057" s="94" t="n"/>
      <c r="H3057" s="94" t="n"/>
      <c r="I3057" s="94" t="n"/>
      <c r="J3057" s="55" t="n"/>
      <c r="K3057" s="95" t="n"/>
      <c r="L3057" s="116">
        <f>IF($A3057="","",DATE(YEAR($A3057),MONTH($A3057)+IF(AND(IFERROR(N(INDEX(Übersicht!$M$15:$M$22,MATCH($B3057,Übersicht!$A$15:$A$22,0))),0)&gt;1,DAY($A3057)&gt;=IFERROR(N(INDEX(Übersicht!$M$15:$M$22,MATCH($B3057,Übersicht!$A$15:$A$22,0))),0)),1,0),1))</f>
        <v/>
      </c>
    </row>
    <row r="3058">
      <c r="A3058" s="92" t="n"/>
      <c r="B3058" s="55" t="n"/>
      <c r="C3058" s="55" t="n"/>
      <c r="D3058" s="55" t="n"/>
      <c r="E3058" s="93" t="n"/>
      <c r="F3058" s="94" t="n"/>
      <c r="G3058" s="94" t="n"/>
      <c r="H3058" s="94" t="n"/>
      <c r="I3058" s="94" t="n"/>
      <c r="J3058" s="55" t="n"/>
      <c r="K3058" s="95" t="n"/>
      <c r="L3058" s="116">
        <f>IF($A3058="","",DATE(YEAR($A3058),MONTH($A3058)+IF(AND(IFERROR(N(INDEX(Übersicht!$M$15:$M$22,MATCH($B3058,Übersicht!$A$15:$A$22,0))),0)&gt;1,DAY($A3058)&gt;=IFERROR(N(INDEX(Übersicht!$M$15:$M$22,MATCH($B3058,Übersicht!$A$15:$A$22,0))),0)),1,0),1))</f>
        <v/>
      </c>
    </row>
    <row r="3059">
      <c r="A3059" s="92" t="n"/>
      <c r="B3059" s="55" t="n"/>
      <c r="C3059" s="55" t="n"/>
      <c r="D3059" s="55" t="n"/>
      <c r="E3059" s="93" t="n"/>
      <c r="F3059" s="94" t="n"/>
      <c r="G3059" s="94" t="n"/>
      <c r="H3059" s="94" t="n"/>
      <c r="I3059" s="94" t="n"/>
      <c r="J3059" s="55" t="n"/>
      <c r="K3059" s="95" t="n"/>
      <c r="L3059" s="116">
        <f>IF($A3059="","",DATE(YEAR($A3059),MONTH($A3059)+IF(AND(IFERROR(N(INDEX(Übersicht!$M$15:$M$22,MATCH($B3059,Übersicht!$A$15:$A$22,0))),0)&gt;1,DAY($A3059)&gt;=IFERROR(N(INDEX(Übersicht!$M$15:$M$22,MATCH($B3059,Übersicht!$A$15:$A$22,0))),0)),1,0),1))</f>
        <v/>
      </c>
    </row>
    <row r="3060">
      <c r="A3060" s="92" t="n"/>
      <c r="B3060" s="55" t="n"/>
      <c r="C3060" s="55" t="n"/>
      <c r="D3060" s="55" t="n"/>
      <c r="E3060" s="93" t="n"/>
      <c r="F3060" s="94" t="n"/>
      <c r="G3060" s="94" t="n"/>
      <c r="H3060" s="94" t="n"/>
      <c r="I3060" s="94" t="n"/>
      <c r="J3060" s="55" t="n"/>
      <c r="K3060" s="95" t="n"/>
      <c r="L3060" s="116">
        <f>IF($A3060="","",DATE(YEAR($A3060),MONTH($A3060)+IF(AND(IFERROR(N(INDEX(Übersicht!$M$15:$M$22,MATCH($B3060,Übersicht!$A$15:$A$22,0))),0)&gt;1,DAY($A3060)&gt;=IFERROR(N(INDEX(Übersicht!$M$15:$M$22,MATCH($B3060,Übersicht!$A$15:$A$22,0))),0)),1,0),1))</f>
        <v/>
      </c>
    </row>
    <row r="3061">
      <c r="A3061" s="92" t="n"/>
      <c r="B3061" s="55" t="n"/>
      <c r="C3061" s="55" t="n"/>
      <c r="D3061" s="55" t="n"/>
      <c r="E3061" s="93" t="n"/>
      <c r="F3061" s="94" t="n"/>
      <c r="G3061" s="94" t="n"/>
      <c r="H3061" s="94" t="n"/>
      <c r="I3061" s="94" t="n"/>
      <c r="J3061" s="55" t="n"/>
      <c r="K3061" s="95" t="n"/>
      <c r="L3061" s="116">
        <f>IF($A3061="","",DATE(YEAR($A3061),MONTH($A3061)+IF(AND(IFERROR(N(INDEX(Übersicht!$M$15:$M$22,MATCH($B3061,Übersicht!$A$15:$A$22,0))),0)&gt;1,DAY($A3061)&gt;=IFERROR(N(INDEX(Übersicht!$M$15:$M$22,MATCH($B3061,Übersicht!$A$15:$A$22,0))),0)),1,0),1))</f>
        <v/>
      </c>
    </row>
    <row r="3062">
      <c r="A3062" s="92" t="n"/>
      <c r="B3062" s="55" t="n"/>
      <c r="C3062" s="55" t="n"/>
      <c r="D3062" s="55" t="n"/>
      <c r="E3062" s="93" t="n"/>
      <c r="F3062" s="94" t="n"/>
      <c r="G3062" s="94" t="n"/>
      <c r="H3062" s="94" t="n"/>
      <c r="I3062" s="94" t="n"/>
      <c r="J3062" s="55" t="n"/>
      <c r="K3062" s="95" t="n"/>
      <c r="L3062" s="116">
        <f>IF($A3062="","",DATE(YEAR($A3062),MONTH($A3062)+IF(AND(IFERROR(N(INDEX(Übersicht!$M$15:$M$22,MATCH($B3062,Übersicht!$A$15:$A$22,0))),0)&gt;1,DAY($A3062)&gt;=IFERROR(N(INDEX(Übersicht!$M$15:$M$22,MATCH($B3062,Übersicht!$A$15:$A$22,0))),0)),1,0),1))</f>
        <v/>
      </c>
    </row>
    <row r="3063">
      <c r="A3063" s="92" t="n"/>
      <c r="B3063" s="55" t="n"/>
      <c r="C3063" s="55" t="n"/>
      <c r="D3063" s="55" t="n"/>
      <c r="E3063" s="93" t="n"/>
      <c r="F3063" s="94" t="n"/>
      <c r="G3063" s="94" t="n"/>
      <c r="H3063" s="94" t="n"/>
      <c r="I3063" s="94" t="n"/>
      <c r="J3063" s="55" t="n"/>
      <c r="K3063" s="95" t="n"/>
      <c r="L3063" s="116">
        <f>IF($A3063="","",DATE(YEAR($A3063),MONTH($A3063)+IF(AND(IFERROR(N(INDEX(Übersicht!$M$15:$M$22,MATCH($B3063,Übersicht!$A$15:$A$22,0))),0)&gt;1,DAY($A3063)&gt;=IFERROR(N(INDEX(Übersicht!$M$15:$M$22,MATCH($B3063,Übersicht!$A$15:$A$22,0))),0)),1,0),1))</f>
        <v/>
      </c>
    </row>
    <row r="3064">
      <c r="A3064" s="92" t="n"/>
      <c r="B3064" s="55" t="n"/>
      <c r="C3064" s="55" t="n"/>
      <c r="D3064" s="55" t="n"/>
      <c r="E3064" s="93" t="n"/>
      <c r="F3064" s="94" t="n"/>
      <c r="G3064" s="94" t="n"/>
      <c r="H3064" s="94" t="n"/>
      <c r="I3064" s="94" t="n"/>
      <c r="J3064" s="55" t="n"/>
      <c r="K3064" s="95" t="n"/>
      <c r="L3064" s="116">
        <f>IF($A3064="","",DATE(YEAR($A3064),MONTH($A3064)+IF(AND(IFERROR(N(INDEX(Übersicht!$M$15:$M$22,MATCH($B3064,Übersicht!$A$15:$A$22,0))),0)&gt;1,DAY($A3064)&gt;=IFERROR(N(INDEX(Übersicht!$M$15:$M$22,MATCH($B3064,Übersicht!$A$15:$A$22,0))),0)),1,0),1))</f>
        <v/>
      </c>
    </row>
    <row r="3065">
      <c r="A3065" s="92" t="n"/>
      <c r="B3065" s="55" t="n"/>
      <c r="C3065" s="55" t="n"/>
      <c r="D3065" s="55" t="n"/>
      <c r="E3065" s="93" t="n"/>
      <c r="F3065" s="94" t="n"/>
      <c r="G3065" s="94" t="n"/>
      <c r="H3065" s="94" t="n"/>
      <c r="I3065" s="94" t="n"/>
      <c r="J3065" s="55" t="n"/>
      <c r="K3065" s="95" t="n"/>
      <c r="L3065" s="116">
        <f>IF($A3065="","",DATE(YEAR($A3065),MONTH($A3065)+IF(AND(IFERROR(N(INDEX(Übersicht!$M$15:$M$22,MATCH($B3065,Übersicht!$A$15:$A$22,0))),0)&gt;1,DAY($A3065)&gt;=IFERROR(N(INDEX(Übersicht!$M$15:$M$22,MATCH($B3065,Übersicht!$A$15:$A$22,0))),0)),1,0),1))</f>
        <v/>
      </c>
    </row>
    <row r="3066">
      <c r="A3066" s="92" t="n"/>
      <c r="B3066" s="55" t="n"/>
      <c r="C3066" s="55" t="n"/>
      <c r="D3066" s="55" t="n"/>
      <c r="E3066" s="93" t="n"/>
      <c r="F3066" s="94" t="n"/>
      <c r="G3066" s="94" t="n"/>
      <c r="H3066" s="94" t="n"/>
      <c r="I3066" s="94" t="n"/>
      <c r="J3066" s="55" t="n"/>
      <c r="K3066" s="95" t="n"/>
      <c r="L3066" s="116">
        <f>IF($A3066="","",DATE(YEAR($A3066),MONTH($A3066)+IF(AND(IFERROR(N(INDEX(Übersicht!$M$15:$M$22,MATCH($B3066,Übersicht!$A$15:$A$22,0))),0)&gt;1,DAY($A3066)&gt;=IFERROR(N(INDEX(Übersicht!$M$15:$M$22,MATCH($B3066,Übersicht!$A$15:$A$22,0))),0)),1,0),1))</f>
        <v/>
      </c>
    </row>
    <row r="3067">
      <c r="A3067" s="92" t="n"/>
      <c r="B3067" s="55" t="n"/>
      <c r="C3067" s="55" t="n"/>
      <c r="D3067" s="55" t="n"/>
      <c r="E3067" s="93" t="n"/>
      <c r="F3067" s="94" t="n"/>
      <c r="G3067" s="94" t="n"/>
      <c r="H3067" s="94" t="n"/>
      <c r="I3067" s="94" t="n"/>
      <c r="J3067" s="55" t="n"/>
      <c r="K3067" s="95" t="n"/>
      <c r="L3067" s="116">
        <f>IF($A3067="","",DATE(YEAR($A3067),MONTH($A3067)+IF(AND(IFERROR(N(INDEX(Übersicht!$M$15:$M$22,MATCH($B3067,Übersicht!$A$15:$A$22,0))),0)&gt;1,DAY($A3067)&gt;=IFERROR(N(INDEX(Übersicht!$M$15:$M$22,MATCH($B3067,Übersicht!$A$15:$A$22,0))),0)),1,0),1))</f>
        <v/>
      </c>
    </row>
    <row r="3068">
      <c r="A3068" s="92" t="n"/>
      <c r="B3068" s="55" t="n"/>
      <c r="C3068" s="55" t="n"/>
      <c r="D3068" s="55" t="n"/>
      <c r="E3068" s="93" t="n"/>
      <c r="F3068" s="94" t="n"/>
      <c r="G3068" s="94" t="n"/>
      <c r="H3068" s="94" t="n"/>
      <c r="I3068" s="94" t="n"/>
      <c r="J3068" s="55" t="n"/>
      <c r="K3068" s="95" t="n"/>
      <c r="L3068" s="116">
        <f>IF($A3068="","",DATE(YEAR($A3068),MONTH($A3068)+IF(AND(IFERROR(N(INDEX(Übersicht!$M$15:$M$22,MATCH($B3068,Übersicht!$A$15:$A$22,0))),0)&gt;1,DAY($A3068)&gt;=IFERROR(N(INDEX(Übersicht!$M$15:$M$22,MATCH($B3068,Übersicht!$A$15:$A$22,0))),0)),1,0),1))</f>
        <v/>
      </c>
    </row>
    <row r="3069">
      <c r="A3069" s="92" t="n"/>
      <c r="B3069" s="55" t="n"/>
      <c r="C3069" s="55" t="n"/>
      <c r="D3069" s="55" t="n"/>
      <c r="E3069" s="93" t="n"/>
      <c r="F3069" s="94" t="n"/>
      <c r="G3069" s="94" t="n"/>
      <c r="H3069" s="94" t="n"/>
      <c r="I3069" s="94" t="n"/>
      <c r="J3069" s="55" t="n"/>
      <c r="K3069" s="95" t="n"/>
      <c r="L3069" s="116">
        <f>IF($A3069="","",DATE(YEAR($A3069),MONTH($A3069)+IF(AND(IFERROR(N(INDEX(Übersicht!$M$15:$M$22,MATCH($B3069,Übersicht!$A$15:$A$22,0))),0)&gt;1,DAY($A3069)&gt;=IFERROR(N(INDEX(Übersicht!$M$15:$M$22,MATCH($B3069,Übersicht!$A$15:$A$22,0))),0)),1,0),1))</f>
        <v/>
      </c>
    </row>
    <row r="3070">
      <c r="A3070" s="92" t="n"/>
      <c r="B3070" s="55" t="n"/>
      <c r="C3070" s="55" t="n"/>
      <c r="D3070" s="55" t="n"/>
      <c r="E3070" s="93" t="n"/>
      <c r="F3070" s="94" t="n"/>
      <c r="G3070" s="94" t="n"/>
      <c r="H3070" s="94" t="n"/>
      <c r="I3070" s="94" t="n"/>
      <c r="J3070" s="55" t="n"/>
      <c r="K3070" s="95" t="n"/>
      <c r="L3070" s="116">
        <f>IF($A3070="","",DATE(YEAR($A3070),MONTH($A3070)+IF(AND(IFERROR(N(INDEX(Übersicht!$M$15:$M$22,MATCH($B3070,Übersicht!$A$15:$A$22,0))),0)&gt;1,DAY($A3070)&gt;=IFERROR(N(INDEX(Übersicht!$M$15:$M$22,MATCH($B3070,Übersicht!$A$15:$A$22,0))),0)),1,0),1))</f>
        <v/>
      </c>
    </row>
    <row r="3071">
      <c r="A3071" s="92" t="n"/>
      <c r="B3071" s="55" t="n"/>
      <c r="C3071" s="55" t="n"/>
      <c r="D3071" s="55" t="n"/>
      <c r="E3071" s="93" t="n"/>
      <c r="F3071" s="94" t="n"/>
      <c r="G3071" s="94" t="n"/>
      <c r="H3071" s="94" t="n"/>
      <c r="I3071" s="94" t="n"/>
      <c r="J3071" s="55" t="n"/>
      <c r="K3071" s="95" t="n"/>
      <c r="L3071" s="116">
        <f>IF($A3071="","",DATE(YEAR($A3071),MONTH($A3071)+IF(AND(IFERROR(N(INDEX(Übersicht!$M$15:$M$22,MATCH($B3071,Übersicht!$A$15:$A$22,0))),0)&gt;1,DAY($A3071)&gt;=IFERROR(N(INDEX(Übersicht!$M$15:$M$22,MATCH($B3071,Übersicht!$A$15:$A$22,0))),0)),1,0),1))</f>
        <v/>
      </c>
    </row>
    <row r="3072">
      <c r="A3072" s="92" t="n"/>
      <c r="B3072" s="55" t="n"/>
      <c r="C3072" s="55" t="n"/>
      <c r="D3072" s="55" t="n"/>
      <c r="E3072" s="93" t="n"/>
      <c r="F3072" s="94" t="n"/>
      <c r="G3072" s="94" t="n"/>
      <c r="H3072" s="94" t="n"/>
      <c r="I3072" s="94" t="n"/>
      <c r="J3072" s="55" t="n"/>
      <c r="K3072" s="95" t="n"/>
      <c r="L3072" s="116">
        <f>IF($A3072="","",DATE(YEAR($A3072),MONTH($A3072)+IF(AND(IFERROR(N(INDEX(Übersicht!$M$15:$M$22,MATCH($B3072,Übersicht!$A$15:$A$22,0))),0)&gt;1,DAY($A3072)&gt;=IFERROR(N(INDEX(Übersicht!$M$15:$M$22,MATCH($B3072,Übersicht!$A$15:$A$22,0))),0)),1,0),1))</f>
        <v/>
      </c>
    </row>
    <row r="3073">
      <c r="A3073" s="92" t="n"/>
      <c r="B3073" s="55" t="n"/>
      <c r="C3073" s="55" t="n"/>
      <c r="D3073" s="55" t="n"/>
      <c r="E3073" s="93" t="n"/>
      <c r="F3073" s="94" t="n"/>
      <c r="G3073" s="94" t="n"/>
      <c r="H3073" s="94" t="n"/>
      <c r="I3073" s="94" t="n"/>
      <c r="J3073" s="55" t="n"/>
      <c r="K3073" s="95" t="n"/>
      <c r="L3073" s="116">
        <f>IF($A3073="","",DATE(YEAR($A3073),MONTH($A3073)+IF(AND(IFERROR(N(INDEX(Übersicht!$M$15:$M$22,MATCH($B3073,Übersicht!$A$15:$A$22,0))),0)&gt;1,DAY($A3073)&gt;=IFERROR(N(INDEX(Übersicht!$M$15:$M$22,MATCH($B3073,Übersicht!$A$15:$A$22,0))),0)),1,0),1))</f>
        <v/>
      </c>
    </row>
    <row r="3074">
      <c r="A3074" s="92" t="n"/>
      <c r="B3074" s="55" t="n"/>
      <c r="C3074" s="55" t="n"/>
      <c r="D3074" s="55" t="n"/>
      <c r="E3074" s="93" t="n"/>
      <c r="F3074" s="94" t="n"/>
      <c r="G3074" s="94" t="n"/>
      <c r="H3074" s="94" t="n"/>
      <c r="I3074" s="94" t="n"/>
      <c r="J3074" s="55" t="n"/>
      <c r="K3074" s="95" t="n"/>
      <c r="L3074" s="116">
        <f>IF($A3074="","",DATE(YEAR($A3074),MONTH($A3074)+IF(AND(IFERROR(N(INDEX(Übersicht!$M$15:$M$22,MATCH($B3074,Übersicht!$A$15:$A$22,0))),0)&gt;1,DAY($A3074)&gt;=IFERROR(N(INDEX(Übersicht!$M$15:$M$22,MATCH($B3074,Übersicht!$A$15:$A$22,0))),0)),1,0),1))</f>
        <v/>
      </c>
    </row>
    <row r="3075">
      <c r="A3075" s="92" t="n"/>
      <c r="B3075" s="55" t="n"/>
      <c r="C3075" s="55" t="n"/>
      <c r="D3075" s="55" t="n"/>
      <c r="E3075" s="93" t="n"/>
      <c r="F3075" s="94" t="n"/>
      <c r="G3075" s="94" t="n"/>
      <c r="H3075" s="94" t="n"/>
      <c r="I3075" s="94" t="n"/>
      <c r="J3075" s="55" t="n"/>
      <c r="K3075" s="95" t="n"/>
      <c r="L3075" s="116">
        <f>IF($A3075="","",DATE(YEAR($A3075),MONTH($A3075)+IF(AND(IFERROR(N(INDEX(Übersicht!$M$15:$M$22,MATCH($B3075,Übersicht!$A$15:$A$22,0))),0)&gt;1,DAY($A3075)&gt;=IFERROR(N(INDEX(Übersicht!$M$15:$M$22,MATCH($B3075,Übersicht!$A$15:$A$22,0))),0)),1,0),1))</f>
        <v/>
      </c>
    </row>
    <row r="3076">
      <c r="A3076" s="92" t="n"/>
      <c r="B3076" s="55" t="n"/>
      <c r="C3076" s="55" t="n"/>
      <c r="D3076" s="55" t="n"/>
      <c r="E3076" s="93" t="n"/>
      <c r="F3076" s="94" t="n"/>
      <c r="G3076" s="94" t="n"/>
      <c r="H3076" s="94" t="n"/>
      <c r="I3076" s="94" t="n"/>
      <c r="J3076" s="55" t="n"/>
      <c r="K3076" s="95" t="n"/>
      <c r="L3076" s="116">
        <f>IF($A3076="","",DATE(YEAR($A3076),MONTH($A3076)+IF(AND(IFERROR(N(INDEX(Übersicht!$M$15:$M$22,MATCH($B3076,Übersicht!$A$15:$A$22,0))),0)&gt;1,DAY($A3076)&gt;=IFERROR(N(INDEX(Übersicht!$M$15:$M$22,MATCH($B3076,Übersicht!$A$15:$A$22,0))),0)),1,0),1))</f>
        <v/>
      </c>
    </row>
    <row r="3077">
      <c r="A3077" s="92" t="n"/>
      <c r="B3077" s="55" t="n"/>
      <c r="C3077" s="55" t="n"/>
      <c r="D3077" s="55" t="n"/>
      <c r="E3077" s="93" t="n"/>
      <c r="F3077" s="94" t="n"/>
      <c r="G3077" s="94" t="n"/>
      <c r="H3077" s="94" t="n"/>
      <c r="I3077" s="94" t="n"/>
      <c r="J3077" s="55" t="n"/>
      <c r="K3077" s="95" t="n"/>
      <c r="L3077" s="116">
        <f>IF($A3077="","",DATE(YEAR($A3077),MONTH($A3077)+IF(AND(IFERROR(N(INDEX(Übersicht!$M$15:$M$22,MATCH($B3077,Übersicht!$A$15:$A$22,0))),0)&gt;1,DAY($A3077)&gt;=IFERROR(N(INDEX(Übersicht!$M$15:$M$22,MATCH($B3077,Übersicht!$A$15:$A$22,0))),0)),1,0),1))</f>
        <v/>
      </c>
    </row>
    <row r="3078">
      <c r="A3078" s="92" t="n"/>
      <c r="B3078" s="55" t="n"/>
      <c r="C3078" s="55" t="n"/>
      <c r="D3078" s="55" t="n"/>
      <c r="E3078" s="93" t="n"/>
      <c r="F3078" s="94" t="n"/>
      <c r="G3078" s="94" t="n"/>
      <c r="H3078" s="94" t="n"/>
      <c r="I3078" s="94" t="n"/>
      <c r="J3078" s="55" t="n"/>
      <c r="K3078" s="95" t="n"/>
      <c r="L3078" s="116">
        <f>IF($A3078="","",DATE(YEAR($A3078),MONTH($A3078)+IF(AND(IFERROR(N(INDEX(Übersicht!$M$15:$M$22,MATCH($B3078,Übersicht!$A$15:$A$22,0))),0)&gt;1,DAY($A3078)&gt;=IFERROR(N(INDEX(Übersicht!$M$15:$M$22,MATCH($B3078,Übersicht!$A$15:$A$22,0))),0)),1,0),1))</f>
        <v/>
      </c>
    </row>
    <row r="3079">
      <c r="A3079" s="92" t="n"/>
      <c r="B3079" s="55" t="n"/>
      <c r="C3079" s="55" t="n"/>
      <c r="D3079" s="55" t="n"/>
      <c r="E3079" s="93" t="n"/>
      <c r="F3079" s="94" t="n"/>
      <c r="G3079" s="94" t="n"/>
      <c r="H3079" s="94" t="n"/>
      <c r="I3079" s="94" t="n"/>
      <c r="J3079" s="55" t="n"/>
      <c r="K3079" s="95" t="n"/>
      <c r="L3079" s="116">
        <f>IF($A3079="","",DATE(YEAR($A3079),MONTH($A3079)+IF(AND(IFERROR(N(INDEX(Übersicht!$M$15:$M$22,MATCH($B3079,Übersicht!$A$15:$A$22,0))),0)&gt;1,DAY($A3079)&gt;=IFERROR(N(INDEX(Übersicht!$M$15:$M$22,MATCH($B3079,Übersicht!$A$15:$A$22,0))),0)),1,0),1))</f>
        <v/>
      </c>
    </row>
    <row r="3080">
      <c r="A3080" s="92" t="n"/>
      <c r="B3080" s="55" t="n"/>
      <c r="C3080" s="55" t="n"/>
      <c r="D3080" s="55" t="n"/>
      <c r="E3080" s="93" t="n"/>
      <c r="F3080" s="94" t="n"/>
      <c r="G3080" s="94" t="n"/>
      <c r="H3080" s="94" t="n"/>
      <c r="I3080" s="94" t="n"/>
      <c r="J3080" s="55" t="n"/>
      <c r="K3080" s="95" t="n"/>
      <c r="L3080" s="116">
        <f>IF($A3080="","",DATE(YEAR($A3080),MONTH($A3080)+IF(AND(IFERROR(N(INDEX(Übersicht!$M$15:$M$22,MATCH($B3080,Übersicht!$A$15:$A$22,0))),0)&gt;1,DAY($A3080)&gt;=IFERROR(N(INDEX(Übersicht!$M$15:$M$22,MATCH($B3080,Übersicht!$A$15:$A$22,0))),0)),1,0),1))</f>
        <v/>
      </c>
    </row>
    <row r="3081">
      <c r="A3081" s="92" t="n"/>
      <c r="B3081" s="55" t="n"/>
      <c r="C3081" s="55" t="n"/>
      <c r="D3081" s="55" t="n"/>
      <c r="E3081" s="93" t="n"/>
      <c r="F3081" s="94" t="n"/>
      <c r="G3081" s="94" t="n"/>
      <c r="H3081" s="94" t="n"/>
      <c r="I3081" s="94" t="n"/>
      <c r="J3081" s="55" t="n"/>
      <c r="K3081" s="95" t="n"/>
      <c r="L3081" s="116">
        <f>IF($A3081="","",DATE(YEAR($A3081),MONTH($A3081)+IF(AND(IFERROR(N(INDEX(Übersicht!$M$15:$M$22,MATCH($B3081,Übersicht!$A$15:$A$22,0))),0)&gt;1,DAY($A3081)&gt;=IFERROR(N(INDEX(Übersicht!$M$15:$M$22,MATCH($B3081,Übersicht!$A$15:$A$22,0))),0)),1,0),1))</f>
        <v/>
      </c>
    </row>
    <row r="3082">
      <c r="A3082" s="92" t="n"/>
      <c r="B3082" s="55" t="n"/>
      <c r="C3082" s="55" t="n"/>
      <c r="D3082" s="55" t="n"/>
      <c r="E3082" s="93" t="n"/>
      <c r="F3082" s="94" t="n"/>
      <c r="G3082" s="94" t="n"/>
      <c r="H3082" s="94" t="n"/>
      <c r="I3082" s="94" t="n"/>
      <c r="J3082" s="55" t="n"/>
      <c r="K3082" s="95" t="n"/>
      <c r="L3082" s="116">
        <f>IF($A3082="","",DATE(YEAR($A3082),MONTH($A3082)+IF(AND(IFERROR(N(INDEX(Übersicht!$M$15:$M$22,MATCH($B3082,Übersicht!$A$15:$A$22,0))),0)&gt;1,DAY($A3082)&gt;=IFERROR(N(INDEX(Übersicht!$M$15:$M$22,MATCH($B3082,Übersicht!$A$15:$A$22,0))),0)),1,0),1))</f>
        <v/>
      </c>
    </row>
    <row r="3083">
      <c r="A3083" s="92" t="n"/>
      <c r="B3083" s="55" t="n"/>
      <c r="C3083" s="55" t="n"/>
      <c r="D3083" s="55" t="n"/>
      <c r="E3083" s="93" t="n"/>
      <c r="F3083" s="94" t="n"/>
      <c r="G3083" s="94" t="n"/>
      <c r="H3083" s="94" t="n"/>
      <c r="I3083" s="94" t="n"/>
      <c r="J3083" s="55" t="n"/>
      <c r="K3083" s="95" t="n"/>
      <c r="L3083" s="116">
        <f>IF($A3083="","",DATE(YEAR($A3083),MONTH($A3083)+IF(AND(IFERROR(N(INDEX(Übersicht!$M$15:$M$22,MATCH($B3083,Übersicht!$A$15:$A$22,0))),0)&gt;1,DAY($A3083)&gt;=IFERROR(N(INDEX(Übersicht!$M$15:$M$22,MATCH($B3083,Übersicht!$A$15:$A$22,0))),0)),1,0),1))</f>
        <v/>
      </c>
    </row>
    <row r="3084">
      <c r="A3084" s="92" t="n"/>
      <c r="B3084" s="55" t="n"/>
      <c r="C3084" s="55" t="n"/>
      <c r="D3084" s="55" t="n"/>
      <c r="E3084" s="93" t="n"/>
      <c r="F3084" s="94" t="n"/>
      <c r="G3084" s="94" t="n"/>
      <c r="H3084" s="94" t="n"/>
      <c r="I3084" s="94" t="n"/>
      <c r="J3084" s="55" t="n"/>
      <c r="K3084" s="95" t="n"/>
      <c r="L3084" s="116">
        <f>IF($A3084="","",DATE(YEAR($A3084),MONTH($A3084)+IF(AND(IFERROR(N(INDEX(Übersicht!$M$15:$M$22,MATCH($B3084,Übersicht!$A$15:$A$22,0))),0)&gt;1,DAY($A3084)&gt;=IFERROR(N(INDEX(Übersicht!$M$15:$M$22,MATCH($B3084,Übersicht!$A$15:$A$22,0))),0)),1,0),1))</f>
        <v/>
      </c>
    </row>
    <row r="3085">
      <c r="A3085" s="92" t="n"/>
      <c r="B3085" s="55" t="n"/>
      <c r="C3085" s="55" t="n"/>
      <c r="D3085" s="55" t="n"/>
      <c r="E3085" s="93" t="n"/>
      <c r="F3085" s="94" t="n"/>
      <c r="G3085" s="94" t="n"/>
      <c r="H3085" s="94" t="n"/>
      <c r="I3085" s="94" t="n"/>
      <c r="J3085" s="55" t="n"/>
      <c r="K3085" s="95" t="n"/>
      <c r="L3085" s="116">
        <f>IF($A3085="","",DATE(YEAR($A3085),MONTH($A3085)+IF(AND(IFERROR(N(INDEX(Übersicht!$M$15:$M$22,MATCH($B3085,Übersicht!$A$15:$A$22,0))),0)&gt;1,DAY($A3085)&gt;=IFERROR(N(INDEX(Übersicht!$M$15:$M$22,MATCH($B3085,Übersicht!$A$15:$A$22,0))),0)),1,0),1))</f>
        <v/>
      </c>
    </row>
    <row r="3086">
      <c r="A3086" s="92" t="n"/>
      <c r="B3086" s="55" t="n"/>
      <c r="C3086" s="55" t="n"/>
      <c r="D3086" s="55" t="n"/>
      <c r="E3086" s="93" t="n"/>
      <c r="F3086" s="94" t="n"/>
      <c r="G3086" s="94" t="n"/>
      <c r="H3086" s="94" t="n"/>
      <c r="I3086" s="94" t="n"/>
      <c r="J3086" s="55" t="n"/>
      <c r="K3086" s="95" t="n"/>
      <c r="L3086" s="116">
        <f>IF($A3086="","",DATE(YEAR($A3086),MONTH($A3086)+IF(AND(IFERROR(N(INDEX(Übersicht!$M$15:$M$22,MATCH($B3086,Übersicht!$A$15:$A$22,0))),0)&gt;1,DAY($A3086)&gt;=IFERROR(N(INDEX(Übersicht!$M$15:$M$22,MATCH($B3086,Übersicht!$A$15:$A$22,0))),0)),1,0),1))</f>
        <v/>
      </c>
    </row>
    <row r="3087">
      <c r="A3087" s="92" t="n"/>
      <c r="B3087" s="55" t="n"/>
      <c r="C3087" s="55" t="n"/>
      <c r="D3087" s="55" t="n"/>
      <c r="E3087" s="93" t="n"/>
      <c r="F3087" s="94" t="n"/>
      <c r="G3087" s="94" t="n"/>
      <c r="H3087" s="94" t="n"/>
      <c r="I3087" s="94" t="n"/>
      <c r="J3087" s="55" t="n"/>
      <c r="K3087" s="95" t="n"/>
      <c r="L3087" s="116">
        <f>IF($A3087="","",DATE(YEAR($A3087),MONTH($A3087)+IF(AND(IFERROR(N(INDEX(Übersicht!$M$15:$M$22,MATCH($B3087,Übersicht!$A$15:$A$22,0))),0)&gt;1,DAY($A3087)&gt;=IFERROR(N(INDEX(Übersicht!$M$15:$M$22,MATCH($B3087,Übersicht!$A$15:$A$22,0))),0)),1,0),1))</f>
        <v/>
      </c>
    </row>
    <row r="3088">
      <c r="A3088" s="92" t="n"/>
      <c r="B3088" s="55" t="n"/>
      <c r="C3088" s="55" t="n"/>
      <c r="D3088" s="55" t="n"/>
      <c r="E3088" s="93" t="n"/>
      <c r="F3088" s="94" t="n"/>
      <c r="G3088" s="94" t="n"/>
      <c r="H3088" s="94" t="n"/>
      <c r="I3088" s="94" t="n"/>
      <c r="J3088" s="55" t="n"/>
      <c r="K3088" s="95" t="n"/>
      <c r="L3088" s="116">
        <f>IF($A3088="","",DATE(YEAR($A3088),MONTH($A3088)+IF(AND(IFERROR(N(INDEX(Übersicht!$M$15:$M$22,MATCH($B3088,Übersicht!$A$15:$A$22,0))),0)&gt;1,DAY($A3088)&gt;=IFERROR(N(INDEX(Übersicht!$M$15:$M$22,MATCH($B3088,Übersicht!$A$15:$A$22,0))),0)),1,0),1))</f>
        <v/>
      </c>
    </row>
    <row r="3089">
      <c r="A3089" s="92" t="n"/>
      <c r="B3089" s="55" t="n"/>
      <c r="C3089" s="55" t="n"/>
      <c r="D3089" s="55" t="n"/>
      <c r="E3089" s="93" t="n"/>
      <c r="F3089" s="94" t="n"/>
      <c r="G3089" s="94" t="n"/>
      <c r="H3089" s="94" t="n"/>
      <c r="I3089" s="94" t="n"/>
      <c r="J3089" s="55" t="n"/>
      <c r="K3089" s="95" t="n"/>
      <c r="L3089" s="116">
        <f>IF($A3089="","",DATE(YEAR($A3089),MONTH($A3089)+IF(AND(IFERROR(N(INDEX(Übersicht!$M$15:$M$22,MATCH($B3089,Übersicht!$A$15:$A$22,0))),0)&gt;1,DAY($A3089)&gt;=IFERROR(N(INDEX(Übersicht!$M$15:$M$22,MATCH($B3089,Übersicht!$A$15:$A$22,0))),0)),1,0),1))</f>
        <v/>
      </c>
    </row>
    <row r="3090">
      <c r="A3090" s="92" t="n"/>
      <c r="B3090" s="55" t="n"/>
      <c r="C3090" s="55" t="n"/>
      <c r="D3090" s="55" t="n"/>
      <c r="E3090" s="93" t="n"/>
      <c r="F3090" s="94" t="n"/>
      <c r="G3090" s="94" t="n"/>
      <c r="H3090" s="94" t="n"/>
      <c r="I3090" s="94" t="n"/>
      <c r="J3090" s="55" t="n"/>
      <c r="K3090" s="95" t="n"/>
      <c r="L3090" s="116">
        <f>IF($A3090="","",DATE(YEAR($A3090),MONTH($A3090)+IF(AND(IFERROR(N(INDEX(Übersicht!$M$15:$M$22,MATCH($B3090,Übersicht!$A$15:$A$22,0))),0)&gt;1,DAY($A3090)&gt;=IFERROR(N(INDEX(Übersicht!$M$15:$M$22,MATCH($B3090,Übersicht!$A$15:$A$22,0))),0)),1,0),1))</f>
        <v/>
      </c>
    </row>
    <row r="3091">
      <c r="A3091" s="92" t="n"/>
      <c r="B3091" s="55" t="n"/>
      <c r="C3091" s="55" t="n"/>
      <c r="D3091" s="55" t="n"/>
      <c r="E3091" s="93" t="n"/>
      <c r="F3091" s="94" t="n"/>
      <c r="G3091" s="94" t="n"/>
      <c r="H3091" s="94" t="n"/>
      <c r="I3091" s="94" t="n"/>
      <c r="J3091" s="55" t="n"/>
      <c r="K3091" s="95" t="n"/>
      <c r="L3091" s="116">
        <f>IF($A3091="","",DATE(YEAR($A3091),MONTH($A3091)+IF(AND(IFERROR(N(INDEX(Übersicht!$M$15:$M$22,MATCH($B3091,Übersicht!$A$15:$A$22,0))),0)&gt;1,DAY($A3091)&gt;=IFERROR(N(INDEX(Übersicht!$M$15:$M$22,MATCH($B3091,Übersicht!$A$15:$A$22,0))),0)),1,0),1))</f>
        <v/>
      </c>
    </row>
    <row r="3092">
      <c r="A3092" s="92" t="n"/>
      <c r="B3092" s="55" t="n"/>
      <c r="C3092" s="55" t="n"/>
      <c r="D3092" s="55" t="n"/>
      <c r="E3092" s="93" t="n"/>
      <c r="F3092" s="94" t="n"/>
      <c r="G3092" s="94" t="n"/>
      <c r="H3092" s="94" t="n"/>
      <c r="I3092" s="94" t="n"/>
      <c r="J3092" s="55" t="n"/>
      <c r="K3092" s="95" t="n"/>
      <c r="L3092" s="116">
        <f>IF($A3092="","",DATE(YEAR($A3092),MONTH($A3092)+IF(AND(IFERROR(N(INDEX(Übersicht!$M$15:$M$22,MATCH($B3092,Übersicht!$A$15:$A$22,0))),0)&gt;1,DAY($A3092)&gt;=IFERROR(N(INDEX(Übersicht!$M$15:$M$22,MATCH($B3092,Übersicht!$A$15:$A$22,0))),0)),1,0),1))</f>
        <v/>
      </c>
    </row>
    <row r="3093">
      <c r="A3093" s="92" t="n"/>
      <c r="B3093" s="55" t="n"/>
      <c r="C3093" s="55" t="n"/>
      <c r="D3093" s="55" t="n"/>
      <c r="E3093" s="93" t="n"/>
      <c r="F3093" s="94" t="n"/>
      <c r="G3093" s="94" t="n"/>
      <c r="H3093" s="94" t="n"/>
      <c r="I3093" s="94" t="n"/>
      <c r="J3093" s="55" t="n"/>
      <c r="K3093" s="95" t="n"/>
      <c r="L3093" s="116">
        <f>IF($A3093="","",DATE(YEAR($A3093),MONTH($A3093)+IF(AND(IFERROR(N(INDEX(Übersicht!$M$15:$M$22,MATCH($B3093,Übersicht!$A$15:$A$22,0))),0)&gt;1,DAY($A3093)&gt;=IFERROR(N(INDEX(Übersicht!$M$15:$M$22,MATCH($B3093,Übersicht!$A$15:$A$22,0))),0)),1,0),1))</f>
        <v/>
      </c>
    </row>
    <row r="3094">
      <c r="A3094" s="92" t="n"/>
      <c r="B3094" s="55" t="n"/>
      <c r="C3094" s="55" t="n"/>
      <c r="D3094" s="55" t="n"/>
      <c r="E3094" s="93" t="n"/>
      <c r="F3094" s="94" t="n"/>
      <c r="G3094" s="94" t="n"/>
      <c r="H3094" s="94" t="n"/>
      <c r="I3094" s="94" t="n"/>
      <c r="J3094" s="55" t="n"/>
      <c r="K3094" s="95" t="n"/>
      <c r="L3094" s="116">
        <f>IF($A3094="","",DATE(YEAR($A3094),MONTH($A3094)+IF(AND(IFERROR(N(INDEX(Übersicht!$M$15:$M$22,MATCH($B3094,Übersicht!$A$15:$A$22,0))),0)&gt;1,DAY($A3094)&gt;=IFERROR(N(INDEX(Übersicht!$M$15:$M$22,MATCH($B3094,Übersicht!$A$15:$A$22,0))),0)),1,0),1))</f>
        <v/>
      </c>
    </row>
    <row r="3095">
      <c r="A3095" s="92" t="n"/>
      <c r="B3095" s="55" t="n"/>
      <c r="C3095" s="55" t="n"/>
      <c r="D3095" s="55" t="n"/>
      <c r="E3095" s="93" t="n"/>
      <c r="F3095" s="94" t="n"/>
      <c r="G3095" s="94" t="n"/>
      <c r="H3095" s="94" t="n"/>
      <c r="I3095" s="94" t="n"/>
      <c r="J3095" s="55" t="n"/>
      <c r="K3095" s="95" t="n"/>
      <c r="L3095" s="116">
        <f>IF($A3095="","",DATE(YEAR($A3095),MONTH($A3095)+IF(AND(IFERROR(N(INDEX(Übersicht!$M$15:$M$22,MATCH($B3095,Übersicht!$A$15:$A$22,0))),0)&gt;1,DAY($A3095)&gt;=IFERROR(N(INDEX(Übersicht!$M$15:$M$22,MATCH($B3095,Übersicht!$A$15:$A$22,0))),0)),1,0),1))</f>
        <v/>
      </c>
    </row>
    <row r="3096">
      <c r="A3096" s="92" t="n"/>
      <c r="B3096" s="55" t="n"/>
      <c r="C3096" s="55" t="n"/>
      <c r="D3096" s="55" t="n"/>
      <c r="E3096" s="93" t="n"/>
      <c r="F3096" s="94" t="n"/>
      <c r="G3096" s="94" t="n"/>
      <c r="H3096" s="94" t="n"/>
      <c r="I3096" s="94" t="n"/>
      <c r="J3096" s="55" t="n"/>
      <c r="K3096" s="95" t="n"/>
      <c r="L3096" s="116">
        <f>IF($A3096="","",DATE(YEAR($A3096),MONTH($A3096)+IF(AND(IFERROR(N(INDEX(Übersicht!$M$15:$M$22,MATCH($B3096,Übersicht!$A$15:$A$22,0))),0)&gt;1,DAY($A3096)&gt;=IFERROR(N(INDEX(Übersicht!$M$15:$M$22,MATCH($B3096,Übersicht!$A$15:$A$22,0))),0)),1,0),1))</f>
        <v/>
      </c>
    </row>
    <row r="3097">
      <c r="A3097" s="92" t="n"/>
      <c r="B3097" s="55" t="n"/>
      <c r="C3097" s="55" t="n"/>
      <c r="D3097" s="55" t="n"/>
      <c r="E3097" s="93" t="n"/>
      <c r="F3097" s="94" t="n"/>
      <c r="G3097" s="94" t="n"/>
      <c r="H3097" s="94" t="n"/>
      <c r="I3097" s="94" t="n"/>
      <c r="J3097" s="55" t="n"/>
      <c r="K3097" s="95" t="n"/>
      <c r="L3097" s="116">
        <f>IF($A3097="","",DATE(YEAR($A3097),MONTH($A3097)+IF(AND(IFERROR(N(INDEX(Übersicht!$M$15:$M$22,MATCH($B3097,Übersicht!$A$15:$A$22,0))),0)&gt;1,DAY($A3097)&gt;=IFERROR(N(INDEX(Übersicht!$M$15:$M$22,MATCH($B3097,Übersicht!$A$15:$A$22,0))),0)),1,0),1))</f>
        <v/>
      </c>
    </row>
    <row r="3098">
      <c r="A3098" s="92" t="n"/>
      <c r="B3098" s="55" t="n"/>
      <c r="C3098" s="55" t="n"/>
      <c r="D3098" s="55" t="n"/>
      <c r="E3098" s="93" t="n"/>
      <c r="F3098" s="94" t="n"/>
      <c r="G3098" s="94" t="n"/>
      <c r="H3098" s="94" t="n"/>
      <c r="I3098" s="94" t="n"/>
      <c r="J3098" s="55" t="n"/>
      <c r="K3098" s="95" t="n"/>
      <c r="L3098" s="116">
        <f>IF($A3098="","",DATE(YEAR($A3098),MONTH($A3098)+IF(AND(IFERROR(N(INDEX(Übersicht!$M$15:$M$22,MATCH($B3098,Übersicht!$A$15:$A$22,0))),0)&gt;1,DAY($A3098)&gt;=IFERROR(N(INDEX(Übersicht!$M$15:$M$22,MATCH($B3098,Übersicht!$A$15:$A$22,0))),0)),1,0),1))</f>
        <v/>
      </c>
    </row>
    <row r="3099">
      <c r="A3099" s="92" t="n"/>
      <c r="B3099" s="55" t="n"/>
      <c r="C3099" s="55" t="n"/>
      <c r="D3099" s="55" t="n"/>
      <c r="E3099" s="93" t="n"/>
      <c r="F3099" s="94" t="n"/>
      <c r="G3099" s="94" t="n"/>
      <c r="H3099" s="94" t="n"/>
      <c r="I3099" s="94" t="n"/>
      <c r="J3099" s="55" t="n"/>
      <c r="K3099" s="95" t="n"/>
      <c r="L3099" s="116">
        <f>IF($A3099="","",DATE(YEAR($A3099),MONTH($A3099)+IF(AND(IFERROR(N(INDEX(Übersicht!$M$15:$M$22,MATCH($B3099,Übersicht!$A$15:$A$22,0))),0)&gt;1,DAY($A3099)&gt;=IFERROR(N(INDEX(Übersicht!$M$15:$M$22,MATCH($B3099,Übersicht!$A$15:$A$22,0))),0)),1,0),1))</f>
        <v/>
      </c>
    </row>
    <row r="3100">
      <c r="A3100" s="92" t="n"/>
      <c r="B3100" s="55" t="n"/>
      <c r="C3100" s="55" t="n"/>
      <c r="D3100" s="55" t="n"/>
      <c r="E3100" s="93" t="n"/>
      <c r="F3100" s="94" t="n"/>
      <c r="G3100" s="94" t="n"/>
      <c r="H3100" s="94" t="n"/>
      <c r="I3100" s="94" t="n"/>
      <c r="J3100" s="55" t="n"/>
      <c r="K3100" s="95" t="n"/>
      <c r="L3100" s="116">
        <f>IF($A3100="","",DATE(YEAR($A3100),MONTH($A3100)+IF(AND(IFERROR(N(INDEX(Übersicht!$M$15:$M$22,MATCH($B3100,Übersicht!$A$15:$A$22,0))),0)&gt;1,DAY($A3100)&gt;=IFERROR(N(INDEX(Übersicht!$M$15:$M$22,MATCH($B3100,Übersicht!$A$15:$A$22,0))),0)),1,0),1))</f>
        <v/>
      </c>
    </row>
    <row r="3101">
      <c r="A3101" s="92" t="n"/>
      <c r="B3101" s="55" t="n"/>
      <c r="C3101" s="55" t="n"/>
      <c r="D3101" s="55" t="n"/>
      <c r="E3101" s="93" t="n"/>
      <c r="F3101" s="94" t="n"/>
      <c r="G3101" s="94" t="n"/>
      <c r="H3101" s="94" t="n"/>
      <c r="I3101" s="94" t="n"/>
      <c r="J3101" s="55" t="n"/>
      <c r="K3101" s="95" t="n"/>
      <c r="L3101" s="116">
        <f>IF($A3101="","",DATE(YEAR($A3101),MONTH($A3101)+IF(AND(IFERROR(N(INDEX(Übersicht!$M$15:$M$22,MATCH($B3101,Übersicht!$A$15:$A$22,0))),0)&gt;1,DAY($A3101)&gt;=IFERROR(N(INDEX(Übersicht!$M$15:$M$22,MATCH($B3101,Übersicht!$A$15:$A$22,0))),0)),1,0),1))</f>
        <v/>
      </c>
    </row>
    <row r="3102">
      <c r="A3102" s="92" t="n"/>
      <c r="B3102" s="55" t="n"/>
      <c r="C3102" s="55" t="n"/>
      <c r="D3102" s="55" t="n"/>
      <c r="E3102" s="93" t="n"/>
      <c r="F3102" s="94" t="n"/>
      <c r="G3102" s="94" t="n"/>
      <c r="H3102" s="94" t="n"/>
      <c r="I3102" s="94" t="n"/>
      <c r="J3102" s="55" t="n"/>
      <c r="K3102" s="95" t="n"/>
      <c r="L3102" s="116">
        <f>IF($A3102="","",DATE(YEAR($A3102),MONTH($A3102)+IF(AND(IFERROR(N(INDEX(Übersicht!$M$15:$M$22,MATCH($B3102,Übersicht!$A$15:$A$22,0))),0)&gt;1,DAY($A3102)&gt;=IFERROR(N(INDEX(Übersicht!$M$15:$M$22,MATCH($B3102,Übersicht!$A$15:$A$22,0))),0)),1,0),1))</f>
        <v/>
      </c>
    </row>
    <row r="3103">
      <c r="A3103" s="92" t="n"/>
      <c r="B3103" s="55" t="n"/>
      <c r="C3103" s="55" t="n"/>
      <c r="D3103" s="55" t="n"/>
      <c r="E3103" s="93" t="n"/>
      <c r="F3103" s="94" t="n"/>
      <c r="G3103" s="94" t="n"/>
      <c r="H3103" s="94" t="n"/>
      <c r="I3103" s="94" t="n"/>
      <c r="J3103" s="55" t="n"/>
      <c r="K3103" s="95" t="n"/>
      <c r="L3103" s="116">
        <f>IF($A3103="","",DATE(YEAR($A3103),MONTH($A3103)+IF(AND(IFERROR(N(INDEX(Übersicht!$M$15:$M$22,MATCH($B3103,Übersicht!$A$15:$A$22,0))),0)&gt;1,DAY($A3103)&gt;=IFERROR(N(INDEX(Übersicht!$M$15:$M$22,MATCH($B3103,Übersicht!$A$15:$A$22,0))),0)),1,0),1))</f>
        <v/>
      </c>
    </row>
    <row r="3104">
      <c r="A3104" s="92" t="n"/>
      <c r="B3104" s="55" t="n"/>
      <c r="C3104" s="55" t="n"/>
      <c r="D3104" s="55" t="n"/>
      <c r="E3104" s="93" t="n"/>
      <c r="F3104" s="94" t="n"/>
      <c r="G3104" s="94" t="n"/>
      <c r="H3104" s="94" t="n"/>
      <c r="I3104" s="94" t="n"/>
      <c r="J3104" s="55" t="n"/>
      <c r="K3104" s="95" t="n"/>
      <c r="L3104" s="116">
        <f>IF($A3104="","",DATE(YEAR($A3104),MONTH($A3104)+IF(AND(IFERROR(N(INDEX(Übersicht!$M$15:$M$22,MATCH($B3104,Übersicht!$A$15:$A$22,0))),0)&gt;1,DAY($A3104)&gt;=IFERROR(N(INDEX(Übersicht!$M$15:$M$22,MATCH($B3104,Übersicht!$A$15:$A$22,0))),0)),1,0),1))</f>
        <v/>
      </c>
    </row>
    <row r="3105">
      <c r="A3105" s="92" t="n"/>
      <c r="B3105" s="55" t="n"/>
      <c r="C3105" s="55" t="n"/>
      <c r="D3105" s="55" t="n"/>
      <c r="E3105" s="93" t="n"/>
      <c r="F3105" s="94" t="n"/>
      <c r="G3105" s="94" t="n"/>
      <c r="H3105" s="94" t="n"/>
      <c r="I3105" s="94" t="n"/>
      <c r="J3105" s="55" t="n"/>
      <c r="K3105" s="95" t="n"/>
      <c r="L3105" s="116">
        <f>IF($A3105="","",DATE(YEAR($A3105),MONTH($A3105)+IF(AND(IFERROR(N(INDEX(Übersicht!$M$15:$M$22,MATCH($B3105,Übersicht!$A$15:$A$22,0))),0)&gt;1,DAY($A3105)&gt;=IFERROR(N(INDEX(Übersicht!$M$15:$M$22,MATCH($B3105,Übersicht!$A$15:$A$22,0))),0)),1,0),1))</f>
        <v/>
      </c>
    </row>
    <row r="3106">
      <c r="A3106" s="92" t="n"/>
      <c r="B3106" s="55" t="n"/>
      <c r="C3106" s="55" t="n"/>
      <c r="D3106" s="55" t="n"/>
      <c r="E3106" s="93" t="n"/>
      <c r="F3106" s="94" t="n"/>
      <c r="G3106" s="94" t="n"/>
      <c r="H3106" s="94" t="n"/>
      <c r="I3106" s="94" t="n"/>
      <c r="J3106" s="55" t="n"/>
      <c r="K3106" s="95" t="n"/>
      <c r="L3106" s="116">
        <f>IF($A3106="","",DATE(YEAR($A3106),MONTH($A3106)+IF(AND(IFERROR(N(INDEX(Übersicht!$M$15:$M$22,MATCH($B3106,Übersicht!$A$15:$A$22,0))),0)&gt;1,DAY($A3106)&gt;=IFERROR(N(INDEX(Übersicht!$M$15:$M$22,MATCH($B3106,Übersicht!$A$15:$A$22,0))),0)),1,0),1))</f>
        <v/>
      </c>
    </row>
    <row r="3107">
      <c r="A3107" s="92" t="n"/>
      <c r="B3107" s="55" t="n"/>
      <c r="C3107" s="55" t="n"/>
      <c r="D3107" s="55" t="n"/>
      <c r="E3107" s="93" t="n"/>
      <c r="F3107" s="94" t="n"/>
      <c r="G3107" s="94" t="n"/>
      <c r="H3107" s="94" t="n"/>
      <c r="I3107" s="94" t="n"/>
      <c r="J3107" s="55" t="n"/>
      <c r="K3107" s="95" t="n"/>
      <c r="L3107" s="116">
        <f>IF($A3107="","",DATE(YEAR($A3107),MONTH($A3107)+IF(AND(IFERROR(N(INDEX(Übersicht!$M$15:$M$22,MATCH($B3107,Übersicht!$A$15:$A$22,0))),0)&gt;1,DAY($A3107)&gt;=IFERROR(N(INDEX(Übersicht!$M$15:$M$22,MATCH($B3107,Übersicht!$A$15:$A$22,0))),0)),1,0),1))</f>
        <v/>
      </c>
    </row>
    <row r="3108">
      <c r="A3108" s="92" t="n"/>
      <c r="B3108" s="55" t="n"/>
      <c r="C3108" s="55" t="n"/>
      <c r="D3108" s="55" t="n"/>
      <c r="E3108" s="93" t="n"/>
      <c r="F3108" s="94" t="n"/>
      <c r="G3108" s="94" t="n"/>
      <c r="H3108" s="94" t="n"/>
      <c r="I3108" s="94" t="n"/>
      <c r="J3108" s="55" t="n"/>
      <c r="K3108" s="95" t="n"/>
      <c r="L3108" s="116">
        <f>IF($A3108="","",DATE(YEAR($A3108),MONTH($A3108)+IF(AND(IFERROR(N(INDEX(Übersicht!$M$15:$M$22,MATCH($B3108,Übersicht!$A$15:$A$22,0))),0)&gt;1,DAY($A3108)&gt;=IFERROR(N(INDEX(Übersicht!$M$15:$M$22,MATCH($B3108,Übersicht!$A$15:$A$22,0))),0)),1,0),1))</f>
        <v/>
      </c>
    </row>
    <row r="3109">
      <c r="A3109" s="92" t="n"/>
      <c r="B3109" s="55" t="n"/>
      <c r="C3109" s="55" t="n"/>
      <c r="D3109" s="55" t="n"/>
      <c r="E3109" s="93" t="n"/>
      <c r="F3109" s="94" t="n"/>
      <c r="G3109" s="94" t="n"/>
      <c r="H3109" s="94" t="n"/>
      <c r="I3109" s="94" t="n"/>
      <c r="J3109" s="55" t="n"/>
      <c r="K3109" s="95" t="n"/>
      <c r="L3109" s="116">
        <f>IF($A3109="","",DATE(YEAR($A3109),MONTH($A3109)+IF(AND(IFERROR(N(INDEX(Übersicht!$M$15:$M$22,MATCH($B3109,Übersicht!$A$15:$A$22,0))),0)&gt;1,DAY($A3109)&gt;=IFERROR(N(INDEX(Übersicht!$M$15:$M$22,MATCH($B3109,Übersicht!$A$15:$A$22,0))),0)),1,0),1))</f>
        <v/>
      </c>
    </row>
    <row r="3110">
      <c r="A3110" s="92" t="n"/>
      <c r="B3110" s="55" t="n"/>
      <c r="C3110" s="55" t="n"/>
      <c r="D3110" s="55" t="n"/>
      <c r="E3110" s="93" t="n"/>
      <c r="F3110" s="94" t="n"/>
      <c r="G3110" s="94" t="n"/>
      <c r="H3110" s="94" t="n"/>
      <c r="I3110" s="94" t="n"/>
      <c r="J3110" s="55" t="n"/>
      <c r="K3110" s="95" t="n"/>
      <c r="L3110" s="116">
        <f>IF($A3110="","",DATE(YEAR($A3110),MONTH($A3110)+IF(AND(IFERROR(N(INDEX(Übersicht!$M$15:$M$22,MATCH($B3110,Übersicht!$A$15:$A$22,0))),0)&gt;1,DAY($A3110)&gt;=IFERROR(N(INDEX(Übersicht!$M$15:$M$22,MATCH($B3110,Übersicht!$A$15:$A$22,0))),0)),1,0),1))</f>
        <v/>
      </c>
    </row>
    <row r="3111">
      <c r="A3111" s="92" t="n"/>
      <c r="B3111" s="55" t="n"/>
      <c r="C3111" s="55" t="n"/>
      <c r="D3111" s="55" t="n"/>
      <c r="E3111" s="93" t="n"/>
      <c r="F3111" s="94" t="n"/>
      <c r="G3111" s="94" t="n"/>
      <c r="H3111" s="94" t="n"/>
      <c r="I3111" s="94" t="n"/>
      <c r="J3111" s="55" t="n"/>
      <c r="K3111" s="95" t="n"/>
      <c r="L3111" s="116">
        <f>IF($A3111="","",DATE(YEAR($A3111),MONTH($A3111)+IF(AND(IFERROR(N(INDEX(Übersicht!$M$15:$M$22,MATCH($B3111,Übersicht!$A$15:$A$22,0))),0)&gt;1,DAY($A3111)&gt;=IFERROR(N(INDEX(Übersicht!$M$15:$M$22,MATCH($B3111,Übersicht!$A$15:$A$22,0))),0)),1,0),1))</f>
        <v/>
      </c>
    </row>
    <row r="3112">
      <c r="A3112" s="92" t="n"/>
      <c r="B3112" s="55" t="n"/>
      <c r="C3112" s="55" t="n"/>
      <c r="D3112" s="55" t="n"/>
      <c r="E3112" s="93" t="n"/>
      <c r="F3112" s="94" t="n"/>
      <c r="G3112" s="94" t="n"/>
      <c r="H3112" s="94" t="n"/>
      <c r="I3112" s="94" t="n"/>
      <c r="J3112" s="55" t="n"/>
      <c r="K3112" s="95" t="n"/>
      <c r="L3112" s="116">
        <f>IF($A3112="","",DATE(YEAR($A3112),MONTH($A3112)+IF(AND(IFERROR(N(INDEX(Übersicht!$M$15:$M$22,MATCH($B3112,Übersicht!$A$15:$A$22,0))),0)&gt;1,DAY($A3112)&gt;=IFERROR(N(INDEX(Übersicht!$M$15:$M$22,MATCH($B3112,Übersicht!$A$15:$A$22,0))),0)),1,0),1))</f>
        <v/>
      </c>
    </row>
    <row r="3113">
      <c r="A3113" s="92" t="n"/>
      <c r="B3113" s="55" t="n"/>
      <c r="C3113" s="55" t="n"/>
      <c r="D3113" s="55" t="n"/>
      <c r="E3113" s="93" t="n"/>
      <c r="F3113" s="94" t="n"/>
      <c r="G3113" s="94" t="n"/>
      <c r="H3113" s="94" t="n"/>
      <c r="I3113" s="94" t="n"/>
      <c r="J3113" s="55" t="n"/>
      <c r="K3113" s="95" t="n"/>
      <c r="L3113" s="116">
        <f>IF($A3113="","",DATE(YEAR($A3113),MONTH($A3113)+IF(AND(IFERROR(N(INDEX(Übersicht!$M$15:$M$22,MATCH($B3113,Übersicht!$A$15:$A$22,0))),0)&gt;1,DAY($A3113)&gt;=IFERROR(N(INDEX(Übersicht!$M$15:$M$22,MATCH($B3113,Übersicht!$A$15:$A$22,0))),0)),1,0),1))</f>
        <v/>
      </c>
    </row>
    <row r="3114">
      <c r="A3114" s="92" t="n"/>
      <c r="B3114" s="55" t="n"/>
      <c r="C3114" s="55" t="n"/>
      <c r="D3114" s="55" t="n"/>
      <c r="E3114" s="93" t="n"/>
      <c r="F3114" s="94" t="n"/>
      <c r="G3114" s="94" t="n"/>
      <c r="H3114" s="94" t="n"/>
      <c r="I3114" s="94" t="n"/>
      <c r="J3114" s="55" t="n"/>
      <c r="K3114" s="95" t="n"/>
      <c r="L3114" s="116">
        <f>IF($A3114="","",DATE(YEAR($A3114),MONTH($A3114)+IF(AND(IFERROR(N(INDEX(Übersicht!$M$15:$M$22,MATCH($B3114,Übersicht!$A$15:$A$22,0))),0)&gt;1,DAY($A3114)&gt;=IFERROR(N(INDEX(Übersicht!$M$15:$M$22,MATCH($B3114,Übersicht!$A$15:$A$22,0))),0)),1,0),1))</f>
        <v/>
      </c>
    </row>
    <row r="3115">
      <c r="A3115" s="92" t="n"/>
      <c r="B3115" s="55" t="n"/>
      <c r="C3115" s="55" t="n"/>
      <c r="D3115" s="55" t="n"/>
      <c r="E3115" s="93" t="n"/>
      <c r="F3115" s="94" t="n"/>
      <c r="G3115" s="94" t="n"/>
      <c r="H3115" s="94" t="n"/>
      <c r="I3115" s="94" t="n"/>
      <c r="J3115" s="55" t="n"/>
      <c r="K3115" s="95" t="n"/>
      <c r="L3115" s="116">
        <f>IF($A3115="","",DATE(YEAR($A3115),MONTH($A3115)+IF(AND(IFERROR(N(INDEX(Übersicht!$M$15:$M$22,MATCH($B3115,Übersicht!$A$15:$A$22,0))),0)&gt;1,DAY($A3115)&gt;=IFERROR(N(INDEX(Übersicht!$M$15:$M$22,MATCH($B3115,Übersicht!$A$15:$A$22,0))),0)),1,0),1))</f>
        <v/>
      </c>
    </row>
    <row r="3116">
      <c r="A3116" s="92" t="n"/>
      <c r="B3116" s="55" t="n"/>
      <c r="C3116" s="55" t="n"/>
      <c r="D3116" s="55" t="n"/>
      <c r="E3116" s="93" t="n"/>
      <c r="F3116" s="94" t="n"/>
      <c r="G3116" s="94" t="n"/>
      <c r="H3116" s="94" t="n"/>
      <c r="I3116" s="94" t="n"/>
      <c r="J3116" s="55" t="n"/>
      <c r="K3116" s="95" t="n"/>
      <c r="L3116" s="116">
        <f>IF($A3116="","",DATE(YEAR($A3116),MONTH($A3116)+IF(AND(IFERROR(N(INDEX(Übersicht!$M$15:$M$22,MATCH($B3116,Übersicht!$A$15:$A$22,0))),0)&gt;1,DAY($A3116)&gt;=IFERROR(N(INDEX(Übersicht!$M$15:$M$22,MATCH($B3116,Übersicht!$A$15:$A$22,0))),0)),1,0),1))</f>
        <v/>
      </c>
    </row>
    <row r="3117">
      <c r="A3117" s="92" t="n"/>
      <c r="B3117" s="55" t="n"/>
      <c r="C3117" s="55" t="n"/>
      <c r="D3117" s="55" t="n"/>
      <c r="E3117" s="93" t="n"/>
      <c r="F3117" s="94" t="n"/>
      <c r="G3117" s="94" t="n"/>
      <c r="H3117" s="94" t="n"/>
      <c r="I3117" s="94" t="n"/>
      <c r="J3117" s="55" t="n"/>
      <c r="K3117" s="95" t="n"/>
      <c r="L3117" s="116">
        <f>IF($A3117="","",DATE(YEAR($A3117),MONTH($A3117)+IF(AND(IFERROR(N(INDEX(Übersicht!$M$15:$M$22,MATCH($B3117,Übersicht!$A$15:$A$22,0))),0)&gt;1,DAY($A3117)&gt;=IFERROR(N(INDEX(Übersicht!$M$15:$M$22,MATCH($B3117,Übersicht!$A$15:$A$22,0))),0)),1,0),1))</f>
        <v/>
      </c>
    </row>
    <row r="3118">
      <c r="A3118" s="92" t="n"/>
      <c r="B3118" s="55" t="n"/>
      <c r="C3118" s="55" t="n"/>
      <c r="D3118" s="55" t="n"/>
      <c r="E3118" s="93" t="n"/>
      <c r="F3118" s="94" t="n"/>
      <c r="G3118" s="94" t="n"/>
      <c r="H3118" s="94" t="n"/>
      <c r="I3118" s="94" t="n"/>
      <c r="J3118" s="55" t="n"/>
      <c r="K3118" s="95" t="n"/>
      <c r="L3118" s="116">
        <f>IF($A3118="","",DATE(YEAR($A3118),MONTH($A3118)+IF(AND(IFERROR(N(INDEX(Übersicht!$M$15:$M$22,MATCH($B3118,Übersicht!$A$15:$A$22,0))),0)&gt;1,DAY($A3118)&gt;=IFERROR(N(INDEX(Übersicht!$M$15:$M$22,MATCH($B3118,Übersicht!$A$15:$A$22,0))),0)),1,0),1))</f>
        <v/>
      </c>
    </row>
    <row r="3119">
      <c r="A3119" s="92" t="n"/>
      <c r="B3119" s="55" t="n"/>
      <c r="C3119" s="55" t="n"/>
      <c r="D3119" s="55" t="n"/>
      <c r="E3119" s="93" t="n"/>
      <c r="F3119" s="94" t="n"/>
      <c r="G3119" s="94" t="n"/>
      <c r="H3119" s="94" t="n"/>
      <c r="I3119" s="94" t="n"/>
      <c r="J3119" s="55" t="n"/>
      <c r="K3119" s="95" t="n"/>
      <c r="L3119" s="116">
        <f>IF($A3119="","",DATE(YEAR($A3119),MONTH($A3119)+IF(AND(IFERROR(N(INDEX(Übersicht!$M$15:$M$22,MATCH($B3119,Übersicht!$A$15:$A$22,0))),0)&gt;1,DAY($A3119)&gt;=IFERROR(N(INDEX(Übersicht!$M$15:$M$22,MATCH($B3119,Übersicht!$A$15:$A$22,0))),0)),1,0),1))</f>
        <v/>
      </c>
    </row>
    <row r="3120">
      <c r="A3120" s="92" t="n"/>
      <c r="B3120" s="55" t="n"/>
      <c r="C3120" s="55" t="n"/>
      <c r="D3120" s="55" t="n"/>
      <c r="E3120" s="93" t="n"/>
      <c r="F3120" s="94" t="n"/>
      <c r="G3120" s="94" t="n"/>
      <c r="H3120" s="94" t="n"/>
      <c r="I3120" s="94" t="n"/>
      <c r="J3120" s="55" t="n"/>
      <c r="K3120" s="95" t="n"/>
      <c r="L3120" s="116">
        <f>IF($A3120="","",DATE(YEAR($A3120),MONTH($A3120)+IF(AND(IFERROR(N(INDEX(Übersicht!$M$15:$M$22,MATCH($B3120,Übersicht!$A$15:$A$22,0))),0)&gt;1,DAY($A3120)&gt;=IFERROR(N(INDEX(Übersicht!$M$15:$M$22,MATCH($B3120,Übersicht!$A$15:$A$22,0))),0)),1,0),1))</f>
        <v/>
      </c>
    </row>
    <row r="3121">
      <c r="A3121" s="92" t="n"/>
      <c r="B3121" s="55" t="n"/>
      <c r="C3121" s="55" t="n"/>
      <c r="D3121" s="55" t="n"/>
      <c r="E3121" s="93" t="n"/>
      <c r="F3121" s="94" t="n"/>
      <c r="G3121" s="94" t="n"/>
      <c r="H3121" s="94" t="n"/>
      <c r="I3121" s="94" t="n"/>
      <c r="J3121" s="55" t="n"/>
      <c r="K3121" s="95" t="n"/>
      <c r="L3121" s="116">
        <f>IF($A3121="","",DATE(YEAR($A3121),MONTH($A3121)+IF(AND(IFERROR(N(INDEX(Übersicht!$M$15:$M$22,MATCH($B3121,Übersicht!$A$15:$A$22,0))),0)&gt;1,DAY($A3121)&gt;=IFERROR(N(INDEX(Übersicht!$M$15:$M$22,MATCH($B3121,Übersicht!$A$15:$A$22,0))),0)),1,0),1))</f>
        <v/>
      </c>
    </row>
    <row r="3122">
      <c r="A3122" s="92" t="n"/>
      <c r="B3122" s="55" t="n"/>
      <c r="C3122" s="55" t="n"/>
      <c r="D3122" s="55" t="n"/>
      <c r="E3122" s="93" t="n"/>
      <c r="F3122" s="94" t="n"/>
      <c r="G3122" s="94" t="n"/>
      <c r="H3122" s="94" t="n"/>
      <c r="I3122" s="94" t="n"/>
      <c r="J3122" s="55" t="n"/>
      <c r="K3122" s="95" t="n"/>
      <c r="L3122" s="116">
        <f>IF($A3122="","",DATE(YEAR($A3122),MONTH($A3122)+IF(AND(IFERROR(N(INDEX(Übersicht!$M$15:$M$22,MATCH($B3122,Übersicht!$A$15:$A$22,0))),0)&gt;1,DAY($A3122)&gt;=IFERROR(N(INDEX(Übersicht!$M$15:$M$22,MATCH($B3122,Übersicht!$A$15:$A$22,0))),0)),1,0),1))</f>
        <v/>
      </c>
    </row>
    <row r="3123">
      <c r="A3123" s="92" t="n"/>
      <c r="B3123" s="55" t="n"/>
      <c r="C3123" s="55" t="n"/>
      <c r="D3123" s="55" t="n"/>
      <c r="E3123" s="93" t="n"/>
      <c r="F3123" s="94" t="n"/>
      <c r="G3123" s="94" t="n"/>
      <c r="H3123" s="94" t="n"/>
      <c r="I3123" s="94" t="n"/>
      <c r="J3123" s="55" t="n"/>
      <c r="K3123" s="95" t="n"/>
      <c r="L3123" s="116">
        <f>IF($A3123="","",DATE(YEAR($A3123),MONTH($A3123)+IF(AND(IFERROR(N(INDEX(Übersicht!$M$15:$M$22,MATCH($B3123,Übersicht!$A$15:$A$22,0))),0)&gt;1,DAY($A3123)&gt;=IFERROR(N(INDEX(Übersicht!$M$15:$M$22,MATCH($B3123,Übersicht!$A$15:$A$22,0))),0)),1,0),1))</f>
        <v/>
      </c>
    </row>
    <row r="3124">
      <c r="A3124" s="92" t="n"/>
      <c r="B3124" s="55" t="n"/>
      <c r="C3124" s="55" t="n"/>
      <c r="D3124" s="55" t="n"/>
      <c r="E3124" s="93" t="n"/>
      <c r="F3124" s="94" t="n"/>
      <c r="G3124" s="94" t="n"/>
      <c r="H3124" s="94" t="n"/>
      <c r="I3124" s="94" t="n"/>
      <c r="J3124" s="55" t="n"/>
      <c r="K3124" s="95" t="n"/>
      <c r="L3124" s="116">
        <f>IF($A3124="","",DATE(YEAR($A3124),MONTH($A3124)+IF(AND(IFERROR(N(INDEX(Übersicht!$M$15:$M$22,MATCH($B3124,Übersicht!$A$15:$A$22,0))),0)&gt;1,DAY($A3124)&gt;=IFERROR(N(INDEX(Übersicht!$M$15:$M$22,MATCH($B3124,Übersicht!$A$15:$A$22,0))),0)),1,0),1))</f>
        <v/>
      </c>
    </row>
    <row r="3125">
      <c r="A3125" s="92" t="n"/>
      <c r="B3125" s="55" t="n"/>
      <c r="C3125" s="55" t="n"/>
      <c r="D3125" s="55" t="n"/>
      <c r="E3125" s="93" t="n"/>
      <c r="F3125" s="94" t="n"/>
      <c r="G3125" s="94" t="n"/>
      <c r="H3125" s="94" t="n"/>
      <c r="I3125" s="94" t="n"/>
      <c r="J3125" s="55" t="n"/>
      <c r="K3125" s="95" t="n"/>
      <c r="L3125" s="116">
        <f>IF($A3125="","",DATE(YEAR($A3125),MONTH($A3125)+IF(AND(IFERROR(N(INDEX(Übersicht!$M$15:$M$22,MATCH($B3125,Übersicht!$A$15:$A$22,0))),0)&gt;1,DAY($A3125)&gt;=IFERROR(N(INDEX(Übersicht!$M$15:$M$22,MATCH($B3125,Übersicht!$A$15:$A$22,0))),0)),1,0),1))</f>
        <v/>
      </c>
    </row>
    <row r="3126">
      <c r="A3126" s="92" t="n"/>
      <c r="B3126" s="55" t="n"/>
      <c r="C3126" s="55" t="n"/>
      <c r="D3126" s="55" t="n"/>
      <c r="E3126" s="93" t="n"/>
      <c r="F3126" s="94" t="n"/>
      <c r="G3126" s="94" t="n"/>
      <c r="H3126" s="94" t="n"/>
      <c r="I3126" s="94" t="n"/>
      <c r="J3126" s="55" t="n"/>
      <c r="K3126" s="95" t="n"/>
      <c r="L3126" s="116">
        <f>IF($A3126="","",DATE(YEAR($A3126),MONTH($A3126)+IF(AND(IFERROR(N(INDEX(Übersicht!$M$15:$M$22,MATCH($B3126,Übersicht!$A$15:$A$22,0))),0)&gt;1,DAY($A3126)&gt;=IFERROR(N(INDEX(Übersicht!$M$15:$M$22,MATCH($B3126,Übersicht!$A$15:$A$22,0))),0)),1,0),1))</f>
        <v/>
      </c>
    </row>
    <row r="3127">
      <c r="A3127" s="92" t="n"/>
      <c r="B3127" s="55" t="n"/>
      <c r="C3127" s="55" t="n"/>
      <c r="D3127" s="55" t="n"/>
      <c r="E3127" s="93" t="n"/>
      <c r="F3127" s="94" t="n"/>
      <c r="G3127" s="94" t="n"/>
      <c r="H3127" s="94" t="n"/>
      <c r="I3127" s="94" t="n"/>
      <c r="J3127" s="55" t="n"/>
      <c r="K3127" s="95" t="n"/>
      <c r="L3127" s="116">
        <f>IF($A3127="","",DATE(YEAR($A3127),MONTH($A3127)+IF(AND(IFERROR(N(INDEX(Übersicht!$M$15:$M$22,MATCH($B3127,Übersicht!$A$15:$A$22,0))),0)&gt;1,DAY($A3127)&gt;=IFERROR(N(INDEX(Übersicht!$M$15:$M$22,MATCH($B3127,Übersicht!$A$15:$A$22,0))),0)),1,0),1))</f>
        <v/>
      </c>
    </row>
    <row r="3128">
      <c r="A3128" s="92" t="n"/>
      <c r="B3128" s="55" t="n"/>
      <c r="C3128" s="55" t="n"/>
      <c r="D3128" s="55" t="n"/>
      <c r="E3128" s="93" t="n"/>
      <c r="F3128" s="94" t="n"/>
      <c r="G3128" s="94" t="n"/>
      <c r="H3128" s="94" t="n"/>
      <c r="I3128" s="94" t="n"/>
      <c r="J3128" s="55" t="n"/>
      <c r="K3128" s="95" t="n"/>
      <c r="L3128" s="116">
        <f>IF($A3128="","",DATE(YEAR($A3128),MONTH($A3128)+IF(AND(IFERROR(N(INDEX(Übersicht!$M$15:$M$22,MATCH($B3128,Übersicht!$A$15:$A$22,0))),0)&gt;1,DAY($A3128)&gt;=IFERROR(N(INDEX(Übersicht!$M$15:$M$22,MATCH($B3128,Übersicht!$A$15:$A$22,0))),0)),1,0),1))</f>
        <v/>
      </c>
    </row>
    <row r="3129">
      <c r="A3129" s="92" t="n"/>
      <c r="B3129" s="55" t="n"/>
      <c r="C3129" s="55" t="n"/>
      <c r="D3129" s="55" t="n"/>
      <c r="E3129" s="93" t="n"/>
      <c r="F3129" s="94" t="n"/>
      <c r="G3129" s="94" t="n"/>
      <c r="H3129" s="94" t="n"/>
      <c r="I3129" s="94" t="n"/>
      <c r="J3129" s="55" t="n"/>
      <c r="K3129" s="95" t="n"/>
      <c r="L3129" s="116">
        <f>IF($A3129="","",DATE(YEAR($A3129),MONTH($A3129)+IF(AND(IFERROR(N(INDEX(Übersicht!$M$15:$M$22,MATCH($B3129,Übersicht!$A$15:$A$22,0))),0)&gt;1,DAY($A3129)&gt;=IFERROR(N(INDEX(Übersicht!$M$15:$M$22,MATCH($B3129,Übersicht!$A$15:$A$22,0))),0)),1,0),1))</f>
        <v/>
      </c>
    </row>
    <row r="3130">
      <c r="A3130" s="92" t="n"/>
      <c r="B3130" s="55" t="n"/>
      <c r="C3130" s="55" t="n"/>
      <c r="D3130" s="55" t="n"/>
      <c r="E3130" s="93" t="n"/>
      <c r="F3130" s="94" t="n"/>
      <c r="G3130" s="94" t="n"/>
      <c r="H3130" s="94" t="n"/>
      <c r="I3130" s="94" t="n"/>
      <c r="J3130" s="55" t="n"/>
      <c r="K3130" s="95" t="n"/>
      <c r="L3130" s="116">
        <f>IF($A3130="","",DATE(YEAR($A3130),MONTH($A3130)+IF(AND(IFERROR(N(INDEX(Übersicht!$M$15:$M$22,MATCH($B3130,Übersicht!$A$15:$A$22,0))),0)&gt;1,DAY($A3130)&gt;=IFERROR(N(INDEX(Übersicht!$M$15:$M$22,MATCH($B3130,Übersicht!$A$15:$A$22,0))),0)),1,0),1))</f>
        <v/>
      </c>
    </row>
    <row r="3131">
      <c r="A3131" s="92" t="n"/>
      <c r="B3131" s="55" t="n"/>
      <c r="C3131" s="55" t="n"/>
      <c r="D3131" s="55" t="n"/>
      <c r="E3131" s="93" t="n"/>
      <c r="F3131" s="94" t="n"/>
      <c r="G3131" s="94" t="n"/>
      <c r="H3131" s="94" t="n"/>
      <c r="I3131" s="94" t="n"/>
      <c r="J3131" s="55" t="n"/>
      <c r="K3131" s="95" t="n"/>
      <c r="L3131" s="116">
        <f>IF($A3131="","",DATE(YEAR($A3131),MONTH($A3131)+IF(AND(IFERROR(N(INDEX(Übersicht!$M$15:$M$22,MATCH($B3131,Übersicht!$A$15:$A$22,0))),0)&gt;1,DAY($A3131)&gt;=IFERROR(N(INDEX(Übersicht!$M$15:$M$22,MATCH($B3131,Übersicht!$A$15:$A$22,0))),0)),1,0),1))</f>
        <v/>
      </c>
    </row>
    <row r="3132">
      <c r="A3132" s="92" t="n"/>
      <c r="B3132" s="55" t="n"/>
      <c r="C3132" s="55" t="n"/>
      <c r="D3132" s="55" t="n"/>
      <c r="E3132" s="93" t="n"/>
      <c r="F3132" s="94" t="n"/>
      <c r="G3132" s="94" t="n"/>
      <c r="H3132" s="94" t="n"/>
      <c r="I3132" s="94" t="n"/>
      <c r="J3132" s="55" t="n"/>
      <c r="K3132" s="95" t="n"/>
      <c r="L3132" s="116">
        <f>IF($A3132="","",DATE(YEAR($A3132),MONTH($A3132)+IF(AND(IFERROR(N(INDEX(Übersicht!$M$15:$M$22,MATCH($B3132,Übersicht!$A$15:$A$22,0))),0)&gt;1,DAY($A3132)&gt;=IFERROR(N(INDEX(Übersicht!$M$15:$M$22,MATCH($B3132,Übersicht!$A$15:$A$22,0))),0)),1,0),1))</f>
        <v/>
      </c>
    </row>
    <row r="3133">
      <c r="A3133" s="92" t="n"/>
      <c r="B3133" s="55" t="n"/>
      <c r="C3133" s="55" t="n"/>
      <c r="D3133" s="55" t="n"/>
      <c r="E3133" s="93" t="n"/>
      <c r="F3133" s="94" t="n"/>
      <c r="G3133" s="94" t="n"/>
      <c r="H3133" s="94" t="n"/>
      <c r="I3133" s="94" t="n"/>
      <c r="J3133" s="55" t="n"/>
      <c r="K3133" s="95" t="n"/>
      <c r="L3133" s="116">
        <f>IF($A3133="","",DATE(YEAR($A3133),MONTH($A3133)+IF(AND(IFERROR(N(INDEX(Übersicht!$M$15:$M$22,MATCH($B3133,Übersicht!$A$15:$A$22,0))),0)&gt;1,DAY($A3133)&gt;=IFERROR(N(INDEX(Übersicht!$M$15:$M$22,MATCH($B3133,Übersicht!$A$15:$A$22,0))),0)),1,0),1))</f>
        <v/>
      </c>
    </row>
    <row r="3134">
      <c r="A3134" s="92" t="n"/>
      <c r="B3134" s="55" t="n"/>
      <c r="C3134" s="55" t="n"/>
      <c r="D3134" s="55" t="n"/>
      <c r="E3134" s="93" t="n"/>
      <c r="F3134" s="94" t="n"/>
      <c r="G3134" s="94" t="n"/>
      <c r="H3134" s="94" t="n"/>
      <c r="I3134" s="94" t="n"/>
      <c r="J3134" s="55" t="n"/>
      <c r="K3134" s="95" t="n"/>
      <c r="L3134" s="116">
        <f>IF($A3134="","",DATE(YEAR($A3134),MONTH($A3134)+IF(AND(IFERROR(N(INDEX(Übersicht!$M$15:$M$22,MATCH($B3134,Übersicht!$A$15:$A$22,0))),0)&gt;1,DAY($A3134)&gt;=IFERROR(N(INDEX(Übersicht!$M$15:$M$22,MATCH($B3134,Übersicht!$A$15:$A$22,0))),0)),1,0),1))</f>
        <v/>
      </c>
    </row>
    <row r="3135">
      <c r="A3135" s="92" t="n"/>
      <c r="B3135" s="55" t="n"/>
      <c r="C3135" s="55" t="n"/>
      <c r="D3135" s="55" t="n"/>
      <c r="E3135" s="93" t="n"/>
      <c r="F3135" s="94" t="n"/>
      <c r="G3135" s="94" t="n"/>
      <c r="H3135" s="94" t="n"/>
      <c r="I3135" s="94" t="n"/>
      <c r="J3135" s="55" t="n"/>
      <c r="K3135" s="95" t="n"/>
      <c r="L3135" s="116">
        <f>IF($A3135="","",DATE(YEAR($A3135),MONTH($A3135)+IF(AND(IFERROR(N(INDEX(Übersicht!$M$15:$M$22,MATCH($B3135,Übersicht!$A$15:$A$22,0))),0)&gt;1,DAY($A3135)&gt;=IFERROR(N(INDEX(Übersicht!$M$15:$M$22,MATCH($B3135,Übersicht!$A$15:$A$22,0))),0)),1,0),1))</f>
        <v/>
      </c>
    </row>
    <row r="3136">
      <c r="A3136" s="92" t="n"/>
      <c r="B3136" s="55" t="n"/>
      <c r="C3136" s="55" t="n"/>
      <c r="D3136" s="55" t="n"/>
      <c r="E3136" s="93" t="n"/>
      <c r="F3136" s="94" t="n"/>
      <c r="G3136" s="94" t="n"/>
      <c r="H3136" s="94" t="n"/>
      <c r="I3136" s="94" t="n"/>
      <c r="J3136" s="55" t="n"/>
      <c r="K3136" s="95" t="n"/>
      <c r="L3136" s="116">
        <f>IF($A3136="","",DATE(YEAR($A3136),MONTH($A3136)+IF(AND(IFERROR(N(INDEX(Übersicht!$M$15:$M$22,MATCH($B3136,Übersicht!$A$15:$A$22,0))),0)&gt;1,DAY($A3136)&gt;=IFERROR(N(INDEX(Übersicht!$M$15:$M$22,MATCH($B3136,Übersicht!$A$15:$A$22,0))),0)),1,0),1))</f>
        <v/>
      </c>
    </row>
    <row r="3137">
      <c r="A3137" s="92" t="n"/>
      <c r="B3137" s="55" t="n"/>
      <c r="C3137" s="55" t="n"/>
      <c r="D3137" s="55" t="n"/>
      <c r="E3137" s="93" t="n"/>
      <c r="F3137" s="94" t="n"/>
      <c r="G3137" s="94" t="n"/>
      <c r="H3137" s="94" t="n"/>
      <c r="I3137" s="94" t="n"/>
      <c r="J3137" s="55" t="n"/>
      <c r="K3137" s="95" t="n"/>
      <c r="L3137" s="116">
        <f>IF($A3137="","",DATE(YEAR($A3137),MONTH($A3137)+IF(AND(IFERROR(N(INDEX(Übersicht!$M$15:$M$22,MATCH($B3137,Übersicht!$A$15:$A$22,0))),0)&gt;1,DAY($A3137)&gt;=IFERROR(N(INDEX(Übersicht!$M$15:$M$22,MATCH($B3137,Übersicht!$A$15:$A$22,0))),0)),1,0),1))</f>
        <v/>
      </c>
    </row>
    <row r="3138">
      <c r="A3138" s="92" t="n"/>
      <c r="B3138" s="55" t="n"/>
      <c r="C3138" s="55" t="n"/>
      <c r="D3138" s="55" t="n"/>
      <c r="E3138" s="93" t="n"/>
      <c r="F3138" s="94" t="n"/>
      <c r="G3138" s="94" t="n"/>
      <c r="H3138" s="94" t="n"/>
      <c r="I3138" s="94" t="n"/>
      <c r="J3138" s="55" t="n"/>
      <c r="K3138" s="95" t="n"/>
      <c r="L3138" s="116">
        <f>IF($A3138="","",DATE(YEAR($A3138),MONTH($A3138)+IF(AND(IFERROR(N(INDEX(Übersicht!$M$15:$M$22,MATCH($B3138,Übersicht!$A$15:$A$22,0))),0)&gt;1,DAY($A3138)&gt;=IFERROR(N(INDEX(Übersicht!$M$15:$M$22,MATCH($B3138,Übersicht!$A$15:$A$22,0))),0)),1,0),1))</f>
        <v/>
      </c>
    </row>
    <row r="3139">
      <c r="A3139" s="92" t="n"/>
      <c r="B3139" s="55" t="n"/>
      <c r="C3139" s="55" t="n"/>
      <c r="D3139" s="55" t="n"/>
      <c r="E3139" s="93" t="n"/>
      <c r="F3139" s="94" t="n"/>
      <c r="G3139" s="94" t="n"/>
      <c r="H3139" s="94" t="n"/>
      <c r="I3139" s="94" t="n"/>
      <c r="J3139" s="55" t="n"/>
      <c r="K3139" s="95" t="n"/>
      <c r="L3139" s="116">
        <f>IF($A3139="","",DATE(YEAR($A3139),MONTH($A3139)+IF(AND(IFERROR(N(INDEX(Übersicht!$M$15:$M$22,MATCH($B3139,Übersicht!$A$15:$A$22,0))),0)&gt;1,DAY($A3139)&gt;=IFERROR(N(INDEX(Übersicht!$M$15:$M$22,MATCH($B3139,Übersicht!$A$15:$A$22,0))),0)),1,0),1))</f>
        <v/>
      </c>
    </row>
    <row r="3140">
      <c r="A3140" s="92" t="n"/>
      <c r="B3140" s="55" t="n"/>
      <c r="C3140" s="55" t="n"/>
      <c r="D3140" s="55" t="n"/>
      <c r="E3140" s="93" t="n"/>
      <c r="F3140" s="94" t="n"/>
      <c r="G3140" s="94" t="n"/>
      <c r="H3140" s="94" t="n"/>
      <c r="I3140" s="94" t="n"/>
      <c r="J3140" s="55" t="n"/>
      <c r="K3140" s="95" t="n"/>
      <c r="L3140" s="116">
        <f>IF($A3140="","",DATE(YEAR($A3140),MONTH($A3140)+IF(AND(IFERROR(N(INDEX(Übersicht!$M$15:$M$22,MATCH($B3140,Übersicht!$A$15:$A$22,0))),0)&gt;1,DAY($A3140)&gt;=IFERROR(N(INDEX(Übersicht!$M$15:$M$22,MATCH($B3140,Übersicht!$A$15:$A$22,0))),0)),1,0),1))</f>
        <v/>
      </c>
    </row>
    <row r="3141">
      <c r="A3141" s="92" t="n"/>
      <c r="B3141" s="55" t="n"/>
      <c r="C3141" s="55" t="n"/>
      <c r="D3141" s="55" t="n"/>
      <c r="E3141" s="93" t="n"/>
      <c r="F3141" s="94" t="n"/>
      <c r="G3141" s="94" t="n"/>
      <c r="H3141" s="94" t="n"/>
      <c r="I3141" s="94" t="n"/>
      <c r="J3141" s="55" t="n"/>
      <c r="K3141" s="95" t="n"/>
      <c r="L3141" s="116">
        <f>IF($A3141="","",DATE(YEAR($A3141),MONTH($A3141)+IF(AND(IFERROR(N(INDEX(Übersicht!$M$15:$M$22,MATCH($B3141,Übersicht!$A$15:$A$22,0))),0)&gt;1,DAY($A3141)&gt;=IFERROR(N(INDEX(Übersicht!$M$15:$M$22,MATCH($B3141,Übersicht!$A$15:$A$22,0))),0)),1,0),1))</f>
        <v/>
      </c>
    </row>
    <row r="3142">
      <c r="A3142" s="92" t="n"/>
      <c r="B3142" s="55" t="n"/>
      <c r="C3142" s="55" t="n"/>
      <c r="D3142" s="55" t="n"/>
      <c r="E3142" s="93" t="n"/>
      <c r="F3142" s="94" t="n"/>
      <c r="G3142" s="94" t="n"/>
      <c r="H3142" s="94" t="n"/>
      <c r="I3142" s="94" t="n"/>
      <c r="J3142" s="55" t="n"/>
      <c r="K3142" s="95" t="n"/>
      <c r="L3142" s="116">
        <f>IF($A3142="","",DATE(YEAR($A3142),MONTH($A3142)+IF(AND(IFERROR(N(INDEX(Übersicht!$M$15:$M$22,MATCH($B3142,Übersicht!$A$15:$A$22,0))),0)&gt;1,DAY($A3142)&gt;=IFERROR(N(INDEX(Übersicht!$M$15:$M$22,MATCH($B3142,Übersicht!$A$15:$A$22,0))),0)),1,0),1))</f>
        <v/>
      </c>
    </row>
    <row r="3143">
      <c r="A3143" s="92" t="n"/>
      <c r="B3143" s="55" t="n"/>
      <c r="C3143" s="55" t="n"/>
      <c r="D3143" s="55" t="n"/>
      <c r="E3143" s="93" t="n"/>
      <c r="F3143" s="94" t="n"/>
      <c r="G3143" s="94" t="n"/>
      <c r="H3143" s="94" t="n"/>
      <c r="I3143" s="94" t="n"/>
      <c r="J3143" s="55" t="n"/>
      <c r="K3143" s="95" t="n"/>
      <c r="L3143" s="116">
        <f>IF($A3143="","",DATE(YEAR($A3143),MONTH($A3143)+IF(AND(IFERROR(N(INDEX(Übersicht!$M$15:$M$22,MATCH($B3143,Übersicht!$A$15:$A$22,0))),0)&gt;1,DAY($A3143)&gt;=IFERROR(N(INDEX(Übersicht!$M$15:$M$22,MATCH($B3143,Übersicht!$A$15:$A$22,0))),0)),1,0),1))</f>
        <v/>
      </c>
    </row>
    <row r="3144">
      <c r="A3144" s="92" t="n"/>
      <c r="B3144" s="55" t="n"/>
      <c r="C3144" s="55" t="n"/>
      <c r="D3144" s="55" t="n"/>
      <c r="E3144" s="93" t="n"/>
      <c r="F3144" s="94" t="n"/>
      <c r="G3144" s="94" t="n"/>
      <c r="H3144" s="94" t="n"/>
      <c r="I3144" s="94" t="n"/>
      <c r="J3144" s="55" t="n"/>
      <c r="K3144" s="95" t="n"/>
      <c r="L3144" s="116">
        <f>IF($A3144="","",DATE(YEAR($A3144),MONTH($A3144)+IF(AND(IFERROR(N(INDEX(Übersicht!$M$15:$M$22,MATCH($B3144,Übersicht!$A$15:$A$22,0))),0)&gt;1,DAY($A3144)&gt;=IFERROR(N(INDEX(Übersicht!$M$15:$M$22,MATCH($B3144,Übersicht!$A$15:$A$22,0))),0)),1,0),1))</f>
        <v/>
      </c>
    </row>
    <row r="3145">
      <c r="A3145" s="92" t="n"/>
      <c r="B3145" s="55" t="n"/>
      <c r="C3145" s="55" t="n"/>
      <c r="D3145" s="55" t="n"/>
      <c r="E3145" s="93" t="n"/>
      <c r="F3145" s="94" t="n"/>
      <c r="G3145" s="94" t="n"/>
      <c r="H3145" s="94" t="n"/>
      <c r="I3145" s="94" t="n"/>
      <c r="J3145" s="55" t="n"/>
      <c r="K3145" s="95" t="n"/>
      <c r="L3145" s="116">
        <f>IF($A3145="","",DATE(YEAR($A3145),MONTH($A3145)+IF(AND(IFERROR(N(INDEX(Übersicht!$M$15:$M$22,MATCH($B3145,Übersicht!$A$15:$A$22,0))),0)&gt;1,DAY($A3145)&gt;=IFERROR(N(INDEX(Übersicht!$M$15:$M$22,MATCH($B3145,Übersicht!$A$15:$A$22,0))),0)),1,0),1))</f>
        <v/>
      </c>
    </row>
    <row r="3146">
      <c r="A3146" s="92" t="n"/>
      <c r="B3146" s="55" t="n"/>
      <c r="C3146" s="55" t="n"/>
      <c r="D3146" s="55" t="n"/>
      <c r="E3146" s="93" t="n"/>
      <c r="F3146" s="94" t="n"/>
      <c r="G3146" s="94" t="n"/>
      <c r="H3146" s="94" t="n"/>
      <c r="I3146" s="94" t="n"/>
      <c r="J3146" s="55" t="n"/>
      <c r="K3146" s="95" t="n"/>
      <c r="L3146" s="116">
        <f>IF($A3146="","",DATE(YEAR($A3146),MONTH($A3146)+IF(AND(IFERROR(N(INDEX(Übersicht!$M$15:$M$22,MATCH($B3146,Übersicht!$A$15:$A$22,0))),0)&gt;1,DAY($A3146)&gt;=IFERROR(N(INDEX(Übersicht!$M$15:$M$22,MATCH($B3146,Übersicht!$A$15:$A$22,0))),0)),1,0),1))</f>
        <v/>
      </c>
    </row>
    <row r="3147">
      <c r="A3147" s="92" t="n"/>
      <c r="B3147" s="55" t="n"/>
      <c r="C3147" s="55" t="n"/>
      <c r="D3147" s="55" t="n"/>
      <c r="E3147" s="93" t="n"/>
      <c r="F3147" s="94" t="n"/>
      <c r="G3147" s="94" t="n"/>
      <c r="H3147" s="94" t="n"/>
      <c r="I3147" s="94" t="n"/>
      <c r="J3147" s="55" t="n"/>
      <c r="K3147" s="95" t="n"/>
      <c r="L3147" s="116">
        <f>IF($A3147="","",DATE(YEAR($A3147),MONTH($A3147)+IF(AND(IFERROR(N(INDEX(Übersicht!$M$15:$M$22,MATCH($B3147,Übersicht!$A$15:$A$22,0))),0)&gt;1,DAY($A3147)&gt;=IFERROR(N(INDEX(Übersicht!$M$15:$M$22,MATCH($B3147,Übersicht!$A$15:$A$22,0))),0)),1,0),1))</f>
        <v/>
      </c>
    </row>
    <row r="3148">
      <c r="A3148" s="92" t="n"/>
      <c r="B3148" s="55" t="n"/>
      <c r="C3148" s="55" t="n"/>
      <c r="D3148" s="55" t="n"/>
      <c r="E3148" s="93" t="n"/>
      <c r="F3148" s="94" t="n"/>
      <c r="G3148" s="94" t="n"/>
      <c r="H3148" s="94" t="n"/>
      <c r="I3148" s="94" t="n"/>
      <c r="J3148" s="55" t="n"/>
      <c r="K3148" s="95" t="n"/>
      <c r="L3148" s="116">
        <f>IF($A3148="","",DATE(YEAR($A3148),MONTH($A3148)+IF(AND(IFERROR(N(INDEX(Übersicht!$M$15:$M$22,MATCH($B3148,Übersicht!$A$15:$A$22,0))),0)&gt;1,DAY($A3148)&gt;=IFERROR(N(INDEX(Übersicht!$M$15:$M$22,MATCH($B3148,Übersicht!$A$15:$A$22,0))),0)),1,0),1))</f>
        <v/>
      </c>
    </row>
    <row r="3149">
      <c r="A3149" s="92" t="n"/>
      <c r="B3149" s="55" t="n"/>
      <c r="C3149" s="55" t="n"/>
      <c r="D3149" s="55" t="n"/>
      <c r="E3149" s="93" t="n"/>
      <c r="F3149" s="94" t="n"/>
      <c r="G3149" s="94" t="n"/>
      <c r="H3149" s="94" t="n"/>
      <c r="I3149" s="94" t="n"/>
      <c r="J3149" s="55" t="n"/>
      <c r="K3149" s="95" t="n"/>
      <c r="L3149" s="116">
        <f>IF($A3149="","",DATE(YEAR($A3149),MONTH($A3149)+IF(AND(IFERROR(N(INDEX(Übersicht!$M$15:$M$22,MATCH($B3149,Übersicht!$A$15:$A$22,0))),0)&gt;1,DAY($A3149)&gt;=IFERROR(N(INDEX(Übersicht!$M$15:$M$22,MATCH($B3149,Übersicht!$A$15:$A$22,0))),0)),1,0),1))</f>
        <v/>
      </c>
    </row>
    <row r="3150">
      <c r="A3150" s="92" t="n"/>
      <c r="B3150" s="55" t="n"/>
      <c r="C3150" s="55" t="n"/>
      <c r="D3150" s="55" t="n"/>
      <c r="E3150" s="93" t="n"/>
      <c r="F3150" s="94" t="n"/>
      <c r="G3150" s="94" t="n"/>
      <c r="H3150" s="94" t="n"/>
      <c r="I3150" s="94" t="n"/>
      <c r="J3150" s="55" t="n"/>
      <c r="K3150" s="95" t="n"/>
      <c r="L3150" s="116">
        <f>IF($A3150="","",DATE(YEAR($A3150),MONTH($A3150)+IF(AND(IFERROR(N(INDEX(Übersicht!$M$15:$M$22,MATCH($B3150,Übersicht!$A$15:$A$22,0))),0)&gt;1,DAY($A3150)&gt;=IFERROR(N(INDEX(Übersicht!$M$15:$M$22,MATCH($B3150,Übersicht!$A$15:$A$22,0))),0)),1,0),1))</f>
        <v/>
      </c>
    </row>
    <row r="3151">
      <c r="A3151" s="92" t="n"/>
      <c r="B3151" s="55" t="n"/>
      <c r="C3151" s="55" t="n"/>
      <c r="D3151" s="55" t="n"/>
      <c r="E3151" s="93" t="n"/>
      <c r="F3151" s="94" t="n"/>
      <c r="G3151" s="94" t="n"/>
      <c r="H3151" s="94" t="n"/>
      <c r="I3151" s="94" t="n"/>
      <c r="J3151" s="55" t="n"/>
      <c r="K3151" s="95" t="n"/>
      <c r="L3151" s="116">
        <f>IF($A3151="","",DATE(YEAR($A3151),MONTH($A3151)+IF(AND(IFERROR(N(INDEX(Übersicht!$M$15:$M$22,MATCH($B3151,Übersicht!$A$15:$A$22,0))),0)&gt;1,DAY($A3151)&gt;=IFERROR(N(INDEX(Übersicht!$M$15:$M$22,MATCH($B3151,Übersicht!$A$15:$A$22,0))),0)),1,0),1))</f>
        <v/>
      </c>
    </row>
    <row r="3152">
      <c r="A3152" s="92" t="n"/>
      <c r="B3152" s="55" t="n"/>
      <c r="C3152" s="55" t="n"/>
      <c r="D3152" s="55" t="n"/>
      <c r="E3152" s="93" t="n"/>
      <c r="F3152" s="94" t="n"/>
      <c r="G3152" s="94" t="n"/>
      <c r="H3152" s="94" t="n"/>
      <c r="I3152" s="94" t="n"/>
      <c r="J3152" s="55" t="n"/>
      <c r="K3152" s="95" t="n"/>
      <c r="L3152" s="116">
        <f>IF($A3152="","",DATE(YEAR($A3152),MONTH($A3152)+IF(AND(IFERROR(N(INDEX(Übersicht!$M$15:$M$22,MATCH($B3152,Übersicht!$A$15:$A$22,0))),0)&gt;1,DAY($A3152)&gt;=IFERROR(N(INDEX(Übersicht!$M$15:$M$22,MATCH($B3152,Übersicht!$A$15:$A$22,0))),0)),1,0),1))</f>
        <v/>
      </c>
    </row>
    <row r="3153">
      <c r="A3153" s="92" t="n"/>
      <c r="B3153" s="55" t="n"/>
      <c r="C3153" s="55" t="n"/>
      <c r="D3153" s="55" t="n"/>
      <c r="E3153" s="93" t="n"/>
      <c r="F3153" s="94" t="n"/>
      <c r="G3153" s="94" t="n"/>
      <c r="H3153" s="94" t="n"/>
      <c r="I3153" s="94" t="n"/>
      <c r="J3153" s="55" t="n"/>
      <c r="K3153" s="95" t="n"/>
      <c r="L3153" s="116">
        <f>IF($A3153="","",DATE(YEAR($A3153),MONTH($A3153)+IF(AND(IFERROR(N(INDEX(Übersicht!$M$15:$M$22,MATCH($B3153,Übersicht!$A$15:$A$22,0))),0)&gt;1,DAY($A3153)&gt;=IFERROR(N(INDEX(Übersicht!$M$15:$M$22,MATCH($B3153,Übersicht!$A$15:$A$22,0))),0)),1,0),1))</f>
        <v/>
      </c>
    </row>
    <row r="3154">
      <c r="A3154" s="92" t="n"/>
      <c r="B3154" s="55" t="n"/>
      <c r="C3154" s="55" t="n"/>
      <c r="D3154" s="55" t="n"/>
      <c r="E3154" s="93" t="n"/>
      <c r="F3154" s="94" t="n"/>
      <c r="G3154" s="94" t="n"/>
      <c r="H3154" s="94" t="n"/>
      <c r="I3154" s="94" t="n"/>
      <c r="J3154" s="55" t="n"/>
      <c r="K3154" s="95" t="n"/>
      <c r="L3154" s="116">
        <f>IF($A3154="","",DATE(YEAR($A3154),MONTH($A3154)+IF(AND(IFERROR(N(INDEX(Übersicht!$M$15:$M$22,MATCH($B3154,Übersicht!$A$15:$A$22,0))),0)&gt;1,DAY($A3154)&gt;=IFERROR(N(INDEX(Übersicht!$M$15:$M$22,MATCH($B3154,Übersicht!$A$15:$A$22,0))),0)),1,0),1))</f>
        <v/>
      </c>
    </row>
    <row r="3155">
      <c r="A3155" s="92" t="n"/>
      <c r="B3155" s="55" t="n"/>
      <c r="C3155" s="55" t="n"/>
      <c r="D3155" s="55" t="n"/>
      <c r="E3155" s="93" t="n"/>
      <c r="F3155" s="94" t="n"/>
      <c r="G3155" s="94" t="n"/>
      <c r="H3155" s="94" t="n"/>
      <c r="I3155" s="94" t="n"/>
      <c r="J3155" s="55" t="n"/>
      <c r="K3155" s="95" t="n"/>
      <c r="L3155" s="116">
        <f>IF($A3155="","",DATE(YEAR($A3155),MONTH($A3155)+IF(AND(IFERROR(N(INDEX(Übersicht!$M$15:$M$22,MATCH($B3155,Übersicht!$A$15:$A$22,0))),0)&gt;1,DAY($A3155)&gt;=IFERROR(N(INDEX(Übersicht!$M$15:$M$22,MATCH($B3155,Übersicht!$A$15:$A$22,0))),0)),1,0),1))</f>
        <v/>
      </c>
    </row>
    <row r="3156">
      <c r="A3156" s="92" t="n"/>
      <c r="B3156" s="55" t="n"/>
      <c r="C3156" s="55" t="n"/>
      <c r="D3156" s="55" t="n"/>
      <c r="E3156" s="93" t="n"/>
      <c r="F3156" s="94" t="n"/>
      <c r="G3156" s="94" t="n"/>
      <c r="H3156" s="94" t="n"/>
      <c r="I3156" s="94" t="n"/>
      <c r="J3156" s="55" t="n"/>
      <c r="K3156" s="95" t="n"/>
      <c r="L3156" s="116">
        <f>IF($A3156="","",DATE(YEAR($A3156),MONTH($A3156)+IF(AND(IFERROR(N(INDEX(Übersicht!$M$15:$M$22,MATCH($B3156,Übersicht!$A$15:$A$22,0))),0)&gt;1,DAY($A3156)&gt;=IFERROR(N(INDEX(Übersicht!$M$15:$M$22,MATCH($B3156,Übersicht!$A$15:$A$22,0))),0)),1,0),1))</f>
        <v/>
      </c>
    </row>
    <row r="3157">
      <c r="A3157" s="92" t="n"/>
      <c r="B3157" s="55" t="n"/>
      <c r="C3157" s="55" t="n"/>
      <c r="D3157" s="55" t="n"/>
      <c r="E3157" s="93" t="n"/>
      <c r="F3157" s="94" t="n"/>
      <c r="G3157" s="94" t="n"/>
      <c r="H3157" s="94" t="n"/>
      <c r="I3157" s="94" t="n"/>
      <c r="J3157" s="55" t="n"/>
      <c r="K3157" s="95" t="n"/>
      <c r="L3157" s="116">
        <f>IF($A3157="","",DATE(YEAR($A3157),MONTH($A3157)+IF(AND(IFERROR(N(INDEX(Übersicht!$M$15:$M$22,MATCH($B3157,Übersicht!$A$15:$A$22,0))),0)&gt;1,DAY($A3157)&gt;=IFERROR(N(INDEX(Übersicht!$M$15:$M$22,MATCH($B3157,Übersicht!$A$15:$A$22,0))),0)),1,0),1))</f>
        <v/>
      </c>
    </row>
    <row r="3158">
      <c r="A3158" s="92" t="n"/>
      <c r="B3158" s="55" t="n"/>
      <c r="C3158" s="55" t="n"/>
      <c r="D3158" s="55" t="n"/>
      <c r="E3158" s="93" t="n"/>
      <c r="F3158" s="94" t="n"/>
      <c r="G3158" s="94" t="n"/>
      <c r="H3158" s="94" t="n"/>
      <c r="I3158" s="94" t="n"/>
      <c r="J3158" s="55" t="n"/>
      <c r="K3158" s="95" t="n"/>
      <c r="L3158" s="116">
        <f>IF($A3158="","",DATE(YEAR($A3158),MONTH($A3158)+IF(AND(IFERROR(N(INDEX(Übersicht!$M$15:$M$22,MATCH($B3158,Übersicht!$A$15:$A$22,0))),0)&gt;1,DAY($A3158)&gt;=IFERROR(N(INDEX(Übersicht!$M$15:$M$22,MATCH($B3158,Übersicht!$A$15:$A$22,0))),0)),1,0),1))</f>
        <v/>
      </c>
    </row>
    <row r="3159">
      <c r="A3159" s="92" t="n"/>
      <c r="B3159" s="55" t="n"/>
      <c r="C3159" s="55" t="n"/>
      <c r="D3159" s="55" t="n"/>
      <c r="E3159" s="93" t="n"/>
      <c r="F3159" s="94" t="n"/>
      <c r="G3159" s="94" t="n"/>
      <c r="H3159" s="94" t="n"/>
      <c r="I3159" s="94" t="n"/>
      <c r="J3159" s="55" t="n"/>
      <c r="K3159" s="95" t="n"/>
      <c r="L3159" s="116">
        <f>IF($A3159="","",DATE(YEAR($A3159),MONTH($A3159)+IF(AND(IFERROR(N(INDEX(Übersicht!$M$15:$M$22,MATCH($B3159,Übersicht!$A$15:$A$22,0))),0)&gt;1,DAY($A3159)&gt;=IFERROR(N(INDEX(Übersicht!$M$15:$M$22,MATCH($B3159,Übersicht!$A$15:$A$22,0))),0)),1,0),1))</f>
        <v/>
      </c>
    </row>
    <row r="3160">
      <c r="A3160" s="92" t="n"/>
      <c r="B3160" s="55" t="n"/>
      <c r="C3160" s="55" t="n"/>
      <c r="D3160" s="55" t="n"/>
      <c r="E3160" s="93" t="n"/>
      <c r="F3160" s="94" t="n"/>
      <c r="G3160" s="94" t="n"/>
      <c r="H3160" s="94" t="n"/>
      <c r="I3160" s="94" t="n"/>
      <c r="J3160" s="55" t="n"/>
      <c r="K3160" s="95" t="n"/>
      <c r="L3160" s="116">
        <f>IF($A3160="","",DATE(YEAR($A3160),MONTH($A3160)+IF(AND(IFERROR(N(INDEX(Übersicht!$M$15:$M$22,MATCH($B3160,Übersicht!$A$15:$A$22,0))),0)&gt;1,DAY($A3160)&gt;=IFERROR(N(INDEX(Übersicht!$M$15:$M$22,MATCH($B3160,Übersicht!$A$15:$A$22,0))),0)),1,0),1))</f>
        <v/>
      </c>
    </row>
    <row r="3161">
      <c r="A3161" s="92" t="n"/>
      <c r="B3161" s="55" t="n"/>
      <c r="C3161" s="55" t="n"/>
      <c r="D3161" s="55" t="n"/>
      <c r="E3161" s="93" t="n"/>
      <c r="F3161" s="94" t="n"/>
      <c r="G3161" s="94" t="n"/>
      <c r="H3161" s="94" t="n"/>
      <c r="I3161" s="94" t="n"/>
      <c r="J3161" s="55" t="n"/>
      <c r="K3161" s="95" t="n"/>
      <c r="L3161" s="116">
        <f>IF($A3161="","",DATE(YEAR($A3161),MONTH($A3161)+IF(AND(IFERROR(N(INDEX(Übersicht!$M$15:$M$22,MATCH($B3161,Übersicht!$A$15:$A$22,0))),0)&gt;1,DAY($A3161)&gt;=IFERROR(N(INDEX(Übersicht!$M$15:$M$22,MATCH($B3161,Übersicht!$A$15:$A$22,0))),0)),1,0),1))</f>
        <v/>
      </c>
    </row>
    <row r="3162">
      <c r="A3162" s="92" t="n"/>
      <c r="B3162" s="55" t="n"/>
      <c r="C3162" s="55" t="n"/>
      <c r="D3162" s="55" t="n"/>
      <c r="E3162" s="93" t="n"/>
      <c r="F3162" s="94" t="n"/>
      <c r="G3162" s="94" t="n"/>
      <c r="H3162" s="94" t="n"/>
      <c r="I3162" s="94" t="n"/>
      <c r="J3162" s="55" t="n"/>
      <c r="K3162" s="95" t="n"/>
      <c r="L3162" s="116">
        <f>IF($A3162="","",DATE(YEAR($A3162),MONTH($A3162)+IF(AND(IFERROR(N(INDEX(Übersicht!$M$15:$M$22,MATCH($B3162,Übersicht!$A$15:$A$22,0))),0)&gt;1,DAY($A3162)&gt;=IFERROR(N(INDEX(Übersicht!$M$15:$M$22,MATCH($B3162,Übersicht!$A$15:$A$22,0))),0)),1,0),1))</f>
        <v/>
      </c>
    </row>
    <row r="3163">
      <c r="A3163" s="92" t="n"/>
      <c r="B3163" s="55" t="n"/>
      <c r="C3163" s="55" t="n"/>
      <c r="D3163" s="55" t="n"/>
      <c r="E3163" s="93" t="n"/>
      <c r="F3163" s="94" t="n"/>
      <c r="G3163" s="94" t="n"/>
      <c r="H3163" s="94" t="n"/>
      <c r="I3163" s="94" t="n"/>
      <c r="J3163" s="55" t="n"/>
      <c r="K3163" s="95" t="n"/>
      <c r="L3163" s="116">
        <f>IF($A3163="","",DATE(YEAR($A3163),MONTH($A3163)+IF(AND(IFERROR(N(INDEX(Übersicht!$M$15:$M$22,MATCH($B3163,Übersicht!$A$15:$A$22,0))),0)&gt;1,DAY($A3163)&gt;=IFERROR(N(INDEX(Übersicht!$M$15:$M$22,MATCH($B3163,Übersicht!$A$15:$A$22,0))),0)),1,0),1))</f>
        <v/>
      </c>
    </row>
    <row r="3164">
      <c r="A3164" s="92" t="n"/>
      <c r="B3164" s="55" t="n"/>
      <c r="C3164" s="55" t="n"/>
      <c r="D3164" s="55" t="n"/>
      <c r="E3164" s="93" t="n"/>
      <c r="F3164" s="94" t="n"/>
      <c r="G3164" s="94" t="n"/>
      <c r="H3164" s="94" t="n"/>
      <c r="I3164" s="94" t="n"/>
      <c r="J3164" s="55" t="n"/>
      <c r="K3164" s="95" t="n"/>
      <c r="L3164" s="116">
        <f>IF($A3164="","",DATE(YEAR($A3164),MONTH($A3164)+IF(AND(IFERROR(N(INDEX(Übersicht!$M$15:$M$22,MATCH($B3164,Übersicht!$A$15:$A$22,0))),0)&gt;1,DAY($A3164)&gt;=IFERROR(N(INDEX(Übersicht!$M$15:$M$22,MATCH($B3164,Übersicht!$A$15:$A$22,0))),0)),1,0),1))</f>
        <v/>
      </c>
    </row>
    <row r="3165">
      <c r="A3165" s="92" t="n"/>
      <c r="B3165" s="55" t="n"/>
      <c r="C3165" s="55" t="n"/>
      <c r="D3165" s="55" t="n"/>
      <c r="E3165" s="93" t="n"/>
      <c r="F3165" s="94" t="n"/>
      <c r="G3165" s="94" t="n"/>
      <c r="H3165" s="94" t="n"/>
      <c r="I3165" s="94" t="n"/>
      <c r="J3165" s="55" t="n"/>
      <c r="K3165" s="95" t="n"/>
      <c r="L3165" s="116">
        <f>IF($A3165="","",DATE(YEAR($A3165),MONTH($A3165)+IF(AND(IFERROR(N(INDEX(Übersicht!$M$15:$M$22,MATCH($B3165,Übersicht!$A$15:$A$22,0))),0)&gt;1,DAY($A3165)&gt;=IFERROR(N(INDEX(Übersicht!$M$15:$M$22,MATCH($B3165,Übersicht!$A$15:$A$22,0))),0)),1,0),1))</f>
        <v/>
      </c>
    </row>
    <row r="3166">
      <c r="A3166" s="92" t="n"/>
      <c r="B3166" s="55" t="n"/>
      <c r="C3166" s="55" t="n"/>
      <c r="D3166" s="55" t="n"/>
      <c r="E3166" s="93" t="n"/>
      <c r="F3166" s="94" t="n"/>
      <c r="G3166" s="94" t="n"/>
      <c r="H3166" s="94" t="n"/>
      <c r="I3166" s="94" t="n"/>
      <c r="J3166" s="55" t="n"/>
      <c r="K3166" s="95" t="n"/>
      <c r="L3166" s="116">
        <f>IF($A3166="","",DATE(YEAR($A3166),MONTH($A3166)+IF(AND(IFERROR(N(INDEX(Übersicht!$M$15:$M$22,MATCH($B3166,Übersicht!$A$15:$A$22,0))),0)&gt;1,DAY($A3166)&gt;=IFERROR(N(INDEX(Übersicht!$M$15:$M$22,MATCH($B3166,Übersicht!$A$15:$A$22,0))),0)),1,0),1))</f>
        <v/>
      </c>
    </row>
    <row r="3167">
      <c r="A3167" s="92" t="n"/>
      <c r="B3167" s="55" t="n"/>
      <c r="C3167" s="55" t="n"/>
      <c r="D3167" s="55" t="n"/>
      <c r="E3167" s="93" t="n"/>
      <c r="F3167" s="94" t="n"/>
      <c r="G3167" s="94" t="n"/>
      <c r="H3167" s="94" t="n"/>
      <c r="I3167" s="94" t="n"/>
      <c r="J3167" s="55" t="n"/>
      <c r="K3167" s="95" t="n"/>
      <c r="L3167" s="116">
        <f>IF($A3167="","",DATE(YEAR($A3167),MONTH($A3167)+IF(AND(IFERROR(N(INDEX(Übersicht!$M$15:$M$22,MATCH($B3167,Übersicht!$A$15:$A$22,0))),0)&gt;1,DAY($A3167)&gt;=IFERROR(N(INDEX(Übersicht!$M$15:$M$22,MATCH($B3167,Übersicht!$A$15:$A$22,0))),0)),1,0),1))</f>
        <v/>
      </c>
    </row>
    <row r="3168">
      <c r="A3168" s="92" t="n"/>
      <c r="B3168" s="55" t="n"/>
      <c r="C3168" s="55" t="n"/>
      <c r="D3168" s="55" t="n"/>
      <c r="E3168" s="93" t="n"/>
      <c r="F3168" s="94" t="n"/>
      <c r="G3168" s="94" t="n"/>
      <c r="H3168" s="94" t="n"/>
      <c r="I3168" s="94" t="n"/>
      <c r="J3168" s="55" t="n"/>
      <c r="K3168" s="95" t="n"/>
      <c r="L3168" s="116">
        <f>IF($A3168="","",DATE(YEAR($A3168),MONTH($A3168)+IF(AND(IFERROR(N(INDEX(Übersicht!$M$15:$M$22,MATCH($B3168,Übersicht!$A$15:$A$22,0))),0)&gt;1,DAY($A3168)&gt;=IFERROR(N(INDEX(Übersicht!$M$15:$M$22,MATCH($B3168,Übersicht!$A$15:$A$22,0))),0)),1,0),1))</f>
        <v/>
      </c>
    </row>
    <row r="3169">
      <c r="A3169" s="92" t="n"/>
      <c r="B3169" s="55" t="n"/>
      <c r="C3169" s="55" t="n"/>
      <c r="D3169" s="55" t="n"/>
      <c r="E3169" s="93" t="n"/>
      <c r="F3169" s="94" t="n"/>
      <c r="G3169" s="94" t="n"/>
      <c r="H3169" s="94" t="n"/>
      <c r="I3169" s="94" t="n"/>
      <c r="J3169" s="55" t="n"/>
      <c r="K3169" s="95" t="n"/>
      <c r="L3169" s="116">
        <f>IF($A3169="","",DATE(YEAR($A3169),MONTH($A3169)+IF(AND(IFERROR(N(INDEX(Übersicht!$M$15:$M$22,MATCH($B3169,Übersicht!$A$15:$A$22,0))),0)&gt;1,DAY($A3169)&gt;=IFERROR(N(INDEX(Übersicht!$M$15:$M$22,MATCH($B3169,Übersicht!$A$15:$A$22,0))),0)),1,0),1))</f>
        <v/>
      </c>
    </row>
    <row r="3170">
      <c r="A3170" s="92" t="n"/>
      <c r="B3170" s="55" t="n"/>
      <c r="C3170" s="55" t="n"/>
      <c r="D3170" s="55" t="n"/>
      <c r="E3170" s="93" t="n"/>
      <c r="F3170" s="94" t="n"/>
      <c r="G3170" s="94" t="n"/>
      <c r="H3170" s="94" t="n"/>
      <c r="I3170" s="94" t="n"/>
      <c r="J3170" s="55" t="n"/>
      <c r="K3170" s="95" t="n"/>
      <c r="L3170" s="116">
        <f>IF($A3170="","",DATE(YEAR($A3170),MONTH($A3170)+IF(AND(IFERROR(N(INDEX(Übersicht!$M$15:$M$22,MATCH($B3170,Übersicht!$A$15:$A$22,0))),0)&gt;1,DAY($A3170)&gt;=IFERROR(N(INDEX(Übersicht!$M$15:$M$22,MATCH($B3170,Übersicht!$A$15:$A$22,0))),0)),1,0),1))</f>
        <v/>
      </c>
    </row>
    <row r="3171">
      <c r="A3171" s="92" t="n"/>
      <c r="B3171" s="55" t="n"/>
      <c r="C3171" s="55" t="n"/>
      <c r="D3171" s="55" t="n"/>
      <c r="E3171" s="93" t="n"/>
      <c r="F3171" s="94" t="n"/>
      <c r="G3171" s="94" t="n"/>
      <c r="H3171" s="94" t="n"/>
      <c r="I3171" s="94" t="n"/>
      <c r="J3171" s="55" t="n"/>
      <c r="K3171" s="95" t="n"/>
      <c r="L3171" s="116">
        <f>IF($A3171="","",DATE(YEAR($A3171),MONTH($A3171)+IF(AND(IFERROR(N(INDEX(Übersicht!$M$15:$M$22,MATCH($B3171,Übersicht!$A$15:$A$22,0))),0)&gt;1,DAY($A3171)&gt;=IFERROR(N(INDEX(Übersicht!$M$15:$M$22,MATCH($B3171,Übersicht!$A$15:$A$22,0))),0)),1,0),1))</f>
        <v/>
      </c>
    </row>
    <row r="3172">
      <c r="A3172" s="92" t="n"/>
      <c r="B3172" s="55" t="n"/>
      <c r="C3172" s="55" t="n"/>
      <c r="D3172" s="55" t="n"/>
      <c r="E3172" s="93" t="n"/>
      <c r="F3172" s="94" t="n"/>
      <c r="G3172" s="94" t="n"/>
      <c r="H3172" s="94" t="n"/>
      <c r="I3172" s="94" t="n"/>
      <c r="J3172" s="55" t="n"/>
      <c r="K3172" s="95" t="n"/>
      <c r="L3172" s="116">
        <f>IF($A3172="","",DATE(YEAR($A3172),MONTH($A3172)+IF(AND(IFERROR(N(INDEX(Übersicht!$M$15:$M$22,MATCH($B3172,Übersicht!$A$15:$A$22,0))),0)&gt;1,DAY($A3172)&gt;=IFERROR(N(INDEX(Übersicht!$M$15:$M$22,MATCH($B3172,Übersicht!$A$15:$A$22,0))),0)),1,0),1))</f>
        <v/>
      </c>
    </row>
    <row r="3173">
      <c r="A3173" s="92" t="n"/>
      <c r="B3173" s="55" t="n"/>
      <c r="C3173" s="55" t="n"/>
      <c r="D3173" s="55" t="n"/>
      <c r="E3173" s="93" t="n"/>
      <c r="F3173" s="94" t="n"/>
      <c r="G3173" s="94" t="n"/>
      <c r="H3173" s="94" t="n"/>
      <c r="I3173" s="94" t="n"/>
      <c r="J3173" s="55" t="n"/>
      <c r="K3173" s="95" t="n"/>
      <c r="L3173" s="116">
        <f>IF($A3173="","",DATE(YEAR($A3173),MONTH($A3173)+IF(AND(IFERROR(N(INDEX(Übersicht!$M$15:$M$22,MATCH($B3173,Übersicht!$A$15:$A$22,0))),0)&gt;1,DAY($A3173)&gt;=IFERROR(N(INDEX(Übersicht!$M$15:$M$22,MATCH($B3173,Übersicht!$A$15:$A$22,0))),0)),1,0),1))</f>
        <v/>
      </c>
    </row>
    <row r="3174">
      <c r="A3174" s="92" t="n"/>
      <c r="B3174" s="55" t="n"/>
      <c r="C3174" s="55" t="n"/>
      <c r="D3174" s="55" t="n"/>
      <c r="E3174" s="93" t="n"/>
      <c r="F3174" s="94" t="n"/>
      <c r="G3174" s="94" t="n"/>
      <c r="H3174" s="94" t="n"/>
      <c r="I3174" s="94" t="n"/>
      <c r="J3174" s="55" t="n"/>
      <c r="K3174" s="95" t="n"/>
      <c r="L3174" s="116">
        <f>IF($A3174="","",DATE(YEAR($A3174),MONTH($A3174)+IF(AND(IFERROR(N(INDEX(Übersicht!$M$15:$M$22,MATCH($B3174,Übersicht!$A$15:$A$22,0))),0)&gt;1,DAY($A3174)&gt;=IFERROR(N(INDEX(Übersicht!$M$15:$M$22,MATCH($B3174,Übersicht!$A$15:$A$22,0))),0)),1,0),1))</f>
        <v/>
      </c>
    </row>
    <row r="3175">
      <c r="A3175" s="92" t="n"/>
      <c r="B3175" s="55" t="n"/>
      <c r="C3175" s="55" t="n"/>
      <c r="D3175" s="55" t="n"/>
      <c r="E3175" s="93" t="n"/>
      <c r="F3175" s="94" t="n"/>
      <c r="G3175" s="94" t="n"/>
      <c r="H3175" s="94" t="n"/>
      <c r="I3175" s="94" t="n"/>
      <c r="J3175" s="55" t="n"/>
      <c r="K3175" s="95" t="n"/>
      <c r="L3175" s="116">
        <f>IF($A3175="","",DATE(YEAR($A3175),MONTH($A3175)+IF(AND(IFERROR(N(INDEX(Übersicht!$M$15:$M$22,MATCH($B3175,Übersicht!$A$15:$A$22,0))),0)&gt;1,DAY($A3175)&gt;=IFERROR(N(INDEX(Übersicht!$M$15:$M$22,MATCH($B3175,Übersicht!$A$15:$A$22,0))),0)),1,0),1))</f>
        <v/>
      </c>
    </row>
    <row r="3176">
      <c r="A3176" s="92" t="n"/>
      <c r="B3176" s="55" t="n"/>
      <c r="C3176" s="55" t="n"/>
      <c r="D3176" s="55" t="n"/>
      <c r="E3176" s="93" t="n"/>
      <c r="F3176" s="94" t="n"/>
      <c r="G3176" s="94" t="n"/>
      <c r="H3176" s="94" t="n"/>
      <c r="I3176" s="94" t="n"/>
      <c r="J3176" s="55" t="n"/>
      <c r="K3176" s="95" t="n"/>
      <c r="L3176" s="116">
        <f>IF($A3176="","",DATE(YEAR($A3176),MONTH($A3176)+IF(AND(IFERROR(N(INDEX(Übersicht!$M$15:$M$22,MATCH($B3176,Übersicht!$A$15:$A$22,0))),0)&gt;1,DAY($A3176)&gt;=IFERROR(N(INDEX(Übersicht!$M$15:$M$22,MATCH($B3176,Übersicht!$A$15:$A$22,0))),0)),1,0),1))</f>
        <v/>
      </c>
    </row>
    <row r="3177">
      <c r="A3177" s="92" t="n"/>
      <c r="B3177" s="55" t="n"/>
      <c r="C3177" s="55" t="n"/>
      <c r="D3177" s="55" t="n"/>
      <c r="E3177" s="93" t="n"/>
      <c r="F3177" s="94" t="n"/>
      <c r="G3177" s="94" t="n"/>
      <c r="H3177" s="94" t="n"/>
      <c r="I3177" s="94" t="n"/>
      <c r="J3177" s="55" t="n"/>
      <c r="K3177" s="95" t="n"/>
      <c r="L3177" s="116">
        <f>IF($A3177="","",DATE(YEAR($A3177),MONTH($A3177)+IF(AND(IFERROR(N(INDEX(Übersicht!$M$15:$M$22,MATCH($B3177,Übersicht!$A$15:$A$22,0))),0)&gt;1,DAY($A3177)&gt;=IFERROR(N(INDEX(Übersicht!$M$15:$M$22,MATCH($B3177,Übersicht!$A$15:$A$22,0))),0)),1,0),1))</f>
        <v/>
      </c>
    </row>
    <row r="3178">
      <c r="A3178" s="92" t="n"/>
      <c r="B3178" s="55" t="n"/>
      <c r="C3178" s="55" t="n"/>
      <c r="D3178" s="55" t="n"/>
      <c r="E3178" s="93" t="n"/>
      <c r="F3178" s="94" t="n"/>
      <c r="G3178" s="94" t="n"/>
      <c r="H3178" s="94" t="n"/>
      <c r="I3178" s="94" t="n"/>
      <c r="J3178" s="55" t="n"/>
      <c r="K3178" s="95" t="n"/>
      <c r="L3178" s="116">
        <f>IF($A3178="","",DATE(YEAR($A3178),MONTH($A3178)+IF(AND(IFERROR(N(INDEX(Übersicht!$M$15:$M$22,MATCH($B3178,Übersicht!$A$15:$A$22,0))),0)&gt;1,DAY($A3178)&gt;=IFERROR(N(INDEX(Übersicht!$M$15:$M$22,MATCH($B3178,Übersicht!$A$15:$A$22,0))),0)),1,0),1))</f>
        <v/>
      </c>
    </row>
    <row r="3179">
      <c r="A3179" s="92" t="n"/>
      <c r="B3179" s="55" t="n"/>
      <c r="C3179" s="55" t="n"/>
      <c r="D3179" s="55" t="n"/>
      <c r="E3179" s="93" t="n"/>
      <c r="F3179" s="94" t="n"/>
      <c r="G3179" s="94" t="n"/>
      <c r="H3179" s="94" t="n"/>
      <c r="I3179" s="94" t="n"/>
      <c r="J3179" s="55" t="n"/>
      <c r="K3179" s="95" t="n"/>
      <c r="L3179" s="116">
        <f>IF($A3179="","",DATE(YEAR($A3179),MONTH($A3179)+IF(AND(IFERROR(N(INDEX(Übersicht!$M$15:$M$22,MATCH($B3179,Übersicht!$A$15:$A$22,0))),0)&gt;1,DAY($A3179)&gt;=IFERROR(N(INDEX(Übersicht!$M$15:$M$22,MATCH($B3179,Übersicht!$A$15:$A$22,0))),0)),1,0),1))</f>
        <v/>
      </c>
    </row>
    <row r="3180">
      <c r="A3180" s="92" t="n"/>
      <c r="B3180" s="55" t="n"/>
      <c r="C3180" s="55" t="n"/>
      <c r="D3180" s="55" t="n"/>
      <c r="E3180" s="93" t="n"/>
      <c r="F3180" s="94" t="n"/>
      <c r="G3180" s="94" t="n"/>
      <c r="H3180" s="94" t="n"/>
      <c r="I3180" s="94" t="n"/>
      <c r="J3180" s="55" t="n"/>
      <c r="K3180" s="95" t="n"/>
      <c r="L3180" s="116">
        <f>IF($A3180="","",DATE(YEAR($A3180),MONTH($A3180)+IF(AND(IFERROR(N(INDEX(Übersicht!$M$15:$M$22,MATCH($B3180,Übersicht!$A$15:$A$22,0))),0)&gt;1,DAY($A3180)&gt;=IFERROR(N(INDEX(Übersicht!$M$15:$M$22,MATCH($B3180,Übersicht!$A$15:$A$22,0))),0)),1,0),1))</f>
        <v/>
      </c>
    </row>
    <row r="3181">
      <c r="A3181" s="92" t="n"/>
      <c r="B3181" s="55" t="n"/>
      <c r="C3181" s="55" t="n"/>
      <c r="D3181" s="55" t="n"/>
      <c r="E3181" s="93" t="n"/>
      <c r="F3181" s="94" t="n"/>
      <c r="G3181" s="94" t="n"/>
      <c r="H3181" s="94" t="n"/>
      <c r="I3181" s="94" t="n"/>
      <c r="J3181" s="55" t="n"/>
      <c r="K3181" s="95" t="n"/>
      <c r="L3181" s="116">
        <f>IF($A3181="","",DATE(YEAR($A3181),MONTH($A3181)+IF(AND(IFERROR(N(INDEX(Übersicht!$M$15:$M$22,MATCH($B3181,Übersicht!$A$15:$A$22,0))),0)&gt;1,DAY($A3181)&gt;=IFERROR(N(INDEX(Übersicht!$M$15:$M$22,MATCH($B3181,Übersicht!$A$15:$A$22,0))),0)),1,0),1))</f>
        <v/>
      </c>
    </row>
    <row r="3182">
      <c r="A3182" s="92" t="n"/>
      <c r="B3182" s="55" t="n"/>
      <c r="C3182" s="55" t="n"/>
      <c r="D3182" s="55" t="n"/>
      <c r="E3182" s="93" t="n"/>
      <c r="F3182" s="94" t="n"/>
      <c r="G3182" s="94" t="n"/>
      <c r="H3182" s="94" t="n"/>
      <c r="I3182" s="94" t="n"/>
      <c r="J3182" s="55" t="n"/>
      <c r="K3182" s="95" t="n"/>
      <c r="L3182" s="116">
        <f>IF($A3182="","",DATE(YEAR($A3182),MONTH($A3182)+IF(AND(IFERROR(N(INDEX(Übersicht!$M$15:$M$22,MATCH($B3182,Übersicht!$A$15:$A$22,0))),0)&gt;1,DAY($A3182)&gt;=IFERROR(N(INDEX(Übersicht!$M$15:$M$22,MATCH($B3182,Übersicht!$A$15:$A$22,0))),0)),1,0),1))</f>
        <v/>
      </c>
    </row>
    <row r="3183">
      <c r="A3183" s="92" t="n"/>
      <c r="B3183" s="55" t="n"/>
      <c r="C3183" s="55" t="n"/>
      <c r="D3183" s="55" t="n"/>
      <c r="E3183" s="93" t="n"/>
      <c r="F3183" s="94" t="n"/>
      <c r="G3183" s="94" t="n"/>
      <c r="H3183" s="94" t="n"/>
      <c r="I3183" s="94" t="n"/>
      <c r="J3183" s="55" t="n"/>
      <c r="K3183" s="95" t="n"/>
      <c r="L3183" s="116">
        <f>IF($A3183="","",DATE(YEAR($A3183),MONTH($A3183)+IF(AND(IFERROR(N(INDEX(Übersicht!$M$15:$M$22,MATCH($B3183,Übersicht!$A$15:$A$22,0))),0)&gt;1,DAY($A3183)&gt;=IFERROR(N(INDEX(Übersicht!$M$15:$M$22,MATCH($B3183,Übersicht!$A$15:$A$22,0))),0)),1,0),1))</f>
        <v/>
      </c>
    </row>
    <row r="3184">
      <c r="A3184" s="92" t="n"/>
      <c r="B3184" s="55" t="n"/>
      <c r="C3184" s="55" t="n"/>
      <c r="D3184" s="55" t="n"/>
      <c r="E3184" s="93" t="n"/>
      <c r="F3184" s="94" t="n"/>
      <c r="G3184" s="94" t="n"/>
      <c r="H3184" s="94" t="n"/>
      <c r="I3184" s="94" t="n"/>
      <c r="J3184" s="55" t="n"/>
      <c r="K3184" s="95" t="n"/>
      <c r="L3184" s="116">
        <f>IF($A3184="","",DATE(YEAR($A3184),MONTH($A3184)+IF(AND(IFERROR(N(INDEX(Übersicht!$M$15:$M$22,MATCH($B3184,Übersicht!$A$15:$A$22,0))),0)&gt;1,DAY($A3184)&gt;=IFERROR(N(INDEX(Übersicht!$M$15:$M$22,MATCH($B3184,Übersicht!$A$15:$A$22,0))),0)),1,0),1))</f>
        <v/>
      </c>
    </row>
    <row r="3185">
      <c r="A3185" s="92" t="n"/>
      <c r="B3185" s="55" t="n"/>
      <c r="C3185" s="55" t="n"/>
      <c r="D3185" s="55" t="n"/>
      <c r="E3185" s="93" t="n"/>
      <c r="F3185" s="94" t="n"/>
      <c r="G3185" s="94" t="n"/>
      <c r="H3185" s="94" t="n"/>
      <c r="I3185" s="94" t="n"/>
      <c r="J3185" s="55" t="n"/>
      <c r="K3185" s="95" t="n"/>
      <c r="L3185" s="116">
        <f>IF($A3185="","",DATE(YEAR($A3185),MONTH($A3185)+IF(AND(IFERROR(N(INDEX(Übersicht!$M$15:$M$22,MATCH($B3185,Übersicht!$A$15:$A$22,0))),0)&gt;1,DAY($A3185)&gt;=IFERROR(N(INDEX(Übersicht!$M$15:$M$22,MATCH($B3185,Übersicht!$A$15:$A$22,0))),0)),1,0),1))</f>
        <v/>
      </c>
    </row>
    <row r="3186">
      <c r="A3186" s="92" t="n"/>
      <c r="B3186" s="55" t="n"/>
      <c r="C3186" s="55" t="n"/>
      <c r="D3186" s="55" t="n"/>
      <c r="E3186" s="93" t="n"/>
      <c r="F3186" s="94" t="n"/>
      <c r="G3186" s="94" t="n"/>
      <c r="H3186" s="94" t="n"/>
      <c r="I3186" s="94" t="n"/>
      <c r="J3186" s="55" t="n"/>
      <c r="K3186" s="95" t="n"/>
      <c r="L3186" s="116">
        <f>IF($A3186="","",DATE(YEAR($A3186),MONTH($A3186)+IF(AND(IFERROR(N(INDEX(Übersicht!$M$15:$M$22,MATCH($B3186,Übersicht!$A$15:$A$22,0))),0)&gt;1,DAY($A3186)&gt;=IFERROR(N(INDEX(Übersicht!$M$15:$M$22,MATCH($B3186,Übersicht!$A$15:$A$22,0))),0)),1,0),1))</f>
        <v/>
      </c>
    </row>
    <row r="3187">
      <c r="A3187" s="92" t="n"/>
      <c r="B3187" s="55" t="n"/>
      <c r="C3187" s="55" t="n"/>
      <c r="D3187" s="55" t="n"/>
      <c r="E3187" s="93" t="n"/>
      <c r="F3187" s="94" t="n"/>
      <c r="G3187" s="94" t="n"/>
      <c r="H3187" s="94" t="n"/>
      <c r="I3187" s="94" t="n"/>
      <c r="J3187" s="55" t="n"/>
      <c r="K3187" s="95" t="n"/>
      <c r="L3187" s="116">
        <f>IF($A3187="","",DATE(YEAR($A3187),MONTH($A3187)+IF(AND(IFERROR(N(INDEX(Übersicht!$M$15:$M$22,MATCH($B3187,Übersicht!$A$15:$A$22,0))),0)&gt;1,DAY($A3187)&gt;=IFERROR(N(INDEX(Übersicht!$M$15:$M$22,MATCH($B3187,Übersicht!$A$15:$A$22,0))),0)),1,0),1))</f>
        <v/>
      </c>
    </row>
    <row r="3188">
      <c r="A3188" s="92" t="n"/>
      <c r="B3188" s="55" t="n"/>
      <c r="C3188" s="55" t="n"/>
      <c r="D3188" s="55" t="n"/>
      <c r="E3188" s="93" t="n"/>
      <c r="F3188" s="94" t="n"/>
      <c r="G3188" s="94" t="n"/>
      <c r="H3188" s="94" t="n"/>
      <c r="I3188" s="94" t="n"/>
      <c r="J3188" s="55" t="n"/>
      <c r="K3188" s="95" t="n"/>
      <c r="L3188" s="116">
        <f>IF($A3188="","",DATE(YEAR($A3188),MONTH($A3188)+IF(AND(IFERROR(N(INDEX(Übersicht!$M$15:$M$22,MATCH($B3188,Übersicht!$A$15:$A$22,0))),0)&gt;1,DAY($A3188)&gt;=IFERROR(N(INDEX(Übersicht!$M$15:$M$22,MATCH($B3188,Übersicht!$A$15:$A$22,0))),0)),1,0),1))</f>
        <v/>
      </c>
    </row>
    <row r="3189">
      <c r="A3189" s="92" t="n"/>
      <c r="B3189" s="55" t="n"/>
      <c r="C3189" s="55" t="n"/>
      <c r="D3189" s="55" t="n"/>
      <c r="E3189" s="93" t="n"/>
      <c r="F3189" s="94" t="n"/>
      <c r="G3189" s="94" t="n"/>
      <c r="H3189" s="94" t="n"/>
      <c r="I3189" s="94" t="n"/>
      <c r="J3189" s="55" t="n"/>
      <c r="K3189" s="95" t="n"/>
      <c r="L3189" s="116">
        <f>IF($A3189="","",DATE(YEAR($A3189),MONTH($A3189)+IF(AND(IFERROR(N(INDEX(Übersicht!$M$15:$M$22,MATCH($B3189,Übersicht!$A$15:$A$22,0))),0)&gt;1,DAY($A3189)&gt;=IFERROR(N(INDEX(Übersicht!$M$15:$M$22,MATCH($B3189,Übersicht!$A$15:$A$22,0))),0)),1,0),1))</f>
        <v/>
      </c>
    </row>
    <row r="3190">
      <c r="A3190" s="92" t="n"/>
      <c r="B3190" s="55" t="n"/>
      <c r="C3190" s="55" t="n"/>
      <c r="D3190" s="55" t="n"/>
      <c r="E3190" s="93" t="n"/>
      <c r="F3190" s="94" t="n"/>
      <c r="G3190" s="94" t="n"/>
      <c r="H3190" s="94" t="n"/>
      <c r="I3190" s="94" t="n"/>
      <c r="J3190" s="55" t="n"/>
      <c r="K3190" s="95" t="n"/>
      <c r="L3190" s="116">
        <f>IF($A3190="","",DATE(YEAR($A3190),MONTH($A3190)+IF(AND(IFERROR(N(INDEX(Übersicht!$M$15:$M$22,MATCH($B3190,Übersicht!$A$15:$A$22,0))),0)&gt;1,DAY($A3190)&gt;=IFERROR(N(INDEX(Übersicht!$M$15:$M$22,MATCH($B3190,Übersicht!$A$15:$A$22,0))),0)),1,0),1))</f>
        <v/>
      </c>
    </row>
    <row r="3191">
      <c r="A3191" s="92" t="n"/>
      <c r="B3191" s="55" t="n"/>
      <c r="C3191" s="55" t="n"/>
      <c r="D3191" s="55" t="n"/>
      <c r="E3191" s="93" t="n"/>
      <c r="F3191" s="94" t="n"/>
      <c r="G3191" s="94" t="n"/>
      <c r="H3191" s="94" t="n"/>
      <c r="I3191" s="94" t="n"/>
      <c r="J3191" s="55" t="n"/>
      <c r="K3191" s="95" t="n"/>
      <c r="L3191" s="116">
        <f>IF($A3191="","",DATE(YEAR($A3191),MONTH($A3191)+IF(AND(IFERROR(N(INDEX(Übersicht!$M$15:$M$22,MATCH($B3191,Übersicht!$A$15:$A$22,0))),0)&gt;1,DAY($A3191)&gt;=IFERROR(N(INDEX(Übersicht!$M$15:$M$22,MATCH($B3191,Übersicht!$A$15:$A$22,0))),0)),1,0),1))</f>
        <v/>
      </c>
    </row>
    <row r="3192">
      <c r="A3192" s="92" t="n"/>
      <c r="B3192" s="55" t="n"/>
      <c r="C3192" s="55" t="n"/>
      <c r="D3192" s="55" t="n"/>
      <c r="E3192" s="93" t="n"/>
      <c r="F3192" s="94" t="n"/>
      <c r="G3192" s="94" t="n"/>
      <c r="H3192" s="94" t="n"/>
      <c r="I3192" s="94" t="n"/>
      <c r="J3192" s="55" t="n"/>
      <c r="K3192" s="95" t="n"/>
      <c r="L3192" s="116">
        <f>IF($A3192="","",DATE(YEAR($A3192),MONTH($A3192)+IF(AND(IFERROR(N(INDEX(Übersicht!$M$15:$M$22,MATCH($B3192,Übersicht!$A$15:$A$22,0))),0)&gt;1,DAY($A3192)&gt;=IFERROR(N(INDEX(Übersicht!$M$15:$M$22,MATCH($B3192,Übersicht!$A$15:$A$22,0))),0)),1,0),1))</f>
        <v/>
      </c>
    </row>
    <row r="3193">
      <c r="A3193" s="92" t="n"/>
      <c r="B3193" s="55" t="n"/>
      <c r="C3193" s="55" t="n"/>
      <c r="D3193" s="55" t="n"/>
      <c r="E3193" s="93" t="n"/>
      <c r="F3193" s="94" t="n"/>
      <c r="G3193" s="94" t="n"/>
      <c r="H3193" s="94" t="n"/>
      <c r="I3193" s="94" t="n"/>
      <c r="J3193" s="55" t="n"/>
      <c r="K3193" s="95" t="n"/>
      <c r="L3193" s="116">
        <f>IF($A3193="","",DATE(YEAR($A3193),MONTH($A3193)+IF(AND(IFERROR(N(INDEX(Übersicht!$M$15:$M$22,MATCH($B3193,Übersicht!$A$15:$A$22,0))),0)&gt;1,DAY($A3193)&gt;=IFERROR(N(INDEX(Übersicht!$M$15:$M$22,MATCH($B3193,Übersicht!$A$15:$A$22,0))),0)),1,0),1))</f>
        <v/>
      </c>
    </row>
    <row r="3194">
      <c r="A3194" s="92" t="n"/>
      <c r="B3194" s="55" t="n"/>
      <c r="C3194" s="55" t="n"/>
      <c r="D3194" s="55" t="n"/>
      <c r="E3194" s="93" t="n"/>
      <c r="F3194" s="94" t="n"/>
      <c r="G3194" s="94" t="n"/>
      <c r="H3194" s="94" t="n"/>
      <c r="I3194" s="94" t="n"/>
      <c r="J3194" s="55" t="n"/>
      <c r="K3194" s="95" t="n"/>
      <c r="L3194" s="116">
        <f>IF($A3194="","",DATE(YEAR($A3194),MONTH($A3194)+IF(AND(IFERROR(N(INDEX(Übersicht!$M$15:$M$22,MATCH($B3194,Übersicht!$A$15:$A$22,0))),0)&gt;1,DAY($A3194)&gt;=IFERROR(N(INDEX(Übersicht!$M$15:$M$22,MATCH($B3194,Übersicht!$A$15:$A$22,0))),0)),1,0),1))</f>
        <v/>
      </c>
    </row>
    <row r="3195">
      <c r="A3195" s="92" t="n"/>
      <c r="B3195" s="55" t="n"/>
      <c r="C3195" s="55" t="n"/>
      <c r="D3195" s="55" t="n"/>
      <c r="E3195" s="93" t="n"/>
      <c r="F3195" s="94" t="n"/>
      <c r="G3195" s="94" t="n"/>
      <c r="H3195" s="94" t="n"/>
      <c r="I3195" s="94" t="n"/>
      <c r="J3195" s="55" t="n"/>
      <c r="K3195" s="95" t="n"/>
      <c r="L3195" s="116">
        <f>IF($A3195="","",DATE(YEAR($A3195),MONTH($A3195)+IF(AND(IFERROR(N(INDEX(Übersicht!$M$15:$M$22,MATCH($B3195,Übersicht!$A$15:$A$22,0))),0)&gt;1,DAY($A3195)&gt;=IFERROR(N(INDEX(Übersicht!$M$15:$M$22,MATCH($B3195,Übersicht!$A$15:$A$22,0))),0)),1,0),1))</f>
        <v/>
      </c>
    </row>
    <row r="3196">
      <c r="A3196" s="92" t="n"/>
      <c r="B3196" s="55" t="n"/>
      <c r="C3196" s="55" t="n"/>
      <c r="D3196" s="55" t="n"/>
      <c r="E3196" s="93" t="n"/>
      <c r="F3196" s="94" t="n"/>
      <c r="G3196" s="94" t="n"/>
      <c r="H3196" s="94" t="n"/>
      <c r="I3196" s="94" t="n"/>
      <c r="J3196" s="55" t="n"/>
      <c r="K3196" s="95" t="n"/>
      <c r="L3196" s="116">
        <f>IF($A3196="","",DATE(YEAR($A3196),MONTH($A3196)+IF(AND(IFERROR(N(INDEX(Übersicht!$M$15:$M$22,MATCH($B3196,Übersicht!$A$15:$A$22,0))),0)&gt;1,DAY($A3196)&gt;=IFERROR(N(INDEX(Übersicht!$M$15:$M$22,MATCH($B3196,Übersicht!$A$15:$A$22,0))),0)),1,0),1))</f>
        <v/>
      </c>
    </row>
    <row r="3197">
      <c r="A3197" s="92" t="n"/>
      <c r="B3197" s="55" t="n"/>
      <c r="C3197" s="55" t="n"/>
      <c r="D3197" s="55" t="n"/>
      <c r="E3197" s="93" t="n"/>
      <c r="F3197" s="94" t="n"/>
      <c r="G3197" s="94" t="n"/>
      <c r="H3197" s="94" t="n"/>
      <c r="I3197" s="94" t="n"/>
      <c r="J3197" s="55" t="n"/>
      <c r="K3197" s="95" t="n"/>
      <c r="L3197" s="116">
        <f>IF($A3197="","",DATE(YEAR($A3197),MONTH($A3197)+IF(AND(IFERROR(N(INDEX(Übersicht!$M$15:$M$22,MATCH($B3197,Übersicht!$A$15:$A$22,0))),0)&gt;1,DAY($A3197)&gt;=IFERROR(N(INDEX(Übersicht!$M$15:$M$22,MATCH($B3197,Übersicht!$A$15:$A$22,0))),0)),1,0),1))</f>
        <v/>
      </c>
    </row>
    <row r="3198">
      <c r="A3198" s="92" t="n"/>
      <c r="B3198" s="55" t="n"/>
      <c r="C3198" s="55" t="n"/>
      <c r="D3198" s="55" t="n"/>
      <c r="E3198" s="93" t="n"/>
      <c r="F3198" s="94" t="n"/>
      <c r="G3198" s="94" t="n"/>
      <c r="H3198" s="94" t="n"/>
      <c r="I3198" s="94" t="n"/>
      <c r="J3198" s="55" t="n"/>
      <c r="K3198" s="95" t="n"/>
      <c r="L3198" s="116">
        <f>IF($A3198="","",DATE(YEAR($A3198),MONTH($A3198)+IF(AND(IFERROR(N(INDEX(Übersicht!$M$15:$M$22,MATCH($B3198,Übersicht!$A$15:$A$22,0))),0)&gt;1,DAY($A3198)&gt;=IFERROR(N(INDEX(Übersicht!$M$15:$M$22,MATCH($B3198,Übersicht!$A$15:$A$22,0))),0)),1,0),1))</f>
        <v/>
      </c>
    </row>
    <row r="3199">
      <c r="A3199" s="92" t="n"/>
      <c r="B3199" s="55" t="n"/>
      <c r="C3199" s="55" t="n"/>
      <c r="D3199" s="55" t="n"/>
      <c r="E3199" s="93" t="n"/>
      <c r="F3199" s="94" t="n"/>
      <c r="G3199" s="94" t="n"/>
      <c r="H3199" s="94" t="n"/>
      <c r="I3199" s="94" t="n"/>
      <c r="J3199" s="55" t="n"/>
      <c r="K3199" s="95" t="n"/>
      <c r="L3199" s="116">
        <f>IF($A3199="","",DATE(YEAR($A3199),MONTH($A3199)+IF(AND(IFERROR(N(INDEX(Übersicht!$M$15:$M$22,MATCH($B3199,Übersicht!$A$15:$A$22,0))),0)&gt;1,DAY($A3199)&gt;=IFERROR(N(INDEX(Übersicht!$M$15:$M$22,MATCH($B3199,Übersicht!$A$15:$A$22,0))),0)),1,0),1))</f>
        <v/>
      </c>
    </row>
    <row r="3200">
      <c r="A3200" s="92" t="n"/>
      <c r="B3200" s="55" t="n"/>
      <c r="C3200" s="55" t="n"/>
      <c r="D3200" s="55" t="n"/>
      <c r="E3200" s="93" t="n"/>
      <c r="F3200" s="94" t="n"/>
      <c r="G3200" s="94" t="n"/>
      <c r="H3200" s="94" t="n"/>
      <c r="I3200" s="94" t="n"/>
      <c r="J3200" s="55" t="n"/>
      <c r="K3200" s="95" t="n"/>
      <c r="L3200" s="116">
        <f>IF($A3200="","",DATE(YEAR($A3200),MONTH($A3200)+IF(AND(IFERROR(N(INDEX(Übersicht!$M$15:$M$22,MATCH($B3200,Übersicht!$A$15:$A$22,0))),0)&gt;1,DAY($A3200)&gt;=IFERROR(N(INDEX(Übersicht!$M$15:$M$22,MATCH($B3200,Übersicht!$A$15:$A$22,0))),0)),1,0),1))</f>
        <v/>
      </c>
    </row>
    <row r="3201">
      <c r="A3201" s="92" t="n"/>
      <c r="B3201" s="55" t="n"/>
      <c r="C3201" s="55" t="n"/>
      <c r="D3201" s="55" t="n"/>
      <c r="E3201" s="93" t="n"/>
      <c r="F3201" s="94" t="n"/>
      <c r="G3201" s="94" t="n"/>
      <c r="H3201" s="94" t="n"/>
      <c r="I3201" s="94" t="n"/>
      <c r="J3201" s="55" t="n"/>
      <c r="K3201" s="95" t="n"/>
      <c r="L3201" s="116">
        <f>IF($A3201="","",DATE(YEAR($A3201),MONTH($A3201)+IF(AND(IFERROR(N(INDEX(Übersicht!$M$15:$M$22,MATCH($B3201,Übersicht!$A$15:$A$22,0))),0)&gt;1,DAY($A3201)&gt;=IFERROR(N(INDEX(Übersicht!$M$15:$M$22,MATCH($B3201,Übersicht!$A$15:$A$22,0))),0)),1,0),1))</f>
        <v/>
      </c>
    </row>
    <row r="3202">
      <c r="A3202" s="92" t="n"/>
      <c r="B3202" s="55" t="n"/>
      <c r="C3202" s="55" t="n"/>
      <c r="D3202" s="55" t="n"/>
      <c r="E3202" s="93" t="n"/>
      <c r="F3202" s="94" t="n"/>
      <c r="G3202" s="94" t="n"/>
      <c r="H3202" s="94" t="n"/>
      <c r="I3202" s="94" t="n"/>
      <c r="J3202" s="55" t="n"/>
      <c r="K3202" s="95" t="n"/>
      <c r="L3202" s="116">
        <f>IF($A3202="","",DATE(YEAR($A3202),MONTH($A3202)+IF(AND(IFERROR(N(INDEX(Übersicht!$M$15:$M$22,MATCH($B3202,Übersicht!$A$15:$A$22,0))),0)&gt;1,DAY($A3202)&gt;=IFERROR(N(INDEX(Übersicht!$M$15:$M$22,MATCH($B3202,Übersicht!$A$15:$A$22,0))),0)),1,0),1))</f>
        <v/>
      </c>
    </row>
    <row r="3203">
      <c r="A3203" s="92" t="n"/>
      <c r="B3203" s="55" t="n"/>
      <c r="C3203" s="55" t="n"/>
      <c r="D3203" s="55" t="n"/>
      <c r="E3203" s="93" t="n"/>
      <c r="F3203" s="94" t="n"/>
      <c r="G3203" s="94" t="n"/>
      <c r="H3203" s="94" t="n"/>
      <c r="I3203" s="94" t="n"/>
      <c r="J3203" s="55" t="n"/>
      <c r="K3203" s="95" t="n"/>
      <c r="L3203" s="116">
        <f>IF($A3203="","",DATE(YEAR($A3203),MONTH($A3203)+IF(AND(IFERROR(N(INDEX(Übersicht!$M$15:$M$22,MATCH($B3203,Übersicht!$A$15:$A$22,0))),0)&gt;1,DAY($A3203)&gt;=IFERROR(N(INDEX(Übersicht!$M$15:$M$22,MATCH($B3203,Übersicht!$A$15:$A$22,0))),0)),1,0),1))</f>
        <v/>
      </c>
    </row>
    <row r="3204">
      <c r="A3204" s="92" t="n"/>
      <c r="B3204" s="55" t="n"/>
      <c r="C3204" s="55" t="n"/>
      <c r="D3204" s="55" t="n"/>
      <c r="E3204" s="93" t="n"/>
      <c r="F3204" s="94" t="n"/>
      <c r="G3204" s="94" t="n"/>
      <c r="H3204" s="94" t="n"/>
      <c r="I3204" s="94" t="n"/>
      <c r="J3204" s="55" t="n"/>
      <c r="K3204" s="95" t="n"/>
      <c r="L3204" s="116">
        <f>IF($A3204="","",DATE(YEAR($A3204),MONTH($A3204)+IF(AND(IFERROR(N(INDEX(Übersicht!$M$15:$M$22,MATCH($B3204,Übersicht!$A$15:$A$22,0))),0)&gt;1,DAY($A3204)&gt;=IFERROR(N(INDEX(Übersicht!$M$15:$M$22,MATCH($B3204,Übersicht!$A$15:$A$22,0))),0)),1,0),1))</f>
        <v/>
      </c>
    </row>
    <row r="3205">
      <c r="A3205" s="92" t="n"/>
      <c r="B3205" s="55" t="n"/>
      <c r="C3205" s="55" t="n"/>
      <c r="D3205" s="55" t="n"/>
      <c r="E3205" s="93" t="n"/>
      <c r="F3205" s="94" t="n"/>
      <c r="G3205" s="94" t="n"/>
      <c r="H3205" s="94" t="n"/>
      <c r="I3205" s="94" t="n"/>
      <c r="J3205" s="55" t="n"/>
      <c r="K3205" s="95" t="n"/>
      <c r="L3205" s="116">
        <f>IF($A3205="","",DATE(YEAR($A3205),MONTH($A3205)+IF(AND(IFERROR(N(INDEX(Übersicht!$M$15:$M$22,MATCH($B3205,Übersicht!$A$15:$A$22,0))),0)&gt;1,DAY($A3205)&gt;=IFERROR(N(INDEX(Übersicht!$M$15:$M$22,MATCH($B3205,Übersicht!$A$15:$A$22,0))),0)),1,0),1))</f>
        <v/>
      </c>
    </row>
    <row r="3206">
      <c r="A3206" s="92" t="n"/>
      <c r="B3206" s="55" t="n"/>
      <c r="C3206" s="55" t="n"/>
      <c r="D3206" s="55" t="n"/>
      <c r="E3206" s="93" t="n"/>
      <c r="F3206" s="94" t="n"/>
      <c r="G3206" s="94" t="n"/>
      <c r="H3206" s="94" t="n"/>
      <c r="I3206" s="94" t="n"/>
      <c r="J3206" s="55" t="n"/>
      <c r="K3206" s="95" t="n"/>
      <c r="L3206" s="116">
        <f>IF($A3206="","",DATE(YEAR($A3206),MONTH($A3206)+IF(AND(IFERROR(N(INDEX(Übersicht!$M$15:$M$22,MATCH($B3206,Übersicht!$A$15:$A$22,0))),0)&gt;1,DAY($A3206)&gt;=IFERROR(N(INDEX(Übersicht!$M$15:$M$22,MATCH($B3206,Übersicht!$A$15:$A$22,0))),0)),1,0),1))</f>
        <v/>
      </c>
    </row>
    <row r="3207">
      <c r="A3207" s="92" t="n"/>
      <c r="B3207" s="55" t="n"/>
      <c r="C3207" s="55" t="n"/>
      <c r="D3207" s="55" t="n"/>
      <c r="E3207" s="93" t="n"/>
      <c r="F3207" s="94" t="n"/>
      <c r="G3207" s="94" t="n"/>
      <c r="H3207" s="94" t="n"/>
      <c r="I3207" s="94" t="n"/>
      <c r="J3207" s="55" t="n"/>
      <c r="K3207" s="95" t="n"/>
      <c r="L3207" s="116">
        <f>IF($A3207="","",DATE(YEAR($A3207),MONTH($A3207)+IF(AND(IFERROR(N(INDEX(Übersicht!$M$15:$M$22,MATCH($B3207,Übersicht!$A$15:$A$22,0))),0)&gt;1,DAY($A3207)&gt;=IFERROR(N(INDEX(Übersicht!$M$15:$M$22,MATCH($B3207,Übersicht!$A$15:$A$22,0))),0)),1,0),1))</f>
        <v/>
      </c>
    </row>
    <row r="3208">
      <c r="A3208" s="92" t="n"/>
      <c r="B3208" s="55" t="n"/>
      <c r="C3208" s="55" t="n"/>
      <c r="D3208" s="55" t="n"/>
      <c r="E3208" s="93" t="n"/>
      <c r="F3208" s="94" t="n"/>
      <c r="G3208" s="94" t="n"/>
      <c r="H3208" s="94" t="n"/>
      <c r="I3208" s="94" t="n"/>
      <c r="J3208" s="55" t="n"/>
      <c r="K3208" s="95" t="n"/>
      <c r="L3208" s="116">
        <f>IF($A3208="","",DATE(YEAR($A3208),MONTH($A3208)+IF(AND(IFERROR(N(INDEX(Übersicht!$M$15:$M$22,MATCH($B3208,Übersicht!$A$15:$A$22,0))),0)&gt;1,DAY($A3208)&gt;=IFERROR(N(INDEX(Übersicht!$M$15:$M$22,MATCH($B3208,Übersicht!$A$15:$A$22,0))),0)),1,0),1))</f>
        <v/>
      </c>
    </row>
    <row r="3209">
      <c r="A3209" s="92" t="n"/>
      <c r="B3209" s="55" t="n"/>
      <c r="C3209" s="55" t="n"/>
      <c r="D3209" s="55" t="n"/>
      <c r="E3209" s="93" t="n"/>
      <c r="F3209" s="94" t="n"/>
      <c r="G3209" s="94" t="n"/>
      <c r="H3209" s="94" t="n"/>
      <c r="I3209" s="94" t="n"/>
      <c r="J3209" s="55" t="n"/>
      <c r="K3209" s="95" t="n"/>
      <c r="L3209" s="116">
        <f>IF($A3209="","",DATE(YEAR($A3209),MONTH($A3209)+IF(AND(IFERROR(N(INDEX(Übersicht!$M$15:$M$22,MATCH($B3209,Übersicht!$A$15:$A$22,0))),0)&gt;1,DAY($A3209)&gt;=IFERROR(N(INDEX(Übersicht!$M$15:$M$22,MATCH($B3209,Übersicht!$A$15:$A$22,0))),0)),1,0),1))</f>
        <v/>
      </c>
    </row>
    <row r="3210">
      <c r="A3210" s="92" t="n"/>
      <c r="B3210" s="55" t="n"/>
      <c r="C3210" s="55" t="n"/>
      <c r="D3210" s="55" t="n"/>
      <c r="E3210" s="93" t="n"/>
      <c r="F3210" s="94" t="n"/>
      <c r="G3210" s="94" t="n"/>
      <c r="H3210" s="94" t="n"/>
      <c r="I3210" s="94" t="n"/>
      <c r="J3210" s="55" t="n"/>
      <c r="K3210" s="95" t="n"/>
      <c r="L3210" s="116">
        <f>IF($A3210="","",DATE(YEAR($A3210),MONTH($A3210)+IF(AND(IFERROR(N(INDEX(Übersicht!$M$15:$M$22,MATCH($B3210,Übersicht!$A$15:$A$22,0))),0)&gt;1,DAY($A3210)&gt;=IFERROR(N(INDEX(Übersicht!$M$15:$M$22,MATCH($B3210,Übersicht!$A$15:$A$22,0))),0)),1,0),1))</f>
        <v/>
      </c>
    </row>
    <row r="3211">
      <c r="A3211" s="92" t="n"/>
      <c r="B3211" s="55" t="n"/>
      <c r="C3211" s="55" t="n"/>
      <c r="D3211" s="55" t="n"/>
      <c r="E3211" s="93" t="n"/>
      <c r="F3211" s="94" t="n"/>
      <c r="G3211" s="94" t="n"/>
      <c r="H3211" s="94" t="n"/>
      <c r="I3211" s="94" t="n"/>
      <c r="J3211" s="55" t="n"/>
      <c r="K3211" s="95" t="n"/>
      <c r="L3211" s="116">
        <f>IF($A3211="","",DATE(YEAR($A3211),MONTH($A3211)+IF(AND(IFERROR(N(INDEX(Übersicht!$M$15:$M$22,MATCH($B3211,Übersicht!$A$15:$A$22,0))),0)&gt;1,DAY($A3211)&gt;=IFERROR(N(INDEX(Übersicht!$M$15:$M$22,MATCH($B3211,Übersicht!$A$15:$A$22,0))),0)),1,0),1))</f>
        <v/>
      </c>
    </row>
    <row r="3212">
      <c r="A3212" s="92" t="n"/>
      <c r="B3212" s="55" t="n"/>
      <c r="C3212" s="55" t="n"/>
      <c r="D3212" s="55" t="n"/>
      <c r="E3212" s="93" t="n"/>
      <c r="F3212" s="94" t="n"/>
      <c r="G3212" s="94" t="n"/>
      <c r="H3212" s="94" t="n"/>
      <c r="I3212" s="94" t="n"/>
      <c r="J3212" s="55" t="n"/>
      <c r="K3212" s="95" t="n"/>
      <c r="L3212" s="116">
        <f>IF($A3212="","",DATE(YEAR($A3212),MONTH($A3212)+IF(AND(IFERROR(N(INDEX(Übersicht!$M$15:$M$22,MATCH($B3212,Übersicht!$A$15:$A$22,0))),0)&gt;1,DAY($A3212)&gt;=IFERROR(N(INDEX(Übersicht!$M$15:$M$22,MATCH($B3212,Übersicht!$A$15:$A$22,0))),0)),1,0),1))</f>
        <v/>
      </c>
    </row>
    <row r="3213">
      <c r="A3213" s="92" t="n"/>
      <c r="B3213" s="55" t="n"/>
      <c r="C3213" s="55" t="n"/>
      <c r="D3213" s="55" t="n"/>
      <c r="E3213" s="93" t="n"/>
      <c r="F3213" s="94" t="n"/>
      <c r="G3213" s="94" t="n"/>
      <c r="H3213" s="94" t="n"/>
      <c r="I3213" s="94" t="n"/>
      <c r="J3213" s="55" t="n"/>
      <c r="K3213" s="95" t="n"/>
      <c r="L3213" s="116">
        <f>IF($A3213="","",DATE(YEAR($A3213),MONTH($A3213)+IF(AND(IFERROR(N(INDEX(Übersicht!$M$15:$M$22,MATCH($B3213,Übersicht!$A$15:$A$22,0))),0)&gt;1,DAY($A3213)&gt;=IFERROR(N(INDEX(Übersicht!$M$15:$M$22,MATCH($B3213,Übersicht!$A$15:$A$22,0))),0)),1,0),1))</f>
        <v/>
      </c>
    </row>
    <row r="3214">
      <c r="A3214" s="92" t="n"/>
      <c r="B3214" s="55" t="n"/>
      <c r="C3214" s="55" t="n"/>
      <c r="D3214" s="55" t="n"/>
      <c r="E3214" s="93" t="n"/>
      <c r="F3214" s="94" t="n"/>
      <c r="G3214" s="94" t="n"/>
      <c r="H3214" s="94" t="n"/>
      <c r="I3214" s="94" t="n"/>
      <c r="J3214" s="55" t="n"/>
      <c r="K3214" s="95" t="n"/>
      <c r="L3214" s="116">
        <f>IF($A3214="","",DATE(YEAR($A3214),MONTH($A3214)+IF(AND(IFERROR(N(INDEX(Übersicht!$M$15:$M$22,MATCH($B3214,Übersicht!$A$15:$A$22,0))),0)&gt;1,DAY($A3214)&gt;=IFERROR(N(INDEX(Übersicht!$M$15:$M$22,MATCH($B3214,Übersicht!$A$15:$A$22,0))),0)),1,0),1))</f>
        <v/>
      </c>
    </row>
    <row r="3215">
      <c r="A3215" s="92" t="n"/>
      <c r="B3215" s="55" t="n"/>
      <c r="C3215" s="55" t="n"/>
      <c r="D3215" s="55" t="n"/>
      <c r="E3215" s="93" t="n"/>
      <c r="F3215" s="94" t="n"/>
      <c r="G3215" s="94" t="n"/>
      <c r="H3215" s="94" t="n"/>
      <c r="I3215" s="94" t="n"/>
      <c r="J3215" s="55" t="n"/>
      <c r="K3215" s="95" t="n"/>
      <c r="L3215" s="116">
        <f>IF($A3215="","",DATE(YEAR($A3215),MONTH($A3215)+IF(AND(IFERROR(N(INDEX(Übersicht!$M$15:$M$22,MATCH($B3215,Übersicht!$A$15:$A$22,0))),0)&gt;1,DAY($A3215)&gt;=IFERROR(N(INDEX(Übersicht!$M$15:$M$22,MATCH($B3215,Übersicht!$A$15:$A$22,0))),0)),1,0),1))</f>
        <v/>
      </c>
    </row>
    <row r="3216">
      <c r="A3216" s="92" t="n"/>
      <c r="B3216" s="55" t="n"/>
      <c r="C3216" s="55" t="n"/>
      <c r="D3216" s="55" t="n"/>
      <c r="E3216" s="93" t="n"/>
      <c r="F3216" s="94" t="n"/>
      <c r="G3216" s="94" t="n"/>
      <c r="H3216" s="94" t="n"/>
      <c r="I3216" s="94" t="n"/>
      <c r="J3216" s="55" t="n"/>
      <c r="K3216" s="95" t="n"/>
      <c r="L3216" s="116">
        <f>IF($A3216="","",DATE(YEAR($A3216),MONTH($A3216)+IF(AND(IFERROR(N(INDEX(Übersicht!$M$15:$M$22,MATCH($B3216,Übersicht!$A$15:$A$22,0))),0)&gt;1,DAY($A3216)&gt;=IFERROR(N(INDEX(Übersicht!$M$15:$M$22,MATCH($B3216,Übersicht!$A$15:$A$22,0))),0)),1,0),1))</f>
        <v/>
      </c>
    </row>
    <row r="3217">
      <c r="A3217" s="92" t="n"/>
      <c r="B3217" s="55" t="n"/>
      <c r="C3217" s="55" t="n"/>
      <c r="D3217" s="55" t="n"/>
      <c r="E3217" s="93" t="n"/>
      <c r="F3217" s="94" t="n"/>
      <c r="G3217" s="94" t="n"/>
      <c r="H3217" s="94" t="n"/>
      <c r="I3217" s="94" t="n"/>
      <c r="J3217" s="55" t="n"/>
      <c r="K3217" s="95" t="n"/>
      <c r="L3217" s="116">
        <f>IF($A3217="","",DATE(YEAR($A3217),MONTH($A3217)+IF(AND(IFERROR(N(INDEX(Übersicht!$M$15:$M$22,MATCH($B3217,Übersicht!$A$15:$A$22,0))),0)&gt;1,DAY($A3217)&gt;=IFERROR(N(INDEX(Übersicht!$M$15:$M$22,MATCH($B3217,Übersicht!$A$15:$A$22,0))),0)),1,0),1))</f>
        <v/>
      </c>
    </row>
    <row r="3218">
      <c r="A3218" s="92" t="n"/>
      <c r="B3218" s="55" t="n"/>
      <c r="C3218" s="55" t="n"/>
      <c r="D3218" s="55" t="n"/>
      <c r="E3218" s="93" t="n"/>
      <c r="F3218" s="94" t="n"/>
      <c r="G3218" s="94" t="n"/>
      <c r="H3218" s="94" t="n"/>
      <c r="I3218" s="94" t="n"/>
      <c r="J3218" s="55" t="n"/>
      <c r="K3218" s="95" t="n"/>
      <c r="L3218" s="116">
        <f>IF($A3218="","",DATE(YEAR($A3218),MONTH($A3218)+IF(AND(IFERROR(N(INDEX(Übersicht!$M$15:$M$22,MATCH($B3218,Übersicht!$A$15:$A$22,0))),0)&gt;1,DAY($A3218)&gt;=IFERROR(N(INDEX(Übersicht!$M$15:$M$22,MATCH($B3218,Übersicht!$A$15:$A$22,0))),0)),1,0),1))</f>
        <v/>
      </c>
    </row>
    <row r="3219">
      <c r="A3219" s="92" t="n"/>
      <c r="B3219" s="55" t="n"/>
      <c r="C3219" s="55" t="n"/>
      <c r="D3219" s="55" t="n"/>
      <c r="E3219" s="93" t="n"/>
      <c r="F3219" s="94" t="n"/>
      <c r="G3219" s="94" t="n"/>
      <c r="H3219" s="94" t="n"/>
      <c r="I3219" s="94" t="n"/>
      <c r="J3219" s="55" t="n"/>
      <c r="K3219" s="95" t="n"/>
      <c r="L3219" s="116">
        <f>IF($A3219="","",DATE(YEAR($A3219),MONTH($A3219)+IF(AND(IFERROR(N(INDEX(Übersicht!$M$15:$M$22,MATCH($B3219,Übersicht!$A$15:$A$22,0))),0)&gt;1,DAY($A3219)&gt;=IFERROR(N(INDEX(Übersicht!$M$15:$M$22,MATCH($B3219,Übersicht!$A$15:$A$22,0))),0)),1,0),1))</f>
        <v/>
      </c>
    </row>
    <row r="3220">
      <c r="A3220" s="92" t="n"/>
      <c r="B3220" s="55" t="n"/>
      <c r="C3220" s="55" t="n"/>
      <c r="D3220" s="55" t="n"/>
      <c r="E3220" s="93" t="n"/>
      <c r="F3220" s="94" t="n"/>
      <c r="G3220" s="94" t="n"/>
      <c r="H3220" s="94" t="n"/>
      <c r="I3220" s="94" t="n"/>
      <c r="J3220" s="55" t="n"/>
      <c r="K3220" s="95" t="n"/>
      <c r="L3220" s="116">
        <f>IF($A3220="","",DATE(YEAR($A3220),MONTH($A3220)+IF(AND(IFERROR(N(INDEX(Übersicht!$M$15:$M$22,MATCH($B3220,Übersicht!$A$15:$A$22,0))),0)&gt;1,DAY($A3220)&gt;=IFERROR(N(INDEX(Übersicht!$M$15:$M$22,MATCH($B3220,Übersicht!$A$15:$A$22,0))),0)),1,0),1))</f>
        <v/>
      </c>
    </row>
    <row r="3221">
      <c r="A3221" s="92" t="n"/>
      <c r="B3221" s="55" t="n"/>
      <c r="C3221" s="55" t="n"/>
      <c r="D3221" s="55" t="n"/>
      <c r="E3221" s="93" t="n"/>
      <c r="F3221" s="94" t="n"/>
      <c r="G3221" s="94" t="n"/>
      <c r="H3221" s="94" t="n"/>
      <c r="I3221" s="94" t="n"/>
      <c r="J3221" s="55" t="n"/>
      <c r="K3221" s="95" t="n"/>
      <c r="L3221" s="116">
        <f>IF($A3221="","",DATE(YEAR($A3221),MONTH($A3221)+IF(AND(IFERROR(N(INDEX(Übersicht!$M$15:$M$22,MATCH($B3221,Übersicht!$A$15:$A$22,0))),0)&gt;1,DAY($A3221)&gt;=IFERROR(N(INDEX(Übersicht!$M$15:$M$22,MATCH($B3221,Übersicht!$A$15:$A$22,0))),0)),1,0),1))</f>
        <v/>
      </c>
    </row>
    <row r="3222">
      <c r="A3222" s="92" t="n"/>
      <c r="B3222" s="55" t="n"/>
      <c r="C3222" s="55" t="n"/>
      <c r="D3222" s="55" t="n"/>
      <c r="E3222" s="93" t="n"/>
      <c r="F3222" s="94" t="n"/>
      <c r="G3222" s="94" t="n"/>
      <c r="H3222" s="94" t="n"/>
      <c r="I3222" s="94" t="n"/>
      <c r="J3222" s="55" t="n"/>
      <c r="K3222" s="95" t="n"/>
      <c r="L3222" s="116">
        <f>IF($A3222="","",DATE(YEAR($A3222),MONTH($A3222)+IF(AND(IFERROR(N(INDEX(Übersicht!$M$15:$M$22,MATCH($B3222,Übersicht!$A$15:$A$22,0))),0)&gt;1,DAY($A3222)&gt;=IFERROR(N(INDEX(Übersicht!$M$15:$M$22,MATCH($B3222,Übersicht!$A$15:$A$22,0))),0)),1,0),1))</f>
        <v/>
      </c>
    </row>
    <row r="3223">
      <c r="A3223" s="92" t="n"/>
      <c r="B3223" s="55" t="n"/>
      <c r="C3223" s="55" t="n"/>
      <c r="D3223" s="55" t="n"/>
      <c r="E3223" s="93" t="n"/>
      <c r="F3223" s="94" t="n"/>
      <c r="G3223" s="94" t="n"/>
      <c r="H3223" s="94" t="n"/>
      <c r="I3223" s="94" t="n"/>
      <c r="J3223" s="55" t="n"/>
      <c r="K3223" s="95" t="n"/>
      <c r="L3223" s="116">
        <f>IF($A3223="","",DATE(YEAR($A3223),MONTH($A3223)+IF(AND(IFERROR(N(INDEX(Übersicht!$M$15:$M$22,MATCH($B3223,Übersicht!$A$15:$A$22,0))),0)&gt;1,DAY($A3223)&gt;=IFERROR(N(INDEX(Übersicht!$M$15:$M$22,MATCH($B3223,Übersicht!$A$15:$A$22,0))),0)),1,0),1))</f>
        <v/>
      </c>
    </row>
    <row r="3224">
      <c r="A3224" s="92" t="n"/>
      <c r="B3224" s="55" t="n"/>
      <c r="C3224" s="55" t="n"/>
      <c r="D3224" s="55" t="n"/>
      <c r="E3224" s="93" t="n"/>
      <c r="F3224" s="94" t="n"/>
      <c r="G3224" s="94" t="n"/>
      <c r="H3224" s="94" t="n"/>
      <c r="I3224" s="94" t="n"/>
      <c r="J3224" s="55" t="n"/>
      <c r="K3224" s="95" t="n"/>
      <c r="L3224" s="116">
        <f>IF($A3224="","",DATE(YEAR($A3224),MONTH($A3224)+IF(AND(IFERROR(N(INDEX(Übersicht!$M$15:$M$22,MATCH($B3224,Übersicht!$A$15:$A$22,0))),0)&gt;1,DAY($A3224)&gt;=IFERROR(N(INDEX(Übersicht!$M$15:$M$22,MATCH($B3224,Übersicht!$A$15:$A$22,0))),0)),1,0),1))</f>
        <v/>
      </c>
    </row>
    <row r="3225">
      <c r="A3225" s="92" t="n"/>
      <c r="B3225" s="55" t="n"/>
      <c r="C3225" s="55" t="n"/>
      <c r="D3225" s="55" t="n"/>
      <c r="E3225" s="93" t="n"/>
      <c r="F3225" s="94" t="n"/>
      <c r="G3225" s="94" t="n"/>
      <c r="H3225" s="94" t="n"/>
      <c r="I3225" s="94" t="n"/>
      <c r="J3225" s="55" t="n"/>
      <c r="K3225" s="95" t="n"/>
      <c r="L3225" s="116">
        <f>IF($A3225="","",DATE(YEAR($A3225),MONTH($A3225)+IF(AND(IFERROR(N(INDEX(Übersicht!$M$15:$M$22,MATCH($B3225,Übersicht!$A$15:$A$22,0))),0)&gt;1,DAY($A3225)&gt;=IFERROR(N(INDEX(Übersicht!$M$15:$M$22,MATCH($B3225,Übersicht!$A$15:$A$22,0))),0)),1,0),1))</f>
        <v/>
      </c>
    </row>
    <row r="3226">
      <c r="A3226" s="92" t="n"/>
      <c r="B3226" s="55" t="n"/>
      <c r="C3226" s="55" t="n"/>
      <c r="D3226" s="55" t="n"/>
      <c r="E3226" s="93" t="n"/>
      <c r="F3226" s="94" t="n"/>
      <c r="G3226" s="94" t="n"/>
      <c r="H3226" s="94" t="n"/>
      <c r="I3226" s="94" t="n"/>
      <c r="J3226" s="55" t="n"/>
      <c r="K3226" s="95" t="n"/>
      <c r="L3226" s="116">
        <f>IF($A3226="","",DATE(YEAR($A3226),MONTH($A3226)+IF(AND(IFERROR(N(INDEX(Übersicht!$M$15:$M$22,MATCH($B3226,Übersicht!$A$15:$A$22,0))),0)&gt;1,DAY($A3226)&gt;=IFERROR(N(INDEX(Übersicht!$M$15:$M$22,MATCH($B3226,Übersicht!$A$15:$A$22,0))),0)),1,0),1))</f>
        <v/>
      </c>
    </row>
    <row r="3227">
      <c r="A3227" s="92" t="n"/>
      <c r="B3227" s="55" t="n"/>
      <c r="C3227" s="55" t="n"/>
      <c r="D3227" s="55" t="n"/>
      <c r="E3227" s="93" t="n"/>
      <c r="F3227" s="94" t="n"/>
      <c r="G3227" s="94" t="n"/>
      <c r="H3227" s="94" t="n"/>
      <c r="I3227" s="94" t="n"/>
      <c r="J3227" s="55" t="n"/>
      <c r="K3227" s="95" t="n"/>
      <c r="L3227" s="116">
        <f>IF($A3227="","",DATE(YEAR($A3227),MONTH($A3227)+IF(AND(IFERROR(N(INDEX(Übersicht!$M$15:$M$22,MATCH($B3227,Übersicht!$A$15:$A$22,0))),0)&gt;1,DAY($A3227)&gt;=IFERROR(N(INDEX(Übersicht!$M$15:$M$22,MATCH($B3227,Übersicht!$A$15:$A$22,0))),0)),1,0),1))</f>
        <v/>
      </c>
    </row>
    <row r="3228">
      <c r="A3228" s="92" t="n"/>
      <c r="B3228" s="55" t="n"/>
      <c r="C3228" s="55" t="n"/>
      <c r="D3228" s="55" t="n"/>
      <c r="E3228" s="93" t="n"/>
      <c r="F3228" s="94" t="n"/>
      <c r="G3228" s="94" t="n"/>
      <c r="H3228" s="94" t="n"/>
      <c r="I3228" s="94" t="n"/>
      <c r="J3228" s="55" t="n"/>
      <c r="K3228" s="95" t="n"/>
      <c r="L3228" s="116">
        <f>IF($A3228="","",DATE(YEAR($A3228),MONTH($A3228)+IF(AND(IFERROR(N(INDEX(Übersicht!$M$15:$M$22,MATCH($B3228,Übersicht!$A$15:$A$22,0))),0)&gt;1,DAY($A3228)&gt;=IFERROR(N(INDEX(Übersicht!$M$15:$M$22,MATCH($B3228,Übersicht!$A$15:$A$22,0))),0)),1,0),1))</f>
        <v/>
      </c>
    </row>
    <row r="3229">
      <c r="A3229" s="92" t="n"/>
      <c r="B3229" s="55" t="n"/>
      <c r="C3229" s="55" t="n"/>
      <c r="D3229" s="55" t="n"/>
      <c r="E3229" s="93" t="n"/>
      <c r="F3229" s="94" t="n"/>
      <c r="G3229" s="94" t="n"/>
      <c r="H3229" s="94" t="n"/>
      <c r="I3229" s="94" t="n"/>
      <c r="J3229" s="55" t="n"/>
      <c r="K3229" s="95" t="n"/>
      <c r="L3229" s="116">
        <f>IF($A3229="","",DATE(YEAR($A3229),MONTH($A3229)+IF(AND(IFERROR(N(INDEX(Übersicht!$M$15:$M$22,MATCH($B3229,Übersicht!$A$15:$A$22,0))),0)&gt;1,DAY($A3229)&gt;=IFERROR(N(INDEX(Übersicht!$M$15:$M$22,MATCH($B3229,Übersicht!$A$15:$A$22,0))),0)),1,0),1))</f>
        <v/>
      </c>
    </row>
    <row r="3230">
      <c r="A3230" s="92" t="n"/>
      <c r="B3230" s="55" t="n"/>
      <c r="C3230" s="55" t="n"/>
      <c r="D3230" s="55" t="n"/>
      <c r="E3230" s="93" t="n"/>
      <c r="F3230" s="94" t="n"/>
      <c r="G3230" s="94" t="n"/>
      <c r="H3230" s="94" t="n"/>
      <c r="I3230" s="94" t="n"/>
      <c r="J3230" s="55" t="n"/>
      <c r="K3230" s="95" t="n"/>
      <c r="L3230" s="116">
        <f>IF($A3230="","",DATE(YEAR($A3230),MONTH($A3230)+IF(AND(IFERROR(N(INDEX(Übersicht!$M$15:$M$22,MATCH($B3230,Übersicht!$A$15:$A$22,0))),0)&gt;1,DAY($A3230)&gt;=IFERROR(N(INDEX(Übersicht!$M$15:$M$22,MATCH($B3230,Übersicht!$A$15:$A$22,0))),0)),1,0),1))</f>
        <v/>
      </c>
    </row>
    <row r="3231">
      <c r="A3231" s="92" t="n"/>
      <c r="B3231" s="55" t="n"/>
      <c r="C3231" s="55" t="n"/>
      <c r="D3231" s="55" t="n"/>
      <c r="E3231" s="93" t="n"/>
      <c r="F3231" s="94" t="n"/>
      <c r="G3231" s="94" t="n"/>
      <c r="H3231" s="94" t="n"/>
      <c r="I3231" s="94" t="n"/>
      <c r="J3231" s="55" t="n"/>
      <c r="K3231" s="95" t="n"/>
      <c r="L3231" s="116">
        <f>IF($A3231="","",DATE(YEAR($A3231),MONTH($A3231)+IF(AND(IFERROR(N(INDEX(Übersicht!$M$15:$M$22,MATCH($B3231,Übersicht!$A$15:$A$22,0))),0)&gt;1,DAY($A3231)&gt;=IFERROR(N(INDEX(Übersicht!$M$15:$M$22,MATCH($B3231,Übersicht!$A$15:$A$22,0))),0)),1,0),1))</f>
        <v/>
      </c>
    </row>
    <row r="3232">
      <c r="A3232" s="92" t="n"/>
      <c r="B3232" s="55" t="n"/>
      <c r="C3232" s="55" t="n"/>
      <c r="D3232" s="55" t="n"/>
      <c r="E3232" s="93" t="n"/>
      <c r="F3232" s="94" t="n"/>
      <c r="G3232" s="94" t="n"/>
      <c r="H3232" s="94" t="n"/>
      <c r="I3232" s="94" t="n"/>
      <c r="J3232" s="55" t="n"/>
      <c r="K3232" s="95" t="n"/>
      <c r="L3232" s="116">
        <f>IF($A3232="","",DATE(YEAR($A3232),MONTH($A3232)+IF(AND(IFERROR(N(INDEX(Übersicht!$M$15:$M$22,MATCH($B3232,Übersicht!$A$15:$A$22,0))),0)&gt;1,DAY($A3232)&gt;=IFERROR(N(INDEX(Übersicht!$M$15:$M$22,MATCH($B3232,Übersicht!$A$15:$A$22,0))),0)),1,0),1))</f>
        <v/>
      </c>
    </row>
    <row r="3233">
      <c r="A3233" s="92" t="n"/>
      <c r="B3233" s="55" t="n"/>
      <c r="C3233" s="55" t="n"/>
      <c r="D3233" s="55" t="n"/>
      <c r="E3233" s="93" t="n"/>
      <c r="F3233" s="94" t="n"/>
      <c r="G3233" s="94" t="n"/>
      <c r="H3233" s="94" t="n"/>
      <c r="I3233" s="94" t="n"/>
      <c r="J3233" s="55" t="n"/>
      <c r="K3233" s="95" t="n"/>
      <c r="L3233" s="116">
        <f>IF($A3233="","",DATE(YEAR($A3233),MONTH($A3233)+IF(AND(IFERROR(N(INDEX(Übersicht!$M$15:$M$22,MATCH($B3233,Übersicht!$A$15:$A$22,0))),0)&gt;1,DAY($A3233)&gt;=IFERROR(N(INDEX(Übersicht!$M$15:$M$22,MATCH($B3233,Übersicht!$A$15:$A$22,0))),0)),1,0),1))</f>
        <v/>
      </c>
    </row>
    <row r="3234">
      <c r="A3234" s="92" t="n"/>
      <c r="B3234" s="55" t="n"/>
      <c r="C3234" s="55" t="n"/>
      <c r="D3234" s="55" t="n"/>
      <c r="E3234" s="93" t="n"/>
      <c r="F3234" s="94" t="n"/>
      <c r="G3234" s="94" t="n"/>
      <c r="H3234" s="94" t="n"/>
      <c r="I3234" s="94" t="n"/>
      <c r="J3234" s="55" t="n"/>
      <c r="K3234" s="95" t="n"/>
      <c r="L3234" s="116">
        <f>IF($A3234="","",DATE(YEAR($A3234),MONTH($A3234)+IF(AND(IFERROR(N(INDEX(Übersicht!$M$15:$M$22,MATCH($B3234,Übersicht!$A$15:$A$22,0))),0)&gt;1,DAY($A3234)&gt;=IFERROR(N(INDEX(Übersicht!$M$15:$M$22,MATCH($B3234,Übersicht!$A$15:$A$22,0))),0)),1,0),1))</f>
        <v/>
      </c>
    </row>
    <row r="3235">
      <c r="A3235" s="92" t="n"/>
      <c r="B3235" s="55" t="n"/>
      <c r="C3235" s="55" t="n"/>
      <c r="D3235" s="55" t="n"/>
      <c r="E3235" s="93" t="n"/>
      <c r="F3235" s="94" t="n"/>
      <c r="G3235" s="94" t="n"/>
      <c r="H3235" s="94" t="n"/>
      <c r="I3235" s="94" t="n"/>
      <c r="J3235" s="55" t="n"/>
      <c r="K3235" s="95" t="n"/>
      <c r="L3235" s="116">
        <f>IF($A3235="","",DATE(YEAR($A3235),MONTH($A3235)+IF(AND(IFERROR(N(INDEX(Übersicht!$M$15:$M$22,MATCH($B3235,Übersicht!$A$15:$A$22,0))),0)&gt;1,DAY($A3235)&gt;=IFERROR(N(INDEX(Übersicht!$M$15:$M$22,MATCH($B3235,Übersicht!$A$15:$A$22,0))),0)),1,0),1))</f>
        <v/>
      </c>
    </row>
    <row r="3236">
      <c r="A3236" s="92" t="n"/>
      <c r="B3236" s="55" t="n"/>
      <c r="C3236" s="55" t="n"/>
      <c r="D3236" s="55" t="n"/>
      <c r="E3236" s="93" t="n"/>
      <c r="F3236" s="94" t="n"/>
      <c r="G3236" s="94" t="n"/>
      <c r="H3236" s="94" t="n"/>
      <c r="I3236" s="94" t="n"/>
      <c r="J3236" s="55" t="n"/>
      <c r="K3236" s="95" t="n"/>
      <c r="L3236" s="116">
        <f>IF($A3236="","",DATE(YEAR($A3236),MONTH($A3236)+IF(AND(IFERROR(N(INDEX(Übersicht!$M$15:$M$22,MATCH($B3236,Übersicht!$A$15:$A$22,0))),0)&gt;1,DAY($A3236)&gt;=IFERROR(N(INDEX(Übersicht!$M$15:$M$22,MATCH($B3236,Übersicht!$A$15:$A$22,0))),0)),1,0),1))</f>
        <v/>
      </c>
    </row>
    <row r="3237">
      <c r="A3237" s="92" t="n"/>
      <c r="B3237" s="55" t="n"/>
      <c r="C3237" s="55" t="n"/>
      <c r="D3237" s="55" t="n"/>
      <c r="E3237" s="93" t="n"/>
      <c r="F3237" s="94" t="n"/>
      <c r="G3237" s="94" t="n"/>
      <c r="H3237" s="94" t="n"/>
      <c r="I3237" s="94" t="n"/>
      <c r="J3237" s="55" t="n"/>
      <c r="K3237" s="95" t="n"/>
      <c r="L3237" s="116">
        <f>IF($A3237="","",DATE(YEAR($A3237),MONTH($A3237)+IF(AND(IFERROR(N(INDEX(Übersicht!$M$15:$M$22,MATCH($B3237,Übersicht!$A$15:$A$22,0))),0)&gt;1,DAY($A3237)&gt;=IFERROR(N(INDEX(Übersicht!$M$15:$M$22,MATCH($B3237,Übersicht!$A$15:$A$22,0))),0)),1,0),1))</f>
        <v/>
      </c>
    </row>
    <row r="3238">
      <c r="A3238" s="92" t="n"/>
      <c r="B3238" s="55" t="n"/>
      <c r="C3238" s="55" t="n"/>
      <c r="D3238" s="55" t="n"/>
      <c r="E3238" s="93" t="n"/>
      <c r="F3238" s="94" t="n"/>
      <c r="G3238" s="94" t="n"/>
      <c r="H3238" s="94" t="n"/>
      <c r="I3238" s="94" t="n"/>
      <c r="J3238" s="55" t="n"/>
      <c r="K3238" s="95" t="n"/>
      <c r="L3238" s="116">
        <f>IF($A3238="","",DATE(YEAR($A3238),MONTH($A3238)+IF(AND(IFERROR(N(INDEX(Übersicht!$M$15:$M$22,MATCH($B3238,Übersicht!$A$15:$A$22,0))),0)&gt;1,DAY($A3238)&gt;=IFERROR(N(INDEX(Übersicht!$M$15:$M$22,MATCH($B3238,Übersicht!$A$15:$A$22,0))),0)),1,0),1))</f>
        <v/>
      </c>
    </row>
    <row r="3239">
      <c r="A3239" s="92" t="n"/>
      <c r="B3239" s="55" t="n"/>
      <c r="C3239" s="55" t="n"/>
      <c r="D3239" s="55" t="n"/>
      <c r="E3239" s="93" t="n"/>
      <c r="F3239" s="94" t="n"/>
      <c r="G3239" s="94" t="n"/>
      <c r="H3239" s="94" t="n"/>
      <c r="I3239" s="94" t="n"/>
      <c r="J3239" s="55" t="n"/>
      <c r="K3239" s="95" t="n"/>
      <c r="L3239" s="116">
        <f>IF($A3239="","",DATE(YEAR($A3239),MONTH($A3239)+IF(AND(IFERROR(N(INDEX(Übersicht!$M$15:$M$22,MATCH($B3239,Übersicht!$A$15:$A$22,0))),0)&gt;1,DAY($A3239)&gt;=IFERROR(N(INDEX(Übersicht!$M$15:$M$22,MATCH($B3239,Übersicht!$A$15:$A$22,0))),0)),1,0),1))</f>
        <v/>
      </c>
    </row>
    <row r="3240">
      <c r="A3240" s="92" t="n"/>
      <c r="B3240" s="55" t="n"/>
      <c r="C3240" s="55" t="n"/>
      <c r="D3240" s="55" t="n"/>
      <c r="E3240" s="93" t="n"/>
      <c r="F3240" s="94" t="n"/>
      <c r="G3240" s="94" t="n"/>
      <c r="H3240" s="94" t="n"/>
      <c r="I3240" s="94" t="n"/>
      <c r="J3240" s="55" t="n"/>
      <c r="K3240" s="95" t="n"/>
      <c r="L3240" s="116">
        <f>IF($A3240="","",DATE(YEAR($A3240),MONTH($A3240)+IF(AND(IFERROR(N(INDEX(Übersicht!$M$15:$M$22,MATCH($B3240,Übersicht!$A$15:$A$22,0))),0)&gt;1,DAY($A3240)&gt;=IFERROR(N(INDEX(Übersicht!$M$15:$M$22,MATCH($B3240,Übersicht!$A$15:$A$22,0))),0)),1,0),1))</f>
        <v/>
      </c>
    </row>
    <row r="3241">
      <c r="A3241" s="92" t="n"/>
      <c r="B3241" s="55" t="n"/>
      <c r="C3241" s="55" t="n"/>
      <c r="D3241" s="55" t="n"/>
      <c r="E3241" s="93" t="n"/>
      <c r="F3241" s="94" t="n"/>
      <c r="G3241" s="94" t="n"/>
      <c r="H3241" s="94" t="n"/>
      <c r="I3241" s="94" t="n"/>
      <c r="J3241" s="55" t="n"/>
      <c r="K3241" s="95" t="n"/>
      <c r="L3241" s="116">
        <f>IF($A3241="","",DATE(YEAR($A3241),MONTH($A3241)+IF(AND(IFERROR(N(INDEX(Übersicht!$M$15:$M$22,MATCH($B3241,Übersicht!$A$15:$A$22,0))),0)&gt;1,DAY($A3241)&gt;=IFERROR(N(INDEX(Übersicht!$M$15:$M$22,MATCH($B3241,Übersicht!$A$15:$A$22,0))),0)),1,0),1))</f>
        <v/>
      </c>
    </row>
    <row r="3242">
      <c r="A3242" s="92" t="n"/>
      <c r="B3242" s="55" t="n"/>
      <c r="C3242" s="55" t="n"/>
      <c r="D3242" s="55" t="n"/>
      <c r="E3242" s="93" t="n"/>
      <c r="F3242" s="94" t="n"/>
      <c r="G3242" s="94" t="n"/>
      <c r="H3242" s="94" t="n"/>
      <c r="I3242" s="94" t="n"/>
      <c r="J3242" s="55" t="n"/>
      <c r="K3242" s="95" t="n"/>
      <c r="L3242" s="116">
        <f>IF($A3242="","",DATE(YEAR($A3242),MONTH($A3242)+IF(AND(IFERROR(N(INDEX(Übersicht!$M$15:$M$22,MATCH($B3242,Übersicht!$A$15:$A$22,0))),0)&gt;1,DAY($A3242)&gt;=IFERROR(N(INDEX(Übersicht!$M$15:$M$22,MATCH($B3242,Übersicht!$A$15:$A$22,0))),0)),1,0),1))</f>
        <v/>
      </c>
    </row>
    <row r="3243">
      <c r="A3243" s="92" t="n"/>
      <c r="B3243" s="55" t="n"/>
      <c r="C3243" s="55" t="n"/>
      <c r="D3243" s="55" t="n"/>
      <c r="E3243" s="93" t="n"/>
      <c r="F3243" s="94" t="n"/>
      <c r="G3243" s="94" t="n"/>
      <c r="H3243" s="94" t="n"/>
      <c r="I3243" s="94" t="n"/>
      <c r="J3243" s="55" t="n"/>
      <c r="K3243" s="95" t="n"/>
      <c r="L3243" s="116">
        <f>IF($A3243="","",DATE(YEAR($A3243),MONTH($A3243)+IF(AND(IFERROR(N(INDEX(Übersicht!$M$15:$M$22,MATCH($B3243,Übersicht!$A$15:$A$22,0))),0)&gt;1,DAY($A3243)&gt;=IFERROR(N(INDEX(Übersicht!$M$15:$M$22,MATCH($B3243,Übersicht!$A$15:$A$22,0))),0)),1,0),1))</f>
        <v/>
      </c>
    </row>
    <row r="3244">
      <c r="A3244" s="92" t="n"/>
      <c r="B3244" s="55" t="n"/>
      <c r="C3244" s="55" t="n"/>
      <c r="D3244" s="55" t="n"/>
      <c r="E3244" s="93" t="n"/>
      <c r="F3244" s="94" t="n"/>
      <c r="G3244" s="94" t="n"/>
      <c r="H3244" s="94" t="n"/>
      <c r="I3244" s="94" t="n"/>
      <c r="J3244" s="55" t="n"/>
      <c r="K3244" s="95" t="n"/>
      <c r="L3244" s="116">
        <f>IF($A3244="","",DATE(YEAR($A3244),MONTH($A3244)+IF(AND(IFERROR(N(INDEX(Übersicht!$M$15:$M$22,MATCH($B3244,Übersicht!$A$15:$A$22,0))),0)&gt;1,DAY($A3244)&gt;=IFERROR(N(INDEX(Übersicht!$M$15:$M$22,MATCH($B3244,Übersicht!$A$15:$A$22,0))),0)),1,0),1))</f>
        <v/>
      </c>
    </row>
    <row r="3245">
      <c r="A3245" s="92" t="n"/>
      <c r="B3245" s="55" t="n"/>
      <c r="C3245" s="55" t="n"/>
      <c r="D3245" s="55" t="n"/>
      <c r="E3245" s="93" t="n"/>
      <c r="F3245" s="94" t="n"/>
      <c r="G3245" s="94" t="n"/>
      <c r="H3245" s="94" t="n"/>
      <c r="I3245" s="94" t="n"/>
      <c r="J3245" s="55" t="n"/>
      <c r="K3245" s="95" t="n"/>
      <c r="L3245" s="116">
        <f>IF($A3245="","",DATE(YEAR($A3245),MONTH($A3245)+IF(AND(IFERROR(N(INDEX(Übersicht!$M$15:$M$22,MATCH($B3245,Übersicht!$A$15:$A$22,0))),0)&gt;1,DAY($A3245)&gt;=IFERROR(N(INDEX(Übersicht!$M$15:$M$22,MATCH($B3245,Übersicht!$A$15:$A$22,0))),0)),1,0),1))</f>
        <v/>
      </c>
    </row>
    <row r="3246">
      <c r="A3246" s="92" t="n"/>
      <c r="B3246" s="55" t="n"/>
      <c r="C3246" s="55" t="n"/>
      <c r="D3246" s="55" t="n"/>
      <c r="E3246" s="93" t="n"/>
      <c r="F3246" s="94" t="n"/>
      <c r="G3246" s="94" t="n"/>
      <c r="H3246" s="94" t="n"/>
      <c r="I3246" s="94" t="n"/>
      <c r="J3246" s="55" t="n"/>
      <c r="K3246" s="95" t="n"/>
      <c r="L3246" s="116">
        <f>IF($A3246="","",DATE(YEAR($A3246),MONTH($A3246)+IF(AND(IFERROR(N(INDEX(Übersicht!$M$15:$M$22,MATCH($B3246,Übersicht!$A$15:$A$22,0))),0)&gt;1,DAY($A3246)&gt;=IFERROR(N(INDEX(Übersicht!$M$15:$M$22,MATCH($B3246,Übersicht!$A$15:$A$22,0))),0)),1,0),1))</f>
        <v/>
      </c>
    </row>
    <row r="3247">
      <c r="A3247" s="92" t="n"/>
      <c r="B3247" s="55" t="n"/>
      <c r="C3247" s="55" t="n"/>
      <c r="D3247" s="55" t="n"/>
      <c r="E3247" s="93" t="n"/>
      <c r="F3247" s="94" t="n"/>
      <c r="G3247" s="94" t="n"/>
      <c r="H3247" s="94" t="n"/>
      <c r="I3247" s="94" t="n"/>
      <c r="J3247" s="55" t="n"/>
      <c r="K3247" s="95" t="n"/>
      <c r="L3247" s="116">
        <f>IF($A3247="","",DATE(YEAR($A3247),MONTH($A3247)+IF(AND(IFERROR(N(INDEX(Übersicht!$M$15:$M$22,MATCH($B3247,Übersicht!$A$15:$A$22,0))),0)&gt;1,DAY($A3247)&gt;=IFERROR(N(INDEX(Übersicht!$M$15:$M$22,MATCH($B3247,Übersicht!$A$15:$A$22,0))),0)),1,0),1))</f>
        <v/>
      </c>
    </row>
    <row r="3248">
      <c r="A3248" s="92" t="n"/>
      <c r="B3248" s="55" t="n"/>
      <c r="C3248" s="55" t="n"/>
      <c r="D3248" s="55" t="n"/>
      <c r="E3248" s="93" t="n"/>
      <c r="F3248" s="94" t="n"/>
      <c r="G3248" s="94" t="n"/>
      <c r="H3248" s="94" t="n"/>
      <c r="I3248" s="94" t="n"/>
      <c r="J3248" s="55" t="n"/>
      <c r="K3248" s="95" t="n"/>
      <c r="L3248" s="116">
        <f>IF($A3248="","",DATE(YEAR($A3248),MONTH($A3248)+IF(AND(IFERROR(N(INDEX(Übersicht!$M$15:$M$22,MATCH($B3248,Übersicht!$A$15:$A$22,0))),0)&gt;1,DAY($A3248)&gt;=IFERROR(N(INDEX(Übersicht!$M$15:$M$22,MATCH($B3248,Übersicht!$A$15:$A$22,0))),0)),1,0),1))</f>
        <v/>
      </c>
    </row>
    <row r="3249">
      <c r="A3249" s="92" t="n"/>
      <c r="B3249" s="55" t="n"/>
      <c r="C3249" s="55" t="n"/>
      <c r="D3249" s="55" t="n"/>
      <c r="E3249" s="93" t="n"/>
      <c r="F3249" s="94" t="n"/>
      <c r="G3249" s="94" t="n"/>
      <c r="H3249" s="94" t="n"/>
      <c r="I3249" s="94" t="n"/>
      <c r="J3249" s="55" t="n"/>
      <c r="K3249" s="95" t="n"/>
      <c r="L3249" s="116">
        <f>IF($A3249="","",DATE(YEAR($A3249),MONTH($A3249)+IF(AND(IFERROR(N(INDEX(Übersicht!$M$15:$M$22,MATCH($B3249,Übersicht!$A$15:$A$22,0))),0)&gt;1,DAY($A3249)&gt;=IFERROR(N(INDEX(Übersicht!$M$15:$M$22,MATCH($B3249,Übersicht!$A$15:$A$22,0))),0)),1,0),1))</f>
        <v/>
      </c>
    </row>
    <row r="3250">
      <c r="A3250" s="92" t="n"/>
      <c r="B3250" s="55" t="n"/>
      <c r="C3250" s="55" t="n"/>
      <c r="D3250" s="55" t="n"/>
      <c r="E3250" s="93" t="n"/>
      <c r="F3250" s="94" t="n"/>
      <c r="G3250" s="94" t="n"/>
      <c r="H3250" s="94" t="n"/>
      <c r="I3250" s="94" t="n"/>
      <c r="J3250" s="55" t="n"/>
      <c r="K3250" s="95" t="n"/>
      <c r="L3250" s="116">
        <f>IF($A3250="","",DATE(YEAR($A3250),MONTH($A3250)+IF(AND(IFERROR(N(INDEX(Übersicht!$M$15:$M$22,MATCH($B3250,Übersicht!$A$15:$A$22,0))),0)&gt;1,DAY($A3250)&gt;=IFERROR(N(INDEX(Übersicht!$M$15:$M$22,MATCH($B3250,Übersicht!$A$15:$A$22,0))),0)),1,0),1))</f>
        <v/>
      </c>
    </row>
    <row r="3251">
      <c r="A3251" s="92" t="n"/>
      <c r="B3251" s="55" t="n"/>
      <c r="C3251" s="55" t="n"/>
      <c r="D3251" s="55" t="n"/>
      <c r="E3251" s="93" t="n"/>
      <c r="F3251" s="94" t="n"/>
      <c r="G3251" s="94" t="n"/>
      <c r="H3251" s="94" t="n"/>
      <c r="I3251" s="94" t="n"/>
      <c r="J3251" s="55" t="n"/>
      <c r="K3251" s="95" t="n"/>
      <c r="L3251" s="116">
        <f>IF($A3251="","",DATE(YEAR($A3251),MONTH($A3251)+IF(AND(IFERROR(N(INDEX(Übersicht!$M$15:$M$22,MATCH($B3251,Übersicht!$A$15:$A$22,0))),0)&gt;1,DAY($A3251)&gt;=IFERROR(N(INDEX(Übersicht!$M$15:$M$22,MATCH($B3251,Übersicht!$A$15:$A$22,0))),0)),1,0),1))</f>
        <v/>
      </c>
    </row>
    <row r="3252">
      <c r="A3252" s="92" t="n"/>
      <c r="B3252" s="55" t="n"/>
      <c r="C3252" s="55" t="n"/>
      <c r="D3252" s="55" t="n"/>
      <c r="E3252" s="93" t="n"/>
      <c r="F3252" s="94" t="n"/>
      <c r="G3252" s="94" t="n"/>
      <c r="H3252" s="94" t="n"/>
      <c r="I3252" s="94" t="n"/>
      <c r="J3252" s="55" t="n"/>
      <c r="K3252" s="95" t="n"/>
      <c r="L3252" s="116">
        <f>IF($A3252="","",DATE(YEAR($A3252),MONTH($A3252)+IF(AND(IFERROR(N(INDEX(Übersicht!$M$15:$M$22,MATCH($B3252,Übersicht!$A$15:$A$22,0))),0)&gt;1,DAY($A3252)&gt;=IFERROR(N(INDEX(Übersicht!$M$15:$M$22,MATCH($B3252,Übersicht!$A$15:$A$22,0))),0)),1,0),1))</f>
        <v/>
      </c>
    </row>
    <row r="3253">
      <c r="A3253" s="92" t="n"/>
      <c r="B3253" s="55" t="n"/>
      <c r="C3253" s="55" t="n"/>
      <c r="D3253" s="55" t="n"/>
      <c r="E3253" s="93" t="n"/>
      <c r="F3253" s="94" t="n"/>
      <c r="G3253" s="94" t="n"/>
      <c r="H3253" s="94" t="n"/>
      <c r="I3253" s="94" t="n"/>
      <c r="J3253" s="55" t="n"/>
      <c r="K3253" s="95" t="n"/>
      <c r="L3253" s="116">
        <f>IF($A3253="","",DATE(YEAR($A3253),MONTH($A3253)+IF(AND(IFERROR(N(INDEX(Übersicht!$M$15:$M$22,MATCH($B3253,Übersicht!$A$15:$A$22,0))),0)&gt;1,DAY($A3253)&gt;=IFERROR(N(INDEX(Übersicht!$M$15:$M$22,MATCH($B3253,Übersicht!$A$15:$A$22,0))),0)),1,0),1))</f>
        <v/>
      </c>
    </row>
    <row r="3254">
      <c r="A3254" s="92" t="n"/>
      <c r="B3254" s="55" t="n"/>
      <c r="C3254" s="55" t="n"/>
      <c r="D3254" s="55" t="n"/>
      <c r="E3254" s="93" t="n"/>
      <c r="F3254" s="94" t="n"/>
      <c r="G3254" s="94" t="n"/>
      <c r="H3254" s="94" t="n"/>
      <c r="I3254" s="94" t="n"/>
      <c r="J3254" s="55" t="n"/>
      <c r="K3254" s="95" t="n"/>
      <c r="L3254" s="116">
        <f>IF($A3254="","",DATE(YEAR($A3254),MONTH($A3254)+IF(AND(IFERROR(N(INDEX(Übersicht!$M$15:$M$22,MATCH($B3254,Übersicht!$A$15:$A$22,0))),0)&gt;1,DAY($A3254)&gt;=IFERROR(N(INDEX(Übersicht!$M$15:$M$22,MATCH($B3254,Übersicht!$A$15:$A$22,0))),0)),1,0),1))</f>
        <v/>
      </c>
    </row>
    <row r="3255">
      <c r="A3255" s="92" t="n"/>
      <c r="B3255" s="55" t="n"/>
      <c r="C3255" s="55" t="n"/>
      <c r="D3255" s="55" t="n"/>
      <c r="E3255" s="93" t="n"/>
      <c r="F3255" s="94" t="n"/>
      <c r="G3255" s="94" t="n"/>
      <c r="H3255" s="94" t="n"/>
      <c r="I3255" s="94" t="n"/>
      <c r="J3255" s="55" t="n"/>
      <c r="K3255" s="95" t="n"/>
      <c r="L3255" s="116">
        <f>IF($A3255="","",DATE(YEAR($A3255),MONTH($A3255)+IF(AND(IFERROR(N(INDEX(Übersicht!$M$15:$M$22,MATCH($B3255,Übersicht!$A$15:$A$22,0))),0)&gt;1,DAY($A3255)&gt;=IFERROR(N(INDEX(Übersicht!$M$15:$M$22,MATCH($B3255,Übersicht!$A$15:$A$22,0))),0)),1,0),1))</f>
        <v/>
      </c>
    </row>
    <row r="3256">
      <c r="A3256" s="92" t="n"/>
      <c r="B3256" s="55" t="n"/>
      <c r="C3256" s="55" t="n"/>
      <c r="D3256" s="55" t="n"/>
      <c r="E3256" s="93" t="n"/>
      <c r="F3256" s="94" t="n"/>
      <c r="G3256" s="94" t="n"/>
      <c r="H3256" s="94" t="n"/>
      <c r="I3256" s="94" t="n"/>
      <c r="J3256" s="55" t="n"/>
      <c r="K3256" s="95" t="n"/>
      <c r="L3256" s="116">
        <f>IF($A3256="","",DATE(YEAR($A3256),MONTH($A3256)+IF(AND(IFERROR(N(INDEX(Übersicht!$M$15:$M$22,MATCH($B3256,Übersicht!$A$15:$A$22,0))),0)&gt;1,DAY($A3256)&gt;=IFERROR(N(INDEX(Übersicht!$M$15:$M$22,MATCH($B3256,Übersicht!$A$15:$A$22,0))),0)),1,0),1))</f>
        <v/>
      </c>
    </row>
    <row r="3257">
      <c r="A3257" s="92" t="n"/>
      <c r="B3257" s="55" t="n"/>
      <c r="C3257" s="55" t="n"/>
      <c r="D3257" s="55" t="n"/>
      <c r="E3257" s="93" t="n"/>
      <c r="F3257" s="94" t="n"/>
      <c r="G3257" s="94" t="n"/>
      <c r="H3257" s="94" t="n"/>
      <c r="I3257" s="94" t="n"/>
      <c r="J3257" s="55" t="n"/>
      <c r="K3257" s="95" t="n"/>
      <c r="L3257" s="116">
        <f>IF($A3257="","",DATE(YEAR($A3257),MONTH($A3257)+IF(AND(IFERROR(N(INDEX(Übersicht!$M$15:$M$22,MATCH($B3257,Übersicht!$A$15:$A$22,0))),0)&gt;1,DAY($A3257)&gt;=IFERROR(N(INDEX(Übersicht!$M$15:$M$22,MATCH($B3257,Übersicht!$A$15:$A$22,0))),0)),1,0),1))</f>
        <v/>
      </c>
    </row>
    <row r="3258">
      <c r="A3258" s="92" t="n"/>
      <c r="B3258" s="55" t="n"/>
      <c r="C3258" s="55" t="n"/>
      <c r="D3258" s="55" t="n"/>
      <c r="E3258" s="93" t="n"/>
      <c r="F3258" s="94" t="n"/>
      <c r="G3258" s="94" t="n"/>
      <c r="H3258" s="94" t="n"/>
      <c r="I3258" s="94" t="n"/>
      <c r="J3258" s="55" t="n"/>
      <c r="K3258" s="95" t="n"/>
      <c r="L3258" s="116">
        <f>IF($A3258="","",DATE(YEAR($A3258),MONTH($A3258)+IF(AND(IFERROR(N(INDEX(Übersicht!$M$15:$M$22,MATCH($B3258,Übersicht!$A$15:$A$22,0))),0)&gt;1,DAY($A3258)&gt;=IFERROR(N(INDEX(Übersicht!$M$15:$M$22,MATCH($B3258,Übersicht!$A$15:$A$22,0))),0)),1,0),1))</f>
        <v/>
      </c>
    </row>
    <row r="3259">
      <c r="A3259" s="92" t="n"/>
      <c r="B3259" s="55" t="n"/>
      <c r="C3259" s="55" t="n"/>
      <c r="D3259" s="55" t="n"/>
      <c r="E3259" s="93" t="n"/>
      <c r="F3259" s="94" t="n"/>
      <c r="G3259" s="94" t="n"/>
      <c r="H3259" s="94" t="n"/>
      <c r="I3259" s="94" t="n"/>
      <c r="J3259" s="55" t="n"/>
      <c r="K3259" s="95" t="n"/>
      <c r="L3259" s="116">
        <f>IF($A3259="","",DATE(YEAR($A3259),MONTH($A3259)+IF(AND(IFERROR(N(INDEX(Übersicht!$M$15:$M$22,MATCH($B3259,Übersicht!$A$15:$A$22,0))),0)&gt;1,DAY($A3259)&gt;=IFERROR(N(INDEX(Übersicht!$M$15:$M$22,MATCH($B3259,Übersicht!$A$15:$A$22,0))),0)),1,0),1))</f>
        <v/>
      </c>
    </row>
    <row r="3260">
      <c r="A3260" s="92" t="n"/>
      <c r="B3260" s="55" t="n"/>
      <c r="C3260" s="55" t="n"/>
      <c r="D3260" s="55" t="n"/>
      <c r="E3260" s="93" t="n"/>
      <c r="F3260" s="94" t="n"/>
      <c r="G3260" s="94" t="n"/>
      <c r="H3260" s="94" t="n"/>
      <c r="I3260" s="94" t="n"/>
      <c r="J3260" s="55" t="n"/>
      <c r="K3260" s="95" t="n"/>
      <c r="L3260" s="116">
        <f>IF($A3260="","",DATE(YEAR($A3260),MONTH($A3260)+IF(AND(IFERROR(N(INDEX(Übersicht!$M$15:$M$22,MATCH($B3260,Übersicht!$A$15:$A$22,0))),0)&gt;1,DAY($A3260)&gt;=IFERROR(N(INDEX(Übersicht!$M$15:$M$22,MATCH($B3260,Übersicht!$A$15:$A$22,0))),0)),1,0),1))</f>
        <v/>
      </c>
    </row>
    <row r="3261">
      <c r="A3261" s="92" t="n"/>
      <c r="B3261" s="55" t="n"/>
      <c r="C3261" s="55" t="n"/>
      <c r="D3261" s="55" t="n"/>
      <c r="E3261" s="93" t="n"/>
      <c r="F3261" s="94" t="n"/>
      <c r="G3261" s="94" t="n"/>
      <c r="H3261" s="94" t="n"/>
      <c r="I3261" s="94" t="n"/>
      <c r="J3261" s="55" t="n"/>
      <c r="K3261" s="95" t="n"/>
      <c r="L3261" s="116">
        <f>IF($A3261="","",DATE(YEAR($A3261),MONTH($A3261)+IF(AND(IFERROR(N(INDEX(Übersicht!$M$15:$M$22,MATCH($B3261,Übersicht!$A$15:$A$22,0))),0)&gt;1,DAY($A3261)&gt;=IFERROR(N(INDEX(Übersicht!$M$15:$M$22,MATCH($B3261,Übersicht!$A$15:$A$22,0))),0)),1,0),1))</f>
        <v/>
      </c>
    </row>
    <row r="3262">
      <c r="A3262" s="92" t="n"/>
      <c r="B3262" s="55" t="n"/>
      <c r="C3262" s="55" t="n"/>
      <c r="D3262" s="55" t="n"/>
      <c r="E3262" s="93" t="n"/>
      <c r="F3262" s="94" t="n"/>
      <c r="G3262" s="94" t="n"/>
      <c r="H3262" s="94" t="n"/>
      <c r="I3262" s="94" t="n"/>
      <c r="J3262" s="55" t="n"/>
      <c r="K3262" s="95" t="n"/>
      <c r="L3262" s="116">
        <f>IF($A3262="","",DATE(YEAR($A3262),MONTH($A3262)+IF(AND(IFERROR(N(INDEX(Übersicht!$M$15:$M$22,MATCH($B3262,Übersicht!$A$15:$A$22,0))),0)&gt;1,DAY($A3262)&gt;=IFERROR(N(INDEX(Übersicht!$M$15:$M$22,MATCH($B3262,Übersicht!$A$15:$A$22,0))),0)),1,0),1))</f>
        <v/>
      </c>
    </row>
    <row r="3263">
      <c r="A3263" s="92" t="n"/>
      <c r="B3263" s="55" t="n"/>
      <c r="C3263" s="55" t="n"/>
      <c r="D3263" s="55" t="n"/>
      <c r="E3263" s="93" t="n"/>
      <c r="F3263" s="94" t="n"/>
      <c r="G3263" s="94" t="n"/>
      <c r="H3263" s="94" t="n"/>
      <c r="I3263" s="94" t="n"/>
      <c r="J3263" s="55" t="n"/>
      <c r="K3263" s="95" t="n"/>
      <c r="L3263" s="116">
        <f>IF($A3263="","",DATE(YEAR($A3263),MONTH($A3263)+IF(AND(IFERROR(N(INDEX(Übersicht!$M$15:$M$22,MATCH($B3263,Übersicht!$A$15:$A$22,0))),0)&gt;1,DAY($A3263)&gt;=IFERROR(N(INDEX(Übersicht!$M$15:$M$22,MATCH($B3263,Übersicht!$A$15:$A$22,0))),0)),1,0),1))</f>
        <v/>
      </c>
    </row>
    <row r="3264">
      <c r="A3264" s="92" t="n"/>
      <c r="B3264" s="55" t="n"/>
      <c r="C3264" s="55" t="n"/>
      <c r="D3264" s="55" t="n"/>
      <c r="E3264" s="93" t="n"/>
      <c r="F3264" s="94" t="n"/>
      <c r="G3264" s="94" t="n"/>
      <c r="H3264" s="94" t="n"/>
      <c r="I3264" s="94" t="n"/>
      <c r="J3264" s="55" t="n"/>
      <c r="K3264" s="95" t="n"/>
      <c r="L3264" s="116">
        <f>IF($A3264="","",DATE(YEAR($A3264),MONTH($A3264)+IF(AND(IFERROR(N(INDEX(Übersicht!$M$15:$M$22,MATCH($B3264,Übersicht!$A$15:$A$22,0))),0)&gt;1,DAY($A3264)&gt;=IFERROR(N(INDEX(Übersicht!$M$15:$M$22,MATCH($B3264,Übersicht!$A$15:$A$22,0))),0)),1,0),1))</f>
        <v/>
      </c>
    </row>
    <row r="3265">
      <c r="A3265" s="92" t="n"/>
      <c r="B3265" s="55" t="n"/>
      <c r="C3265" s="55" t="n"/>
      <c r="D3265" s="55" t="n"/>
      <c r="E3265" s="93" t="n"/>
      <c r="F3265" s="94" t="n"/>
      <c r="G3265" s="94" t="n"/>
      <c r="H3265" s="94" t="n"/>
      <c r="I3265" s="94" t="n"/>
      <c r="J3265" s="55" t="n"/>
      <c r="K3265" s="95" t="n"/>
      <c r="L3265" s="116">
        <f>IF($A3265="","",DATE(YEAR($A3265),MONTH($A3265)+IF(AND(IFERROR(N(INDEX(Übersicht!$M$15:$M$22,MATCH($B3265,Übersicht!$A$15:$A$22,0))),0)&gt;1,DAY($A3265)&gt;=IFERROR(N(INDEX(Übersicht!$M$15:$M$22,MATCH($B3265,Übersicht!$A$15:$A$22,0))),0)),1,0),1))</f>
        <v/>
      </c>
    </row>
    <row r="3266">
      <c r="A3266" s="92" t="n"/>
      <c r="B3266" s="55" t="n"/>
      <c r="C3266" s="55" t="n"/>
      <c r="D3266" s="55" t="n"/>
      <c r="E3266" s="93" t="n"/>
      <c r="F3266" s="94" t="n"/>
      <c r="G3266" s="94" t="n"/>
      <c r="H3266" s="94" t="n"/>
      <c r="I3266" s="94" t="n"/>
      <c r="J3266" s="55" t="n"/>
      <c r="K3266" s="95" t="n"/>
      <c r="L3266" s="116">
        <f>IF($A3266="","",DATE(YEAR($A3266),MONTH($A3266)+IF(AND(IFERROR(N(INDEX(Übersicht!$M$15:$M$22,MATCH($B3266,Übersicht!$A$15:$A$22,0))),0)&gt;1,DAY($A3266)&gt;=IFERROR(N(INDEX(Übersicht!$M$15:$M$22,MATCH($B3266,Übersicht!$A$15:$A$22,0))),0)),1,0),1))</f>
        <v/>
      </c>
    </row>
    <row r="3267">
      <c r="A3267" s="92" t="n"/>
      <c r="B3267" s="55" t="n"/>
      <c r="C3267" s="55" t="n"/>
      <c r="D3267" s="55" t="n"/>
      <c r="E3267" s="93" t="n"/>
      <c r="F3267" s="94" t="n"/>
      <c r="G3267" s="94" t="n"/>
      <c r="H3267" s="94" t="n"/>
      <c r="I3267" s="94" t="n"/>
      <c r="J3267" s="55" t="n"/>
      <c r="K3267" s="95" t="n"/>
      <c r="L3267" s="116">
        <f>IF($A3267="","",DATE(YEAR($A3267),MONTH($A3267)+IF(AND(IFERROR(N(INDEX(Übersicht!$M$15:$M$22,MATCH($B3267,Übersicht!$A$15:$A$22,0))),0)&gt;1,DAY($A3267)&gt;=IFERROR(N(INDEX(Übersicht!$M$15:$M$22,MATCH($B3267,Übersicht!$A$15:$A$22,0))),0)),1,0),1))</f>
        <v/>
      </c>
    </row>
    <row r="3268">
      <c r="A3268" s="92" t="n"/>
      <c r="B3268" s="55" t="n"/>
      <c r="C3268" s="55" t="n"/>
      <c r="D3268" s="55" t="n"/>
      <c r="E3268" s="93" t="n"/>
      <c r="F3268" s="94" t="n"/>
      <c r="G3268" s="94" t="n"/>
      <c r="H3268" s="94" t="n"/>
      <c r="I3268" s="94" t="n"/>
      <c r="J3268" s="55" t="n"/>
      <c r="K3268" s="95" t="n"/>
      <c r="L3268" s="116">
        <f>IF($A3268="","",DATE(YEAR($A3268),MONTH($A3268)+IF(AND(IFERROR(N(INDEX(Übersicht!$M$15:$M$22,MATCH($B3268,Übersicht!$A$15:$A$22,0))),0)&gt;1,DAY($A3268)&gt;=IFERROR(N(INDEX(Übersicht!$M$15:$M$22,MATCH($B3268,Übersicht!$A$15:$A$22,0))),0)),1,0),1))</f>
        <v/>
      </c>
    </row>
    <row r="3269">
      <c r="A3269" s="92" t="n"/>
      <c r="B3269" s="55" t="n"/>
      <c r="C3269" s="55" t="n"/>
      <c r="D3269" s="55" t="n"/>
      <c r="E3269" s="93" t="n"/>
      <c r="F3269" s="94" t="n"/>
      <c r="G3269" s="94" t="n"/>
      <c r="H3269" s="94" t="n"/>
      <c r="I3269" s="94" t="n"/>
      <c r="J3269" s="55" t="n"/>
      <c r="K3269" s="95" t="n"/>
      <c r="L3269" s="116">
        <f>IF($A3269="","",DATE(YEAR($A3269),MONTH($A3269)+IF(AND(IFERROR(N(INDEX(Übersicht!$M$15:$M$22,MATCH($B3269,Übersicht!$A$15:$A$22,0))),0)&gt;1,DAY($A3269)&gt;=IFERROR(N(INDEX(Übersicht!$M$15:$M$22,MATCH($B3269,Übersicht!$A$15:$A$22,0))),0)),1,0),1))</f>
        <v/>
      </c>
    </row>
    <row r="3270">
      <c r="A3270" s="92" t="n"/>
      <c r="B3270" s="55" t="n"/>
      <c r="C3270" s="55" t="n"/>
      <c r="D3270" s="55" t="n"/>
      <c r="E3270" s="93" t="n"/>
      <c r="F3270" s="94" t="n"/>
      <c r="G3270" s="94" t="n"/>
      <c r="H3270" s="94" t="n"/>
      <c r="I3270" s="94" t="n"/>
      <c r="J3270" s="55" t="n"/>
      <c r="K3270" s="95" t="n"/>
      <c r="L3270" s="116">
        <f>IF($A3270="","",DATE(YEAR($A3270),MONTH($A3270)+IF(AND(IFERROR(N(INDEX(Übersicht!$M$15:$M$22,MATCH($B3270,Übersicht!$A$15:$A$22,0))),0)&gt;1,DAY($A3270)&gt;=IFERROR(N(INDEX(Übersicht!$M$15:$M$22,MATCH($B3270,Übersicht!$A$15:$A$22,0))),0)),1,0),1))</f>
        <v/>
      </c>
    </row>
    <row r="3271">
      <c r="A3271" s="92" t="n"/>
      <c r="B3271" s="55" t="n"/>
      <c r="C3271" s="55" t="n"/>
      <c r="D3271" s="55" t="n"/>
      <c r="E3271" s="93" t="n"/>
      <c r="F3271" s="94" t="n"/>
      <c r="G3271" s="94" t="n"/>
      <c r="H3271" s="94" t="n"/>
      <c r="I3271" s="94" t="n"/>
      <c r="J3271" s="55" t="n"/>
      <c r="K3271" s="95" t="n"/>
      <c r="L3271" s="116">
        <f>IF($A3271="","",DATE(YEAR($A3271),MONTH($A3271)+IF(AND(IFERROR(N(INDEX(Übersicht!$M$15:$M$22,MATCH($B3271,Übersicht!$A$15:$A$22,0))),0)&gt;1,DAY($A3271)&gt;=IFERROR(N(INDEX(Übersicht!$M$15:$M$22,MATCH($B3271,Übersicht!$A$15:$A$22,0))),0)),1,0),1))</f>
        <v/>
      </c>
    </row>
    <row r="3272">
      <c r="A3272" s="92" t="n"/>
      <c r="B3272" s="55" t="n"/>
      <c r="C3272" s="55" t="n"/>
      <c r="D3272" s="55" t="n"/>
      <c r="E3272" s="93" t="n"/>
      <c r="F3272" s="94" t="n"/>
      <c r="G3272" s="94" t="n"/>
      <c r="H3272" s="94" t="n"/>
      <c r="I3272" s="94" t="n"/>
      <c r="J3272" s="55" t="n"/>
      <c r="K3272" s="95" t="n"/>
      <c r="L3272" s="116">
        <f>IF($A3272="","",DATE(YEAR($A3272),MONTH($A3272)+IF(AND(IFERROR(N(INDEX(Übersicht!$M$15:$M$22,MATCH($B3272,Übersicht!$A$15:$A$22,0))),0)&gt;1,DAY($A3272)&gt;=IFERROR(N(INDEX(Übersicht!$M$15:$M$22,MATCH($B3272,Übersicht!$A$15:$A$22,0))),0)),1,0),1))</f>
        <v/>
      </c>
    </row>
    <row r="3273">
      <c r="A3273" s="92" t="n"/>
      <c r="B3273" s="55" t="n"/>
      <c r="C3273" s="55" t="n"/>
      <c r="D3273" s="55" t="n"/>
      <c r="E3273" s="93" t="n"/>
      <c r="F3273" s="94" t="n"/>
      <c r="G3273" s="94" t="n"/>
      <c r="H3273" s="94" t="n"/>
      <c r="I3273" s="94" t="n"/>
      <c r="J3273" s="55" t="n"/>
      <c r="K3273" s="95" t="n"/>
      <c r="L3273" s="116">
        <f>IF($A3273="","",DATE(YEAR($A3273),MONTH($A3273)+IF(AND(IFERROR(N(INDEX(Übersicht!$M$15:$M$22,MATCH($B3273,Übersicht!$A$15:$A$22,0))),0)&gt;1,DAY($A3273)&gt;=IFERROR(N(INDEX(Übersicht!$M$15:$M$22,MATCH($B3273,Übersicht!$A$15:$A$22,0))),0)),1,0),1))</f>
        <v/>
      </c>
    </row>
    <row r="3274">
      <c r="A3274" s="92" t="n"/>
      <c r="B3274" s="55" t="n"/>
      <c r="C3274" s="55" t="n"/>
      <c r="D3274" s="55" t="n"/>
      <c r="E3274" s="93" t="n"/>
      <c r="F3274" s="94" t="n"/>
      <c r="G3274" s="94" t="n"/>
      <c r="H3274" s="94" t="n"/>
      <c r="I3274" s="94" t="n"/>
      <c r="J3274" s="55" t="n"/>
      <c r="K3274" s="95" t="n"/>
      <c r="L3274" s="116">
        <f>IF($A3274="","",DATE(YEAR($A3274),MONTH($A3274)+IF(AND(IFERROR(N(INDEX(Übersicht!$M$15:$M$22,MATCH($B3274,Übersicht!$A$15:$A$22,0))),0)&gt;1,DAY($A3274)&gt;=IFERROR(N(INDEX(Übersicht!$M$15:$M$22,MATCH($B3274,Übersicht!$A$15:$A$22,0))),0)),1,0),1))</f>
        <v/>
      </c>
    </row>
    <row r="3275">
      <c r="A3275" s="92" t="n"/>
      <c r="B3275" s="55" t="n"/>
      <c r="C3275" s="55" t="n"/>
      <c r="D3275" s="55" t="n"/>
      <c r="E3275" s="93" t="n"/>
      <c r="F3275" s="94" t="n"/>
      <c r="G3275" s="94" t="n"/>
      <c r="H3275" s="94" t="n"/>
      <c r="I3275" s="94" t="n"/>
      <c r="J3275" s="55" t="n"/>
      <c r="K3275" s="95" t="n"/>
      <c r="L3275" s="116">
        <f>IF($A3275="","",DATE(YEAR($A3275),MONTH($A3275)+IF(AND(IFERROR(N(INDEX(Übersicht!$M$15:$M$22,MATCH($B3275,Übersicht!$A$15:$A$22,0))),0)&gt;1,DAY($A3275)&gt;=IFERROR(N(INDEX(Übersicht!$M$15:$M$22,MATCH($B3275,Übersicht!$A$15:$A$22,0))),0)),1,0),1))</f>
        <v/>
      </c>
    </row>
    <row r="3276">
      <c r="A3276" s="92" t="n"/>
      <c r="B3276" s="55" t="n"/>
      <c r="C3276" s="55" t="n"/>
      <c r="D3276" s="55" t="n"/>
      <c r="E3276" s="93" t="n"/>
      <c r="F3276" s="94" t="n"/>
      <c r="G3276" s="94" t="n"/>
      <c r="H3276" s="94" t="n"/>
      <c r="I3276" s="94" t="n"/>
      <c r="J3276" s="55" t="n"/>
      <c r="K3276" s="95" t="n"/>
      <c r="L3276" s="116">
        <f>IF($A3276="","",DATE(YEAR($A3276),MONTH($A3276)+IF(AND(IFERROR(N(INDEX(Übersicht!$M$15:$M$22,MATCH($B3276,Übersicht!$A$15:$A$22,0))),0)&gt;1,DAY($A3276)&gt;=IFERROR(N(INDEX(Übersicht!$M$15:$M$22,MATCH($B3276,Übersicht!$A$15:$A$22,0))),0)),1,0),1))</f>
        <v/>
      </c>
    </row>
    <row r="3277">
      <c r="A3277" s="92" t="n"/>
      <c r="B3277" s="55" t="n"/>
      <c r="C3277" s="55" t="n"/>
      <c r="D3277" s="55" t="n"/>
      <c r="E3277" s="93" t="n"/>
      <c r="F3277" s="94" t="n"/>
      <c r="G3277" s="94" t="n"/>
      <c r="H3277" s="94" t="n"/>
      <c r="I3277" s="94" t="n"/>
      <c r="J3277" s="55" t="n"/>
      <c r="K3277" s="95" t="n"/>
      <c r="L3277" s="116">
        <f>IF($A3277="","",DATE(YEAR($A3277),MONTH($A3277)+IF(AND(IFERROR(N(INDEX(Übersicht!$M$15:$M$22,MATCH($B3277,Übersicht!$A$15:$A$22,0))),0)&gt;1,DAY($A3277)&gt;=IFERROR(N(INDEX(Übersicht!$M$15:$M$22,MATCH($B3277,Übersicht!$A$15:$A$22,0))),0)),1,0),1))</f>
        <v/>
      </c>
    </row>
    <row r="3278">
      <c r="A3278" s="92" t="n"/>
      <c r="B3278" s="55" t="n"/>
      <c r="C3278" s="55" t="n"/>
      <c r="D3278" s="55" t="n"/>
      <c r="E3278" s="93" t="n"/>
      <c r="F3278" s="94" t="n"/>
      <c r="G3278" s="94" t="n"/>
      <c r="H3278" s="94" t="n"/>
      <c r="I3278" s="94" t="n"/>
      <c r="J3278" s="55" t="n"/>
      <c r="K3278" s="95" t="n"/>
      <c r="L3278" s="116">
        <f>IF($A3278="","",DATE(YEAR($A3278),MONTH($A3278)+IF(AND(IFERROR(N(INDEX(Übersicht!$M$15:$M$22,MATCH($B3278,Übersicht!$A$15:$A$22,0))),0)&gt;1,DAY($A3278)&gt;=IFERROR(N(INDEX(Übersicht!$M$15:$M$22,MATCH($B3278,Übersicht!$A$15:$A$22,0))),0)),1,0),1))</f>
        <v/>
      </c>
    </row>
    <row r="3279">
      <c r="A3279" s="92" t="n"/>
      <c r="B3279" s="55" t="n"/>
      <c r="C3279" s="55" t="n"/>
      <c r="D3279" s="55" t="n"/>
      <c r="E3279" s="93" t="n"/>
      <c r="F3279" s="94" t="n"/>
      <c r="G3279" s="94" t="n"/>
      <c r="H3279" s="94" t="n"/>
      <c r="I3279" s="94" t="n"/>
      <c r="J3279" s="55" t="n"/>
      <c r="K3279" s="95" t="n"/>
      <c r="L3279" s="116">
        <f>IF($A3279="","",DATE(YEAR($A3279),MONTH($A3279)+IF(AND(IFERROR(N(INDEX(Übersicht!$M$15:$M$22,MATCH($B3279,Übersicht!$A$15:$A$22,0))),0)&gt;1,DAY($A3279)&gt;=IFERROR(N(INDEX(Übersicht!$M$15:$M$22,MATCH($B3279,Übersicht!$A$15:$A$22,0))),0)),1,0),1))</f>
        <v/>
      </c>
    </row>
    <row r="3280">
      <c r="A3280" s="92" t="n"/>
      <c r="B3280" s="55" t="n"/>
      <c r="C3280" s="55" t="n"/>
      <c r="D3280" s="55" t="n"/>
      <c r="E3280" s="93" t="n"/>
      <c r="F3280" s="94" t="n"/>
      <c r="G3280" s="94" t="n"/>
      <c r="H3280" s="94" t="n"/>
      <c r="I3280" s="94" t="n"/>
      <c r="J3280" s="55" t="n"/>
      <c r="K3280" s="95" t="n"/>
      <c r="L3280" s="116">
        <f>IF($A3280="","",DATE(YEAR($A3280),MONTH($A3280)+IF(AND(IFERROR(N(INDEX(Übersicht!$M$15:$M$22,MATCH($B3280,Übersicht!$A$15:$A$22,0))),0)&gt;1,DAY($A3280)&gt;=IFERROR(N(INDEX(Übersicht!$M$15:$M$22,MATCH($B3280,Übersicht!$A$15:$A$22,0))),0)),1,0),1))</f>
        <v/>
      </c>
    </row>
    <row r="3281">
      <c r="A3281" s="92" t="n"/>
      <c r="B3281" s="55" t="n"/>
      <c r="C3281" s="55" t="n"/>
      <c r="D3281" s="55" t="n"/>
      <c r="E3281" s="93" t="n"/>
      <c r="F3281" s="94" t="n"/>
      <c r="G3281" s="94" t="n"/>
      <c r="H3281" s="94" t="n"/>
      <c r="I3281" s="94" t="n"/>
      <c r="J3281" s="55" t="n"/>
      <c r="K3281" s="95" t="n"/>
      <c r="L3281" s="116">
        <f>IF($A3281="","",DATE(YEAR($A3281),MONTH($A3281)+IF(AND(IFERROR(N(INDEX(Übersicht!$M$15:$M$22,MATCH($B3281,Übersicht!$A$15:$A$22,0))),0)&gt;1,DAY($A3281)&gt;=IFERROR(N(INDEX(Übersicht!$M$15:$M$22,MATCH($B3281,Übersicht!$A$15:$A$22,0))),0)),1,0),1))</f>
        <v/>
      </c>
    </row>
    <row r="3282">
      <c r="A3282" s="92" t="n"/>
      <c r="B3282" s="55" t="n"/>
      <c r="C3282" s="55" t="n"/>
      <c r="D3282" s="55" t="n"/>
      <c r="E3282" s="93" t="n"/>
      <c r="F3282" s="94" t="n"/>
      <c r="G3282" s="94" t="n"/>
      <c r="H3282" s="94" t="n"/>
      <c r="I3282" s="94" t="n"/>
      <c r="J3282" s="55" t="n"/>
      <c r="K3282" s="95" t="n"/>
      <c r="L3282" s="116">
        <f>IF($A3282="","",DATE(YEAR($A3282),MONTH($A3282)+IF(AND(IFERROR(N(INDEX(Übersicht!$M$15:$M$22,MATCH($B3282,Übersicht!$A$15:$A$22,0))),0)&gt;1,DAY($A3282)&gt;=IFERROR(N(INDEX(Übersicht!$M$15:$M$22,MATCH($B3282,Übersicht!$A$15:$A$22,0))),0)),1,0),1))</f>
        <v/>
      </c>
    </row>
    <row r="3283">
      <c r="A3283" s="92" t="n"/>
      <c r="B3283" s="55" t="n"/>
      <c r="C3283" s="55" t="n"/>
      <c r="D3283" s="55" t="n"/>
      <c r="E3283" s="93" t="n"/>
      <c r="F3283" s="94" t="n"/>
      <c r="G3283" s="94" t="n"/>
      <c r="H3283" s="94" t="n"/>
      <c r="I3283" s="94" t="n"/>
      <c r="J3283" s="55" t="n"/>
      <c r="K3283" s="95" t="n"/>
      <c r="L3283" s="116">
        <f>IF($A3283="","",DATE(YEAR($A3283),MONTH($A3283)+IF(AND(IFERROR(N(INDEX(Übersicht!$M$15:$M$22,MATCH($B3283,Übersicht!$A$15:$A$22,0))),0)&gt;1,DAY($A3283)&gt;=IFERROR(N(INDEX(Übersicht!$M$15:$M$22,MATCH($B3283,Übersicht!$A$15:$A$22,0))),0)),1,0),1))</f>
        <v/>
      </c>
    </row>
    <row r="3284">
      <c r="A3284" s="92" t="n"/>
      <c r="B3284" s="55" t="n"/>
      <c r="C3284" s="55" t="n"/>
      <c r="D3284" s="55" t="n"/>
      <c r="E3284" s="93" t="n"/>
      <c r="F3284" s="94" t="n"/>
      <c r="G3284" s="94" t="n"/>
      <c r="H3284" s="94" t="n"/>
      <c r="I3284" s="94" t="n"/>
      <c r="J3284" s="55" t="n"/>
      <c r="K3284" s="95" t="n"/>
      <c r="L3284" s="116">
        <f>IF($A3284="","",DATE(YEAR($A3284),MONTH($A3284)+IF(AND(IFERROR(N(INDEX(Übersicht!$M$15:$M$22,MATCH($B3284,Übersicht!$A$15:$A$22,0))),0)&gt;1,DAY($A3284)&gt;=IFERROR(N(INDEX(Übersicht!$M$15:$M$22,MATCH($B3284,Übersicht!$A$15:$A$22,0))),0)),1,0),1))</f>
        <v/>
      </c>
    </row>
    <row r="3285">
      <c r="A3285" s="92" t="n"/>
      <c r="B3285" s="55" t="n"/>
      <c r="C3285" s="55" t="n"/>
      <c r="D3285" s="55" t="n"/>
      <c r="E3285" s="93" t="n"/>
      <c r="F3285" s="94" t="n"/>
      <c r="G3285" s="94" t="n"/>
      <c r="H3285" s="94" t="n"/>
      <c r="I3285" s="94" t="n"/>
      <c r="J3285" s="55" t="n"/>
      <c r="K3285" s="95" t="n"/>
      <c r="L3285" s="116">
        <f>IF($A3285="","",DATE(YEAR($A3285),MONTH($A3285)+IF(AND(IFERROR(N(INDEX(Übersicht!$M$15:$M$22,MATCH($B3285,Übersicht!$A$15:$A$22,0))),0)&gt;1,DAY($A3285)&gt;=IFERROR(N(INDEX(Übersicht!$M$15:$M$22,MATCH($B3285,Übersicht!$A$15:$A$22,0))),0)),1,0),1))</f>
        <v/>
      </c>
    </row>
    <row r="3286">
      <c r="A3286" s="92" t="n"/>
      <c r="B3286" s="55" t="n"/>
      <c r="C3286" s="55" t="n"/>
      <c r="D3286" s="55" t="n"/>
      <c r="E3286" s="93" t="n"/>
      <c r="F3286" s="94" t="n"/>
      <c r="G3286" s="94" t="n"/>
      <c r="H3286" s="94" t="n"/>
      <c r="I3286" s="94" t="n"/>
      <c r="J3286" s="55" t="n"/>
      <c r="K3286" s="95" t="n"/>
      <c r="L3286" s="116">
        <f>IF($A3286="","",DATE(YEAR($A3286),MONTH($A3286)+IF(AND(IFERROR(N(INDEX(Übersicht!$M$15:$M$22,MATCH($B3286,Übersicht!$A$15:$A$22,0))),0)&gt;1,DAY($A3286)&gt;=IFERROR(N(INDEX(Übersicht!$M$15:$M$22,MATCH($B3286,Übersicht!$A$15:$A$22,0))),0)),1,0),1))</f>
        <v/>
      </c>
    </row>
    <row r="3287">
      <c r="A3287" s="92" t="n"/>
      <c r="B3287" s="55" t="n"/>
      <c r="C3287" s="55" t="n"/>
      <c r="D3287" s="55" t="n"/>
      <c r="E3287" s="93" t="n"/>
      <c r="F3287" s="94" t="n"/>
      <c r="G3287" s="94" t="n"/>
      <c r="H3287" s="94" t="n"/>
      <c r="I3287" s="94" t="n"/>
      <c r="J3287" s="55" t="n"/>
      <c r="K3287" s="95" t="n"/>
      <c r="L3287" s="116">
        <f>IF($A3287="","",DATE(YEAR($A3287),MONTH($A3287)+IF(AND(IFERROR(N(INDEX(Übersicht!$M$15:$M$22,MATCH($B3287,Übersicht!$A$15:$A$22,0))),0)&gt;1,DAY($A3287)&gt;=IFERROR(N(INDEX(Übersicht!$M$15:$M$22,MATCH($B3287,Übersicht!$A$15:$A$22,0))),0)),1,0),1))</f>
        <v/>
      </c>
    </row>
    <row r="3288">
      <c r="A3288" s="92" t="n"/>
      <c r="B3288" s="55" t="n"/>
      <c r="C3288" s="55" t="n"/>
      <c r="D3288" s="55" t="n"/>
      <c r="E3288" s="93" t="n"/>
      <c r="F3288" s="94" t="n"/>
      <c r="G3288" s="94" t="n"/>
      <c r="H3288" s="94" t="n"/>
      <c r="I3288" s="94" t="n"/>
      <c r="J3288" s="55" t="n"/>
      <c r="K3288" s="95" t="n"/>
      <c r="L3288" s="116">
        <f>IF($A3288="","",DATE(YEAR($A3288),MONTH($A3288)+IF(AND(IFERROR(N(INDEX(Übersicht!$M$15:$M$22,MATCH($B3288,Übersicht!$A$15:$A$22,0))),0)&gt;1,DAY($A3288)&gt;=IFERROR(N(INDEX(Übersicht!$M$15:$M$22,MATCH($B3288,Übersicht!$A$15:$A$22,0))),0)),1,0),1))</f>
        <v/>
      </c>
    </row>
    <row r="3289">
      <c r="A3289" s="92" t="n"/>
      <c r="B3289" s="55" t="n"/>
      <c r="C3289" s="55" t="n"/>
      <c r="D3289" s="55" t="n"/>
      <c r="E3289" s="93" t="n"/>
      <c r="F3289" s="94" t="n"/>
      <c r="G3289" s="94" t="n"/>
      <c r="H3289" s="94" t="n"/>
      <c r="I3289" s="94" t="n"/>
      <c r="J3289" s="55" t="n"/>
      <c r="K3289" s="95" t="n"/>
      <c r="L3289" s="116">
        <f>IF($A3289="","",DATE(YEAR($A3289),MONTH($A3289)+IF(AND(IFERROR(N(INDEX(Übersicht!$M$15:$M$22,MATCH($B3289,Übersicht!$A$15:$A$22,0))),0)&gt;1,DAY($A3289)&gt;=IFERROR(N(INDEX(Übersicht!$M$15:$M$22,MATCH($B3289,Übersicht!$A$15:$A$22,0))),0)),1,0),1))</f>
        <v/>
      </c>
    </row>
    <row r="3290">
      <c r="A3290" s="92" t="n"/>
      <c r="B3290" s="55" t="n"/>
      <c r="C3290" s="55" t="n"/>
      <c r="D3290" s="55" t="n"/>
      <c r="E3290" s="93" t="n"/>
      <c r="F3290" s="94" t="n"/>
      <c r="G3290" s="94" t="n"/>
      <c r="H3290" s="94" t="n"/>
      <c r="I3290" s="94" t="n"/>
      <c r="J3290" s="55" t="n"/>
      <c r="K3290" s="95" t="n"/>
      <c r="L3290" s="116">
        <f>IF($A3290="","",DATE(YEAR($A3290),MONTH($A3290)+IF(AND(IFERROR(N(INDEX(Übersicht!$M$15:$M$22,MATCH($B3290,Übersicht!$A$15:$A$22,0))),0)&gt;1,DAY($A3290)&gt;=IFERROR(N(INDEX(Übersicht!$M$15:$M$22,MATCH($B3290,Übersicht!$A$15:$A$22,0))),0)),1,0),1))</f>
        <v/>
      </c>
    </row>
    <row r="3291">
      <c r="A3291" s="92" t="n"/>
      <c r="B3291" s="55" t="n"/>
      <c r="C3291" s="55" t="n"/>
      <c r="D3291" s="55" t="n"/>
      <c r="E3291" s="93" t="n"/>
      <c r="F3291" s="94" t="n"/>
      <c r="G3291" s="94" t="n"/>
      <c r="H3291" s="94" t="n"/>
      <c r="I3291" s="94" t="n"/>
      <c r="J3291" s="55" t="n"/>
      <c r="K3291" s="95" t="n"/>
      <c r="L3291" s="116">
        <f>IF($A3291="","",DATE(YEAR($A3291),MONTH($A3291)+IF(AND(IFERROR(N(INDEX(Übersicht!$M$15:$M$22,MATCH($B3291,Übersicht!$A$15:$A$22,0))),0)&gt;1,DAY($A3291)&gt;=IFERROR(N(INDEX(Übersicht!$M$15:$M$22,MATCH($B3291,Übersicht!$A$15:$A$22,0))),0)),1,0),1))</f>
        <v/>
      </c>
    </row>
    <row r="3292">
      <c r="A3292" s="92" t="n"/>
      <c r="B3292" s="55" t="n"/>
      <c r="C3292" s="55" t="n"/>
      <c r="D3292" s="55" t="n"/>
      <c r="E3292" s="93" t="n"/>
      <c r="F3292" s="94" t="n"/>
      <c r="G3292" s="94" t="n"/>
      <c r="H3292" s="94" t="n"/>
      <c r="I3292" s="94" t="n"/>
      <c r="J3292" s="55" t="n"/>
      <c r="K3292" s="95" t="n"/>
      <c r="L3292" s="116">
        <f>IF($A3292="","",DATE(YEAR($A3292),MONTH($A3292)+IF(AND(IFERROR(N(INDEX(Übersicht!$M$15:$M$22,MATCH($B3292,Übersicht!$A$15:$A$22,0))),0)&gt;1,DAY($A3292)&gt;=IFERROR(N(INDEX(Übersicht!$M$15:$M$22,MATCH($B3292,Übersicht!$A$15:$A$22,0))),0)),1,0),1))</f>
        <v/>
      </c>
    </row>
    <row r="3293">
      <c r="A3293" s="92" t="n"/>
      <c r="B3293" s="55" t="n"/>
      <c r="C3293" s="55" t="n"/>
      <c r="D3293" s="55" t="n"/>
      <c r="E3293" s="93" t="n"/>
      <c r="F3293" s="94" t="n"/>
      <c r="G3293" s="94" t="n"/>
      <c r="H3293" s="94" t="n"/>
      <c r="I3293" s="94" t="n"/>
      <c r="J3293" s="55" t="n"/>
      <c r="K3293" s="95" t="n"/>
      <c r="L3293" s="116">
        <f>IF($A3293="","",DATE(YEAR($A3293),MONTH($A3293)+IF(AND(IFERROR(N(INDEX(Übersicht!$M$15:$M$22,MATCH($B3293,Übersicht!$A$15:$A$22,0))),0)&gt;1,DAY($A3293)&gt;=IFERROR(N(INDEX(Übersicht!$M$15:$M$22,MATCH($B3293,Übersicht!$A$15:$A$22,0))),0)),1,0),1))</f>
        <v/>
      </c>
    </row>
    <row r="3294">
      <c r="A3294" s="92" t="n"/>
      <c r="B3294" s="55" t="n"/>
      <c r="C3294" s="55" t="n"/>
      <c r="D3294" s="55" t="n"/>
      <c r="E3294" s="93" t="n"/>
      <c r="F3294" s="94" t="n"/>
      <c r="G3294" s="94" t="n"/>
      <c r="H3294" s="94" t="n"/>
      <c r="I3294" s="94" t="n"/>
      <c r="J3294" s="55" t="n"/>
      <c r="K3294" s="95" t="n"/>
      <c r="L3294" s="116">
        <f>IF($A3294="","",DATE(YEAR($A3294),MONTH($A3294)+IF(AND(IFERROR(N(INDEX(Übersicht!$M$15:$M$22,MATCH($B3294,Übersicht!$A$15:$A$22,0))),0)&gt;1,DAY($A3294)&gt;=IFERROR(N(INDEX(Übersicht!$M$15:$M$22,MATCH($B3294,Übersicht!$A$15:$A$22,0))),0)),1,0),1))</f>
        <v/>
      </c>
    </row>
    <row r="3295">
      <c r="A3295" s="92" t="n"/>
      <c r="B3295" s="55" t="n"/>
      <c r="C3295" s="55" t="n"/>
      <c r="D3295" s="55" t="n"/>
      <c r="E3295" s="93" t="n"/>
      <c r="F3295" s="94" t="n"/>
      <c r="G3295" s="94" t="n"/>
      <c r="H3295" s="94" t="n"/>
      <c r="I3295" s="94" t="n"/>
      <c r="J3295" s="55" t="n"/>
      <c r="K3295" s="95" t="n"/>
      <c r="L3295" s="116">
        <f>IF($A3295="","",DATE(YEAR($A3295),MONTH($A3295)+IF(AND(IFERROR(N(INDEX(Übersicht!$M$15:$M$22,MATCH($B3295,Übersicht!$A$15:$A$22,0))),0)&gt;1,DAY($A3295)&gt;=IFERROR(N(INDEX(Übersicht!$M$15:$M$22,MATCH($B3295,Übersicht!$A$15:$A$22,0))),0)),1,0),1))</f>
        <v/>
      </c>
    </row>
    <row r="3296">
      <c r="A3296" s="92" t="n"/>
      <c r="B3296" s="55" t="n"/>
      <c r="C3296" s="55" t="n"/>
      <c r="D3296" s="55" t="n"/>
      <c r="E3296" s="93" t="n"/>
      <c r="F3296" s="94" t="n"/>
      <c r="G3296" s="94" t="n"/>
      <c r="H3296" s="94" t="n"/>
      <c r="I3296" s="94" t="n"/>
      <c r="J3296" s="55" t="n"/>
      <c r="K3296" s="95" t="n"/>
      <c r="L3296" s="116">
        <f>IF($A3296="","",DATE(YEAR($A3296),MONTH($A3296)+IF(AND(IFERROR(N(INDEX(Übersicht!$M$15:$M$22,MATCH($B3296,Übersicht!$A$15:$A$22,0))),0)&gt;1,DAY($A3296)&gt;=IFERROR(N(INDEX(Übersicht!$M$15:$M$22,MATCH($B3296,Übersicht!$A$15:$A$22,0))),0)),1,0),1))</f>
        <v/>
      </c>
    </row>
    <row r="3297">
      <c r="A3297" s="92" t="n"/>
      <c r="B3297" s="55" t="n"/>
      <c r="C3297" s="55" t="n"/>
      <c r="D3297" s="55" t="n"/>
      <c r="E3297" s="93" t="n"/>
      <c r="F3297" s="94" t="n"/>
      <c r="G3297" s="94" t="n"/>
      <c r="H3297" s="94" t="n"/>
      <c r="I3297" s="94" t="n"/>
      <c r="J3297" s="55" t="n"/>
      <c r="K3297" s="95" t="n"/>
      <c r="L3297" s="116">
        <f>IF($A3297="","",DATE(YEAR($A3297),MONTH($A3297)+IF(AND(IFERROR(N(INDEX(Übersicht!$M$15:$M$22,MATCH($B3297,Übersicht!$A$15:$A$22,0))),0)&gt;1,DAY($A3297)&gt;=IFERROR(N(INDEX(Übersicht!$M$15:$M$22,MATCH($B3297,Übersicht!$A$15:$A$22,0))),0)),1,0),1))</f>
        <v/>
      </c>
    </row>
    <row r="3298">
      <c r="A3298" s="92" t="n"/>
      <c r="B3298" s="55" t="n"/>
      <c r="C3298" s="55" t="n"/>
      <c r="D3298" s="55" t="n"/>
      <c r="E3298" s="93" t="n"/>
      <c r="F3298" s="94" t="n"/>
      <c r="G3298" s="94" t="n"/>
      <c r="H3298" s="94" t="n"/>
      <c r="I3298" s="94" t="n"/>
      <c r="J3298" s="55" t="n"/>
      <c r="K3298" s="95" t="n"/>
      <c r="L3298" s="116">
        <f>IF($A3298="","",DATE(YEAR($A3298),MONTH($A3298)+IF(AND(IFERROR(N(INDEX(Übersicht!$M$15:$M$22,MATCH($B3298,Übersicht!$A$15:$A$22,0))),0)&gt;1,DAY($A3298)&gt;=IFERROR(N(INDEX(Übersicht!$M$15:$M$22,MATCH($B3298,Übersicht!$A$15:$A$22,0))),0)),1,0),1))</f>
        <v/>
      </c>
    </row>
    <row r="3299">
      <c r="A3299" s="92" t="n"/>
      <c r="B3299" s="55" t="n"/>
      <c r="C3299" s="55" t="n"/>
      <c r="D3299" s="55" t="n"/>
      <c r="E3299" s="93" t="n"/>
      <c r="F3299" s="94" t="n"/>
      <c r="G3299" s="94" t="n"/>
      <c r="H3299" s="94" t="n"/>
      <c r="I3299" s="94" t="n"/>
      <c r="J3299" s="55" t="n"/>
      <c r="K3299" s="95" t="n"/>
      <c r="L3299" s="116">
        <f>IF($A3299="","",DATE(YEAR($A3299),MONTH($A3299)+IF(AND(IFERROR(N(INDEX(Übersicht!$M$15:$M$22,MATCH($B3299,Übersicht!$A$15:$A$22,0))),0)&gt;1,DAY($A3299)&gt;=IFERROR(N(INDEX(Übersicht!$M$15:$M$22,MATCH($B3299,Übersicht!$A$15:$A$22,0))),0)),1,0),1))</f>
        <v/>
      </c>
    </row>
    <row r="3300">
      <c r="A3300" s="92" t="n"/>
      <c r="B3300" s="55" t="n"/>
      <c r="C3300" s="55" t="n"/>
      <c r="D3300" s="55" t="n"/>
      <c r="E3300" s="93" t="n"/>
      <c r="F3300" s="94" t="n"/>
      <c r="G3300" s="94" t="n"/>
      <c r="H3300" s="94" t="n"/>
      <c r="I3300" s="94" t="n"/>
      <c r="J3300" s="55" t="n"/>
      <c r="K3300" s="95" t="n"/>
      <c r="L3300" s="116">
        <f>IF($A3300="","",DATE(YEAR($A3300),MONTH($A3300)+IF(AND(IFERROR(N(INDEX(Übersicht!$M$15:$M$22,MATCH($B3300,Übersicht!$A$15:$A$22,0))),0)&gt;1,DAY($A3300)&gt;=IFERROR(N(INDEX(Übersicht!$M$15:$M$22,MATCH($B3300,Übersicht!$A$15:$A$22,0))),0)),1,0),1))</f>
        <v/>
      </c>
    </row>
    <row r="3301">
      <c r="A3301" s="92" t="n"/>
      <c r="B3301" s="55" t="n"/>
      <c r="C3301" s="55" t="n"/>
      <c r="D3301" s="55" t="n"/>
      <c r="E3301" s="93" t="n"/>
      <c r="F3301" s="94" t="n"/>
      <c r="G3301" s="94" t="n"/>
      <c r="H3301" s="94" t="n"/>
      <c r="I3301" s="94" t="n"/>
      <c r="J3301" s="55" t="n"/>
      <c r="K3301" s="95" t="n"/>
      <c r="L3301" s="116">
        <f>IF($A3301="","",DATE(YEAR($A3301),MONTH($A3301)+IF(AND(IFERROR(N(INDEX(Übersicht!$M$15:$M$22,MATCH($B3301,Übersicht!$A$15:$A$22,0))),0)&gt;1,DAY($A3301)&gt;=IFERROR(N(INDEX(Übersicht!$M$15:$M$22,MATCH($B3301,Übersicht!$A$15:$A$22,0))),0)),1,0),1))</f>
        <v/>
      </c>
    </row>
    <row r="3302">
      <c r="A3302" s="92" t="n"/>
      <c r="B3302" s="55" t="n"/>
      <c r="C3302" s="55" t="n"/>
      <c r="D3302" s="55" t="n"/>
      <c r="E3302" s="93" t="n"/>
      <c r="F3302" s="94" t="n"/>
      <c r="G3302" s="94" t="n"/>
      <c r="H3302" s="94" t="n"/>
      <c r="I3302" s="94" t="n"/>
      <c r="J3302" s="55" t="n"/>
      <c r="K3302" s="95" t="n"/>
      <c r="L3302" s="116">
        <f>IF($A3302="","",DATE(YEAR($A3302),MONTH($A3302)+IF(AND(IFERROR(N(INDEX(Übersicht!$M$15:$M$22,MATCH($B3302,Übersicht!$A$15:$A$22,0))),0)&gt;1,DAY($A3302)&gt;=IFERROR(N(INDEX(Übersicht!$M$15:$M$22,MATCH($B3302,Übersicht!$A$15:$A$22,0))),0)),1,0),1))</f>
        <v/>
      </c>
    </row>
    <row r="3303">
      <c r="A3303" s="92" t="n"/>
      <c r="B3303" s="55" t="n"/>
      <c r="C3303" s="55" t="n"/>
      <c r="D3303" s="55" t="n"/>
      <c r="E3303" s="93" t="n"/>
      <c r="F3303" s="94" t="n"/>
      <c r="G3303" s="94" t="n"/>
      <c r="H3303" s="94" t="n"/>
      <c r="I3303" s="94" t="n"/>
      <c r="J3303" s="55" t="n"/>
      <c r="K3303" s="95" t="n"/>
      <c r="L3303" s="116">
        <f>IF($A3303="","",DATE(YEAR($A3303),MONTH($A3303)+IF(AND(IFERROR(N(INDEX(Übersicht!$M$15:$M$22,MATCH($B3303,Übersicht!$A$15:$A$22,0))),0)&gt;1,DAY($A3303)&gt;=IFERROR(N(INDEX(Übersicht!$M$15:$M$22,MATCH($B3303,Übersicht!$A$15:$A$22,0))),0)),1,0),1))</f>
        <v/>
      </c>
    </row>
    <row r="3304">
      <c r="A3304" s="92" t="n"/>
      <c r="B3304" s="55" t="n"/>
      <c r="C3304" s="55" t="n"/>
      <c r="D3304" s="55" t="n"/>
      <c r="E3304" s="93" t="n"/>
      <c r="F3304" s="94" t="n"/>
      <c r="G3304" s="94" t="n"/>
      <c r="H3304" s="94" t="n"/>
      <c r="I3304" s="94" t="n"/>
      <c r="J3304" s="55" t="n"/>
      <c r="K3304" s="95" t="n"/>
      <c r="L3304" s="116">
        <f>IF($A3304="","",DATE(YEAR($A3304),MONTH($A3304)+IF(AND(IFERROR(N(INDEX(Übersicht!$M$15:$M$22,MATCH($B3304,Übersicht!$A$15:$A$22,0))),0)&gt;1,DAY($A3304)&gt;=IFERROR(N(INDEX(Übersicht!$M$15:$M$22,MATCH($B3304,Übersicht!$A$15:$A$22,0))),0)),1,0),1))</f>
        <v/>
      </c>
    </row>
    <row r="3305">
      <c r="A3305" s="92" t="n"/>
      <c r="B3305" s="55" t="n"/>
      <c r="C3305" s="55" t="n"/>
      <c r="D3305" s="55" t="n"/>
      <c r="E3305" s="93" t="n"/>
      <c r="F3305" s="94" t="n"/>
      <c r="G3305" s="94" t="n"/>
      <c r="H3305" s="94" t="n"/>
      <c r="I3305" s="94" t="n"/>
      <c r="J3305" s="55" t="n"/>
      <c r="K3305" s="95" t="n"/>
      <c r="L3305" s="116">
        <f>IF($A3305="","",DATE(YEAR($A3305),MONTH($A3305)+IF(AND(IFERROR(N(INDEX(Übersicht!$M$15:$M$22,MATCH($B3305,Übersicht!$A$15:$A$22,0))),0)&gt;1,DAY($A3305)&gt;=IFERROR(N(INDEX(Übersicht!$M$15:$M$22,MATCH($B3305,Übersicht!$A$15:$A$22,0))),0)),1,0),1))</f>
        <v/>
      </c>
    </row>
    <row r="3306">
      <c r="A3306" s="92" t="n"/>
      <c r="B3306" s="55" t="n"/>
      <c r="C3306" s="55" t="n"/>
      <c r="D3306" s="55" t="n"/>
      <c r="E3306" s="93" t="n"/>
      <c r="F3306" s="94" t="n"/>
      <c r="G3306" s="94" t="n"/>
      <c r="H3306" s="94" t="n"/>
      <c r="I3306" s="94" t="n"/>
      <c r="J3306" s="55" t="n"/>
      <c r="K3306" s="95" t="n"/>
      <c r="L3306" s="116">
        <f>IF($A3306="","",DATE(YEAR($A3306),MONTH($A3306)+IF(AND(IFERROR(N(INDEX(Übersicht!$M$15:$M$22,MATCH($B3306,Übersicht!$A$15:$A$22,0))),0)&gt;1,DAY($A3306)&gt;=IFERROR(N(INDEX(Übersicht!$M$15:$M$22,MATCH($B3306,Übersicht!$A$15:$A$22,0))),0)),1,0),1))</f>
        <v/>
      </c>
    </row>
    <row r="3307">
      <c r="A3307" s="92" t="n"/>
      <c r="B3307" s="55" t="n"/>
      <c r="C3307" s="55" t="n"/>
      <c r="D3307" s="55" t="n"/>
      <c r="E3307" s="93" t="n"/>
      <c r="F3307" s="94" t="n"/>
      <c r="G3307" s="94" t="n"/>
      <c r="H3307" s="94" t="n"/>
      <c r="I3307" s="94" t="n"/>
      <c r="J3307" s="55" t="n"/>
      <c r="K3307" s="95" t="n"/>
      <c r="L3307" s="116">
        <f>IF($A3307="","",DATE(YEAR($A3307),MONTH($A3307)+IF(AND(IFERROR(N(INDEX(Übersicht!$M$15:$M$22,MATCH($B3307,Übersicht!$A$15:$A$22,0))),0)&gt;1,DAY($A3307)&gt;=IFERROR(N(INDEX(Übersicht!$M$15:$M$22,MATCH($B3307,Übersicht!$A$15:$A$22,0))),0)),1,0),1))</f>
        <v/>
      </c>
    </row>
    <row r="3308">
      <c r="A3308" s="92" t="n"/>
      <c r="B3308" s="55" t="n"/>
      <c r="C3308" s="55" t="n"/>
      <c r="D3308" s="55" t="n"/>
      <c r="E3308" s="93" t="n"/>
      <c r="F3308" s="94" t="n"/>
      <c r="G3308" s="94" t="n"/>
      <c r="H3308" s="94" t="n"/>
      <c r="I3308" s="94" t="n"/>
      <c r="J3308" s="55" t="n"/>
      <c r="K3308" s="95" t="n"/>
      <c r="L3308" s="116">
        <f>IF($A3308="","",DATE(YEAR($A3308),MONTH($A3308)+IF(AND(IFERROR(N(INDEX(Übersicht!$M$15:$M$22,MATCH($B3308,Übersicht!$A$15:$A$22,0))),0)&gt;1,DAY($A3308)&gt;=IFERROR(N(INDEX(Übersicht!$M$15:$M$22,MATCH($B3308,Übersicht!$A$15:$A$22,0))),0)),1,0),1))</f>
        <v/>
      </c>
    </row>
    <row r="3309">
      <c r="A3309" s="92" t="n"/>
      <c r="B3309" s="55" t="n"/>
      <c r="C3309" s="55" t="n"/>
      <c r="D3309" s="55" t="n"/>
      <c r="E3309" s="93" t="n"/>
      <c r="F3309" s="94" t="n"/>
      <c r="G3309" s="94" t="n"/>
      <c r="H3309" s="94" t="n"/>
      <c r="I3309" s="94" t="n"/>
      <c r="J3309" s="55" t="n"/>
      <c r="K3309" s="95" t="n"/>
      <c r="L3309" s="116">
        <f>IF($A3309="","",DATE(YEAR($A3309),MONTH($A3309)+IF(AND(IFERROR(N(INDEX(Übersicht!$M$15:$M$22,MATCH($B3309,Übersicht!$A$15:$A$22,0))),0)&gt;1,DAY($A3309)&gt;=IFERROR(N(INDEX(Übersicht!$M$15:$M$22,MATCH($B3309,Übersicht!$A$15:$A$22,0))),0)),1,0),1))</f>
        <v/>
      </c>
    </row>
    <row r="3310">
      <c r="A3310" s="92" t="n"/>
      <c r="B3310" s="55" t="n"/>
      <c r="C3310" s="55" t="n"/>
      <c r="D3310" s="55" t="n"/>
      <c r="E3310" s="93" t="n"/>
      <c r="F3310" s="94" t="n"/>
      <c r="G3310" s="94" t="n"/>
      <c r="H3310" s="94" t="n"/>
      <c r="I3310" s="94" t="n"/>
      <c r="J3310" s="55" t="n"/>
      <c r="K3310" s="95" t="n"/>
      <c r="L3310" s="116">
        <f>IF($A3310="","",DATE(YEAR($A3310),MONTH($A3310)+IF(AND(IFERROR(N(INDEX(Übersicht!$M$15:$M$22,MATCH($B3310,Übersicht!$A$15:$A$22,0))),0)&gt;1,DAY($A3310)&gt;=IFERROR(N(INDEX(Übersicht!$M$15:$M$22,MATCH($B3310,Übersicht!$A$15:$A$22,0))),0)),1,0),1))</f>
        <v/>
      </c>
    </row>
    <row r="3311">
      <c r="A3311" s="92" t="n"/>
      <c r="B3311" s="55" t="n"/>
      <c r="C3311" s="55" t="n"/>
      <c r="D3311" s="55" t="n"/>
      <c r="E3311" s="93" t="n"/>
      <c r="F3311" s="94" t="n"/>
      <c r="G3311" s="94" t="n"/>
      <c r="H3311" s="94" t="n"/>
      <c r="I3311" s="94" t="n"/>
      <c r="J3311" s="55" t="n"/>
      <c r="K3311" s="95" t="n"/>
      <c r="L3311" s="116">
        <f>IF($A3311="","",DATE(YEAR($A3311),MONTH($A3311)+IF(AND(IFERROR(N(INDEX(Übersicht!$M$15:$M$22,MATCH($B3311,Übersicht!$A$15:$A$22,0))),0)&gt;1,DAY($A3311)&gt;=IFERROR(N(INDEX(Übersicht!$M$15:$M$22,MATCH($B3311,Übersicht!$A$15:$A$22,0))),0)),1,0),1))</f>
        <v/>
      </c>
    </row>
    <row r="3312">
      <c r="A3312" s="92" t="n"/>
      <c r="B3312" s="55" t="n"/>
      <c r="C3312" s="55" t="n"/>
      <c r="D3312" s="55" t="n"/>
      <c r="E3312" s="93" t="n"/>
      <c r="F3312" s="94" t="n"/>
      <c r="G3312" s="94" t="n"/>
      <c r="H3312" s="94" t="n"/>
      <c r="I3312" s="94" t="n"/>
      <c r="J3312" s="55" t="n"/>
      <c r="K3312" s="95" t="n"/>
      <c r="L3312" s="116">
        <f>IF($A3312="","",DATE(YEAR($A3312),MONTH($A3312)+IF(AND(IFERROR(N(INDEX(Übersicht!$M$15:$M$22,MATCH($B3312,Übersicht!$A$15:$A$22,0))),0)&gt;1,DAY($A3312)&gt;=IFERROR(N(INDEX(Übersicht!$M$15:$M$22,MATCH($B3312,Übersicht!$A$15:$A$22,0))),0)),1,0),1))</f>
        <v/>
      </c>
    </row>
    <row r="3313">
      <c r="A3313" s="92" t="n"/>
      <c r="B3313" s="55" t="n"/>
      <c r="C3313" s="55" t="n"/>
      <c r="D3313" s="55" t="n"/>
      <c r="E3313" s="93" t="n"/>
      <c r="F3313" s="94" t="n"/>
      <c r="G3313" s="94" t="n"/>
      <c r="H3313" s="94" t="n"/>
      <c r="I3313" s="94" t="n"/>
      <c r="J3313" s="55" t="n"/>
      <c r="K3313" s="95" t="n"/>
      <c r="L3313" s="116">
        <f>IF($A3313="","",DATE(YEAR($A3313),MONTH($A3313)+IF(AND(IFERROR(N(INDEX(Übersicht!$M$15:$M$22,MATCH($B3313,Übersicht!$A$15:$A$22,0))),0)&gt;1,DAY($A3313)&gt;=IFERROR(N(INDEX(Übersicht!$M$15:$M$22,MATCH($B3313,Übersicht!$A$15:$A$22,0))),0)),1,0),1))</f>
        <v/>
      </c>
    </row>
    <row r="3314">
      <c r="A3314" s="92" t="n"/>
      <c r="B3314" s="55" t="n"/>
      <c r="C3314" s="55" t="n"/>
      <c r="D3314" s="55" t="n"/>
      <c r="E3314" s="93" t="n"/>
      <c r="F3314" s="94" t="n"/>
      <c r="G3314" s="94" t="n"/>
      <c r="H3314" s="94" t="n"/>
      <c r="I3314" s="94" t="n"/>
      <c r="J3314" s="55" t="n"/>
      <c r="K3314" s="95" t="n"/>
      <c r="L3314" s="116">
        <f>IF($A3314="","",DATE(YEAR($A3314),MONTH($A3314)+IF(AND(IFERROR(N(INDEX(Übersicht!$M$15:$M$22,MATCH($B3314,Übersicht!$A$15:$A$22,0))),0)&gt;1,DAY($A3314)&gt;=IFERROR(N(INDEX(Übersicht!$M$15:$M$22,MATCH($B3314,Übersicht!$A$15:$A$22,0))),0)),1,0),1))</f>
        <v/>
      </c>
    </row>
    <row r="3315">
      <c r="A3315" s="92" t="n"/>
      <c r="B3315" s="55" t="n"/>
      <c r="C3315" s="55" t="n"/>
      <c r="D3315" s="55" t="n"/>
      <c r="E3315" s="93" t="n"/>
      <c r="F3315" s="94" t="n"/>
      <c r="G3315" s="94" t="n"/>
      <c r="H3315" s="94" t="n"/>
      <c r="I3315" s="94" t="n"/>
      <c r="J3315" s="55" t="n"/>
      <c r="K3315" s="95" t="n"/>
      <c r="L3315" s="116">
        <f>IF($A3315="","",DATE(YEAR($A3315),MONTH($A3315)+IF(AND(IFERROR(N(INDEX(Übersicht!$M$15:$M$22,MATCH($B3315,Übersicht!$A$15:$A$22,0))),0)&gt;1,DAY($A3315)&gt;=IFERROR(N(INDEX(Übersicht!$M$15:$M$22,MATCH($B3315,Übersicht!$A$15:$A$22,0))),0)),1,0),1))</f>
        <v/>
      </c>
    </row>
    <row r="3316">
      <c r="A3316" s="92" t="n"/>
      <c r="B3316" s="55" t="n"/>
      <c r="C3316" s="55" t="n"/>
      <c r="D3316" s="55" t="n"/>
      <c r="E3316" s="93" t="n"/>
      <c r="F3316" s="94" t="n"/>
      <c r="G3316" s="94" t="n"/>
      <c r="H3316" s="94" t="n"/>
      <c r="I3316" s="94" t="n"/>
      <c r="J3316" s="55" t="n"/>
      <c r="K3316" s="95" t="n"/>
      <c r="L3316" s="116">
        <f>IF($A3316="","",DATE(YEAR($A3316),MONTH($A3316)+IF(AND(IFERROR(N(INDEX(Übersicht!$M$15:$M$22,MATCH($B3316,Übersicht!$A$15:$A$22,0))),0)&gt;1,DAY($A3316)&gt;=IFERROR(N(INDEX(Übersicht!$M$15:$M$22,MATCH($B3316,Übersicht!$A$15:$A$22,0))),0)),1,0),1))</f>
        <v/>
      </c>
    </row>
    <row r="3317">
      <c r="A3317" s="92" t="n"/>
      <c r="B3317" s="55" t="n"/>
      <c r="C3317" s="55" t="n"/>
      <c r="D3317" s="55" t="n"/>
      <c r="E3317" s="93" t="n"/>
      <c r="F3317" s="94" t="n"/>
      <c r="G3317" s="94" t="n"/>
      <c r="H3317" s="94" t="n"/>
      <c r="I3317" s="94" t="n"/>
      <c r="J3317" s="55" t="n"/>
      <c r="K3317" s="95" t="n"/>
      <c r="L3317" s="116">
        <f>IF($A3317="","",DATE(YEAR($A3317),MONTH($A3317)+IF(AND(IFERROR(N(INDEX(Übersicht!$M$15:$M$22,MATCH($B3317,Übersicht!$A$15:$A$22,0))),0)&gt;1,DAY($A3317)&gt;=IFERROR(N(INDEX(Übersicht!$M$15:$M$22,MATCH($B3317,Übersicht!$A$15:$A$22,0))),0)),1,0),1))</f>
        <v/>
      </c>
    </row>
    <row r="3318">
      <c r="A3318" s="92" t="n"/>
      <c r="B3318" s="55" t="n"/>
      <c r="C3318" s="55" t="n"/>
      <c r="D3318" s="55" t="n"/>
      <c r="E3318" s="93" t="n"/>
      <c r="F3318" s="94" t="n"/>
      <c r="G3318" s="94" t="n"/>
      <c r="H3318" s="94" t="n"/>
      <c r="I3318" s="94" t="n"/>
      <c r="J3318" s="55" t="n"/>
      <c r="K3318" s="95" t="n"/>
      <c r="L3318" s="116">
        <f>IF($A3318="","",DATE(YEAR($A3318),MONTH($A3318)+IF(AND(IFERROR(N(INDEX(Übersicht!$M$15:$M$22,MATCH($B3318,Übersicht!$A$15:$A$22,0))),0)&gt;1,DAY($A3318)&gt;=IFERROR(N(INDEX(Übersicht!$M$15:$M$22,MATCH($B3318,Übersicht!$A$15:$A$22,0))),0)),1,0),1))</f>
        <v/>
      </c>
    </row>
    <row r="3319">
      <c r="A3319" s="92" t="n"/>
      <c r="B3319" s="55" t="n"/>
      <c r="C3319" s="55" t="n"/>
      <c r="D3319" s="55" t="n"/>
      <c r="E3319" s="93" t="n"/>
      <c r="F3319" s="94" t="n"/>
      <c r="G3319" s="94" t="n"/>
      <c r="H3319" s="94" t="n"/>
      <c r="I3319" s="94" t="n"/>
      <c r="J3319" s="55" t="n"/>
      <c r="K3319" s="95" t="n"/>
      <c r="L3319" s="116">
        <f>IF($A3319="","",DATE(YEAR($A3319),MONTH($A3319)+IF(AND(IFERROR(N(INDEX(Übersicht!$M$15:$M$22,MATCH($B3319,Übersicht!$A$15:$A$22,0))),0)&gt;1,DAY($A3319)&gt;=IFERROR(N(INDEX(Übersicht!$M$15:$M$22,MATCH($B3319,Übersicht!$A$15:$A$22,0))),0)),1,0),1))</f>
        <v/>
      </c>
    </row>
    <row r="3320">
      <c r="A3320" s="92" t="n"/>
      <c r="B3320" s="55" t="n"/>
      <c r="C3320" s="55" t="n"/>
      <c r="D3320" s="55" t="n"/>
      <c r="E3320" s="93" t="n"/>
      <c r="F3320" s="94" t="n"/>
      <c r="G3320" s="94" t="n"/>
      <c r="H3320" s="94" t="n"/>
      <c r="I3320" s="94" t="n"/>
      <c r="J3320" s="55" t="n"/>
      <c r="K3320" s="95" t="n"/>
      <c r="L3320" s="116">
        <f>IF($A3320="","",DATE(YEAR($A3320),MONTH($A3320)+IF(AND(IFERROR(N(INDEX(Übersicht!$M$15:$M$22,MATCH($B3320,Übersicht!$A$15:$A$22,0))),0)&gt;1,DAY($A3320)&gt;=IFERROR(N(INDEX(Übersicht!$M$15:$M$22,MATCH($B3320,Übersicht!$A$15:$A$22,0))),0)),1,0),1))</f>
        <v/>
      </c>
    </row>
    <row r="3321">
      <c r="A3321" s="92" t="n"/>
      <c r="B3321" s="55" t="n"/>
      <c r="C3321" s="55" t="n"/>
      <c r="D3321" s="55" t="n"/>
      <c r="E3321" s="93" t="n"/>
      <c r="F3321" s="94" t="n"/>
      <c r="G3321" s="94" t="n"/>
      <c r="H3321" s="94" t="n"/>
      <c r="I3321" s="94" t="n"/>
      <c r="J3321" s="55" t="n"/>
      <c r="K3321" s="95" t="n"/>
      <c r="L3321" s="116">
        <f>IF($A3321="","",DATE(YEAR($A3321),MONTH($A3321)+IF(AND(IFERROR(N(INDEX(Übersicht!$M$15:$M$22,MATCH($B3321,Übersicht!$A$15:$A$22,0))),0)&gt;1,DAY($A3321)&gt;=IFERROR(N(INDEX(Übersicht!$M$15:$M$22,MATCH($B3321,Übersicht!$A$15:$A$22,0))),0)),1,0),1))</f>
        <v/>
      </c>
    </row>
    <row r="3322">
      <c r="A3322" s="92" t="n"/>
      <c r="B3322" s="55" t="n"/>
      <c r="C3322" s="55" t="n"/>
      <c r="D3322" s="55" t="n"/>
      <c r="E3322" s="93" t="n"/>
      <c r="F3322" s="94" t="n"/>
      <c r="G3322" s="94" t="n"/>
      <c r="H3322" s="94" t="n"/>
      <c r="I3322" s="94" t="n"/>
      <c r="J3322" s="55" t="n"/>
      <c r="K3322" s="95" t="n"/>
      <c r="L3322" s="116">
        <f>IF($A3322="","",DATE(YEAR($A3322),MONTH($A3322)+IF(AND(IFERROR(N(INDEX(Übersicht!$M$15:$M$22,MATCH($B3322,Übersicht!$A$15:$A$22,0))),0)&gt;1,DAY($A3322)&gt;=IFERROR(N(INDEX(Übersicht!$M$15:$M$22,MATCH($B3322,Übersicht!$A$15:$A$22,0))),0)),1,0),1))</f>
        <v/>
      </c>
    </row>
    <row r="3323">
      <c r="A3323" s="92" t="n"/>
      <c r="B3323" s="55" t="n"/>
      <c r="C3323" s="55" t="n"/>
      <c r="D3323" s="55" t="n"/>
      <c r="E3323" s="93" t="n"/>
      <c r="F3323" s="94" t="n"/>
      <c r="G3323" s="94" t="n"/>
      <c r="H3323" s="94" t="n"/>
      <c r="I3323" s="94" t="n"/>
      <c r="J3323" s="55" t="n"/>
      <c r="K3323" s="95" t="n"/>
      <c r="L3323" s="116">
        <f>IF($A3323="","",DATE(YEAR($A3323),MONTH($A3323)+IF(AND(IFERROR(N(INDEX(Übersicht!$M$15:$M$22,MATCH($B3323,Übersicht!$A$15:$A$22,0))),0)&gt;1,DAY($A3323)&gt;=IFERROR(N(INDEX(Übersicht!$M$15:$M$22,MATCH($B3323,Übersicht!$A$15:$A$22,0))),0)),1,0),1))</f>
        <v/>
      </c>
    </row>
    <row r="3324">
      <c r="A3324" s="92" t="n"/>
      <c r="B3324" s="55" t="n"/>
      <c r="C3324" s="55" t="n"/>
      <c r="D3324" s="55" t="n"/>
      <c r="E3324" s="93" t="n"/>
      <c r="F3324" s="94" t="n"/>
      <c r="G3324" s="94" t="n"/>
      <c r="H3324" s="94" t="n"/>
      <c r="I3324" s="94" t="n"/>
      <c r="J3324" s="55" t="n"/>
      <c r="K3324" s="95" t="n"/>
      <c r="L3324" s="116">
        <f>IF($A3324="","",DATE(YEAR($A3324),MONTH($A3324)+IF(AND(IFERROR(N(INDEX(Übersicht!$M$15:$M$22,MATCH($B3324,Übersicht!$A$15:$A$22,0))),0)&gt;1,DAY($A3324)&gt;=IFERROR(N(INDEX(Übersicht!$M$15:$M$22,MATCH($B3324,Übersicht!$A$15:$A$22,0))),0)),1,0),1))</f>
        <v/>
      </c>
    </row>
    <row r="3325">
      <c r="A3325" s="92" t="n"/>
      <c r="B3325" s="55" t="n"/>
      <c r="C3325" s="55" t="n"/>
      <c r="D3325" s="55" t="n"/>
      <c r="E3325" s="93" t="n"/>
      <c r="F3325" s="94" t="n"/>
      <c r="G3325" s="94" t="n"/>
      <c r="H3325" s="94" t="n"/>
      <c r="I3325" s="94" t="n"/>
      <c r="J3325" s="55" t="n"/>
      <c r="K3325" s="95" t="n"/>
      <c r="L3325" s="116">
        <f>IF($A3325="","",DATE(YEAR($A3325),MONTH($A3325)+IF(AND(IFERROR(N(INDEX(Übersicht!$M$15:$M$22,MATCH($B3325,Übersicht!$A$15:$A$22,0))),0)&gt;1,DAY($A3325)&gt;=IFERROR(N(INDEX(Übersicht!$M$15:$M$22,MATCH($B3325,Übersicht!$A$15:$A$22,0))),0)),1,0),1))</f>
        <v/>
      </c>
    </row>
    <row r="3326">
      <c r="A3326" s="92" t="n"/>
      <c r="B3326" s="55" t="n"/>
      <c r="C3326" s="55" t="n"/>
      <c r="D3326" s="55" t="n"/>
      <c r="E3326" s="93" t="n"/>
      <c r="F3326" s="94" t="n"/>
      <c r="G3326" s="94" t="n"/>
      <c r="H3326" s="94" t="n"/>
      <c r="I3326" s="94" t="n"/>
      <c r="J3326" s="55" t="n"/>
      <c r="K3326" s="95" t="n"/>
      <c r="L3326" s="116">
        <f>IF($A3326="","",DATE(YEAR($A3326),MONTH($A3326)+IF(AND(IFERROR(N(INDEX(Übersicht!$M$15:$M$22,MATCH($B3326,Übersicht!$A$15:$A$22,0))),0)&gt;1,DAY($A3326)&gt;=IFERROR(N(INDEX(Übersicht!$M$15:$M$22,MATCH($B3326,Übersicht!$A$15:$A$22,0))),0)),1,0),1))</f>
        <v/>
      </c>
    </row>
    <row r="3327">
      <c r="A3327" s="92" t="n"/>
      <c r="B3327" s="55" t="n"/>
      <c r="C3327" s="55" t="n"/>
      <c r="D3327" s="55" t="n"/>
      <c r="E3327" s="93" t="n"/>
      <c r="F3327" s="94" t="n"/>
      <c r="G3327" s="94" t="n"/>
      <c r="H3327" s="94" t="n"/>
      <c r="I3327" s="94" t="n"/>
      <c r="J3327" s="55" t="n"/>
      <c r="K3327" s="95" t="n"/>
      <c r="L3327" s="116">
        <f>IF($A3327="","",DATE(YEAR($A3327),MONTH($A3327)+IF(AND(IFERROR(N(INDEX(Übersicht!$M$15:$M$22,MATCH($B3327,Übersicht!$A$15:$A$22,0))),0)&gt;1,DAY($A3327)&gt;=IFERROR(N(INDEX(Übersicht!$M$15:$M$22,MATCH($B3327,Übersicht!$A$15:$A$22,0))),0)),1,0),1))</f>
        <v/>
      </c>
    </row>
    <row r="3328">
      <c r="A3328" s="92" t="n"/>
      <c r="B3328" s="55" t="n"/>
      <c r="C3328" s="55" t="n"/>
      <c r="D3328" s="55" t="n"/>
      <c r="E3328" s="93" t="n"/>
      <c r="F3328" s="94" t="n"/>
      <c r="G3328" s="94" t="n"/>
      <c r="H3328" s="94" t="n"/>
      <c r="I3328" s="94" t="n"/>
      <c r="J3328" s="55" t="n"/>
      <c r="K3328" s="95" t="n"/>
      <c r="L3328" s="116">
        <f>IF($A3328="","",DATE(YEAR($A3328),MONTH($A3328)+IF(AND(IFERROR(N(INDEX(Übersicht!$M$15:$M$22,MATCH($B3328,Übersicht!$A$15:$A$22,0))),0)&gt;1,DAY($A3328)&gt;=IFERROR(N(INDEX(Übersicht!$M$15:$M$22,MATCH($B3328,Übersicht!$A$15:$A$22,0))),0)),1,0),1))</f>
        <v/>
      </c>
    </row>
    <row r="3329">
      <c r="A3329" s="92" t="n"/>
      <c r="B3329" s="55" t="n"/>
      <c r="C3329" s="55" t="n"/>
      <c r="D3329" s="55" t="n"/>
      <c r="E3329" s="93" t="n"/>
      <c r="F3329" s="94" t="n"/>
      <c r="G3329" s="94" t="n"/>
      <c r="H3329" s="94" t="n"/>
      <c r="I3329" s="94" t="n"/>
      <c r="J3329" s="55" t="n"/>
      <c r="K3329" s="95" t="n"/>
      <c r="L3329" s="116">
        <f>IF($A3329="","",DATE(YEAR($A3329),MONTH($A3329)+IF(AND(IFERROR(N(INDEX(Übersicht!$M$15:$M$22,MATCH($B3329,Übersicht!$A$15:$A$22,0))),0)&gt;1,DAY($A3329)&gt;=IFERROR(N(INDEX(Übersicht!$M$15:$M$22,MATCH($B3329,Übersicht!$A$15:$A$22,0))),0)),1,0),1))</f>
        <v/>
      </c>
    </row>
    <row r="3330">
      <c r="A3330" s="92" t="n"/>
      <c r="B3330" s="55" t="n"/>
      <c r="C3330" s="55" t="n"/>
      <c r="D3330" s="55" t="n"/>
      <c r="E3330" s="93" t="n"/>
      <c r="F3330" s="94" t="n"/>
      <c r="G3330" s="94" t="n"/>
      <c r="H3330" s="94" t="n"/>
      <c r="I3330" s="94" t="n"/>
      <c r="J3330" s="55" t="n"/>
      <c r="K3330" s="95" t="n"/>
      <c r="L3330" s="116">
        <f>IF($A3330="","",DATE(YEAR($A3330),MONTH($A3330)+IF(AND(IFERROR(N(INDEX(Übersicht!$M$15:$M$22,MATCH($B3330,Übersicht!$A$15:$A$22,0))),0)&gt;1,DAY($A3330)&gt;=IFERROR(N(INDEX(Übersicht!$M$15:$M$22,MATCH($B3330,Übersicht!$A$15:$A$22,0))),0)),1,0),1))</f>
        <v/>
      </c>
    </row>
    <row r="3331">
      <c r="A3331" s="92" t="n"/>
      <c r="B3331" s="55" t="n"/>
      <c r="C3331" s="55" t="n"/>
      <c r="D3331" s="55" t="n"/>
      <c r="E3331" s="93" t="n"/>
      <c r="F3331" s="94" t="n"/>
      <c r="G3331" s="94" t="n"/>
      <c r="H3331" s="94" t="n"/>
      <c r="I3331" s="94" t="n"/>
      <c r="J3331" s="55" t="n"/>
      <c r="K3331" s="95" t="n"/>
      <c r="L3331" s="116">
        <f>IF($A3331="","",DATE(YEAR($A3331),MONTH($A3331)+IF(AND(IFERROR(N(INDEX(Übersicht!$M$15:$M$22,MATCH($B3331,Übersicht!$A$15:$A$22,0))),0)&gt;1,DAY($A3331)&gt;=IFERROR(N(INDEX(Übersicht!$M$15:$M$22,MATCH($B3331,Übersicht!$A$15:$A$22,0))),0)),1,0),1))</f>
        <v/>
      </c>
    </row>
    <row r="3332">
      <c r="A3332" s="92" t="n"/>
      <c r="B3332" s="55" t="n"/>
      <c r="C3332" s="55" t="n"/>
      <c r="D3332" s="55" t="n"/>
      <c r="E3332" s="93" t="n"/>
      <c r="F3332" s="94" t="n"/>
      <c r="G3332" s="94" t="n"/>
      <c r="H3332" s="94" t="n"/>
      <c r="I3332" s="94" t="n"/>
      <c r="J3332" s="55" t="n"/>
      <c r="K3332" s="95" t="n"/>
      <c r="L3332" s="116">
        <f>IF($A3332="","",DATE(YEAR($A3332),MONTH($A3332)+IF(AND(IFERROR(N(INDEX(Übersicht!$M$15:$M$22,MATCH($B3332,Übersicht!$A$15:$A$22,0))),0)&gt;1,DAY($A3332)&gt;=IFERROR(N(INDEX(Übersicht!$M$15:$M$22,MATCH($B3332,Übersicht!$A$15:$A$22,0))),0)),1,0),1))</f>
        <v/>
      </c>
    </row>
    <row r="3333">
      <c r="A3333" s="92" t="n"/>
      <c r="B3333" s="55" t="n"/>
      <c r="C3333" s="55" t="n"/>
      <c r="D3333" s="55" t="n"/>
      <c r="E3333" s="93" t="n"/>
      <c r="F3333" s="94" t="n"/>
      <c r="G3333" s="94" t="n"/>
      <c r="H3333" s="94" t="n"/>
      <c r="I3333" s="94" t="n"/>
      <c r="J3333" s="55" t="n"/>
      <c r="K3333" s="95" t="n"/>
      <c r="L3333" s="116">
        <f>IF($A3333="","",DATE(YEAR($A3333),MONTH($A3333)+IF(AND(IFERROR(N(INDEX(Übersicht!$M$15:$M$22,MATCH($B3333,Übersicht!$A$15:$A$22,0))),0)&gt;1,DAY($A3333)&gt;=IFERROR(N(INDEX(Übersicht!$M$15:$M$22,MATCH($B3333,Übersicht!$A$15:$A$22,0))),0)),1,0),1))</f>
        <v/>
      </c>
    </row>
    <row r="3334">
      <c r="A3334" s="92" t="n"/>
      <c r="B3334" s="55" t="n"/>
      <c r="C3334" s="55" t="n"/>
      <c r="D3334" s="55" t="n"/>
      <c r="E3334" s="93" t="n"/>
      <c r="F3334" s="94" t="n"/>
      <c r="G3334" s="94" t="n"/>
      <c r="H3334" s="94" t="n"/>
      <c r="I3334" s="94" t="n"/>
      <c r="J3334" s="55" t="n"/>
      <c r="K3334" s="95" t="n"/>
      <c r="L3334" s="116">
        <f>IF($A3334="","",DATE(YEAR($A3334),MONTH($A3334)+IF(AND(IFERROR(N(INDEX(Übersicht!$M$15:$M$22,MATCH($B3334,Übersicht!$A$15:$A$22,0))),0)&gt;1,DAY($A3334)&gt;=IFERROR(N(INDEX(Übersicht!$M$15:$M$22,MATCH($B3334,Übersicht!$A$15:$A$22,0))),0)),1,0),1))</f>
        <v/>
      </c>
    </row>
    <row r="3335">
      <c r="A3335" s="92" t="n"/>
      <c r="B3335" s="55" t="n"/>
      <c r="C3335" s="55" t="n"/>
      <c r="D3335" s="55" t="n"/>
      <c r="E3335" s="93" t="n"/>
      <c r="F3335" s="94" t="n"/>
      <c r="G3335" s="94" t="n"/>
      <c r="H3335" s="94" t="n"/>
      <c r="I3335" s="94" t="n"/>
      <c r="J3335" s="55" t="n"/>
      <c r="K3335" s="95" t="n"/>
      <c r="L3335" s="116">
        <f>IF($A3335="","",DATE(YEAR($A3335),MONTH($A3335)+IF(AND(IFERROR(N(INDEX(Übersicht!$M$15:$M$22,MATCH($B3335,Übersicht!$A$15:$A$22,0))),0)&gt;1,DAY($A3335)&gt;=IFERROR(N(INDEX(Übersicht!$M$15:$M$22,MATCH($B3335,Übersicht!$A$15:$A$22,0))),0)),1,0),1))</f>
        <v/>
      </c>
    </row>
    <row r="3336">
      <c r="A3336" s="92" t="n"/>
      <c r="B3336" s="55" t="n"/>
      <c r="C3336" s="55" t="n"/>
      <c r="D3336" s="55" t="n"/>
      <c r="E3336" s="93" t="n"/>
      <c r="F3336" s="94" t="n"/>
      <c r="G3336" s="94" t="n"/>
      <c r="H3336" s="94" t="n"/>
      <c r="I3336" s="94" t="n"/>
      <c r="J3336" s="55" t="n"/>
      <c r="K3336" s="95" t="n"/>
      <c r="L3336" s="116">
        <f>IF($A3336="","",DATE(YEAR($A3336),MONTH($A3336)+IF(AND(IFERROR(N(INDEX(Übersicht!$M$15:$M$22,MATCH($B3336,Übersicht!$A$15:$A$22,0))),0)&gt;1,DAY($A3336)&gt;=IFERROR(N(INDEX(Übersicht!$M$15:$M$22,MATCH($B3336,Übersicht!$A$15:$A$22,0))),0)),1,0),1))</f>
        <v/>
      </c>
    </row>
    <row r="3337">
      <c r="A3337" s="92" t="n"/>
      <c r="B3337" s="55" t="n"/>
      <c r="C3337" s="55" t="n"/>
      <c r="D3337" s="55" t="n"/>
      <c r="E3337" s="93" t="n"/>
      <c r="F3337" s="94" t="n"/>
      <c r="G3337" s="94" t="n"/>
      <c r="H3337" s="94" t="n"/>
      <c r="I3337" s="94" t="n"/>
      <c r="J3337" s="55" t="n"/>
      <c r="K3337" s="95" t="n"/>
      <c r="L3337" s="116">
        <f>IF($A3337="","",DATE(YEAR($A3337),MONTH($A3337)+IF(AND(IFERROR(N(INDEX(Übersicht!$M$15:$M$22,MATCH($B3337,Übersicht!$A$15:$A$22,0))),0)&gt;1,DAY($A3337)&gt;=IFERROR(N(INDEX(Übersicht!$M$15:$M$22,MATCH($B3337,Übersicht!$A$15:$A$22,0))),0)),1,0),1))</f>
        <v/>
      </c>
    </row>
    <row r="3338">
      <c r="A3338" s="92" t="n"/>
      <c r="B3338" s="55" t="n"/>
      <c r="C3338" s="55" t="n"/>
      <c r="D3338" s="55" t="n"/>
      <c r="E3338" s="93" t="n"/>
      <c r="F3338" s="94" t="n"/>
      <c r="G3338" s="94" t="n"/>
      <c r="H3338" s="94" t="n"/>
      <c r="I3338" s="94" t="n"/>
      <c r="J3338" s="55" t="n"/>
      <c r="K3338" s="95" t="n"/>
      <c r="L3338" s="116">
        <f>IF($A3338="","",DATE(YEAR($A3338),MONTH($A3338)+IF(AND(IFERROR(N(INDEX(Übersicht!$M$15:$M$22,MATCH($B3338,Übersicht!$A$15:$A$22,0))),0)&gt;1,DAY($A3338)&gt;=IFERROR(N(INDEX(Übersicht!$M$15:$M$22,MATCH($B3338,Übersicht!$A$15:$A$22,0))),0)),1,0),1))</f>
        <v/>
      </c>
    </row>
    <row r="3339">
      <c r="A3339" s="92" t="n"/>
      <c r="B3339" s="55" t="n"/>
      <c r="C3339" s="55" t="n"/>
      <c r="D3339" s="55" t="n"/>
      <c r="E3339" s="93" t="n"/>
      <c r="F3339" s="94" t="n"/>
      <c r="G3339" s="94" t="n"/>
      <c r="H3339" s="94" t="n"/>
      <c r="I3339" s="94" t="n"/>
      <c r="J3339" s="55" t="n"/>
      <c r="K3339" s="95" t="n"/>
      <c r="L3339" s="116">
        <f>IF($A3339="","",DATE(YEAR($A3339),MONTH($A3339)+IF(AND(IFERROR(N(INDEX(Übersicht!$M$15:$M$22,MATCH($B3339,Übersicht!$A$15:$A$22,0))),0)&gt;1,DAY($A3339)&gt;=IFERROR(N(INDEX(Übersicht!$M$15:$M$22,MATCH($B3339,Übersicht!$A$15:$A$22,0))),0)),1,0),1))</f>
        <v/>
      </c>
    </row>
    <row r="3340">
      <c r="A3340" s="92" t="n"/>
      <c r="B3340" s="55" t="n"/>
      <c r="C3340" s="55" t="n"/>
      <c r="D3340" s="55" t="n"/>
      <c r="E3340" s="93" t="n"/>
      <c r="F3340" s="94" t="n"/>
      <c r="G3340" s="94" t="n"/>
      <c r="H3340" s="94" t="n"/>
      <c r="I3340" s="94" t="n"/>
      <c r="J3340" s="55" t="n"/>
      <c r="K3340" s="95" t="n"/>
      <c r="L3340" s="116">
        <f>IF($A3340="","",DATE(YEAR($A3340),MONTH($A3340)+IF(AND(IFERROR(N(INDEX(Übersicht!$M$15:$M$22,MATCH($B3340,Übersicht!$A$15:$A$22,0))),0)&gt;1,DAY($A3340)&gt;=IFERROR(N(INDEX(Übersicht!$M$15:$M$22,MATCH($B3340,Übersicht!$A$15:$A$22,0))),0)),1,0),1))</f>
        <v/>
      </c>
    </row>
    <row r="3341">
      <c r="A3341" s="92" t="n"/>
      <c r="B3341" s="55" t="n"/>
      <c r="C3341" s="55" t="n"/>
      <c r="D3341" s="55" t="n"/>
      <c r="E3341" s="93" t="n"/>
      <c r="F3341" s="94" t="n"/>
      <c r="G3341" s="94" t="n"/>
      <c r="H3341" s="94" t="n"/>
      <c r="I3341" s="94" t="n"/>
      <c r="J3341" s="55" t="n"/>
      <c r="K3341" s="95" t="n"/>
      <c r="L3341" s="116">
        <f>IF($A3341="","",DATE(YEAR($A3341),MONTH($A3341)+IF(AND(IFERROR(N(INDEX(Übersicht!$M$15:$M$22,MATCH($B3341,Übersicht!$A$15:$A$22,0))),0)&gt;1,DAY($A3341)&gt;=IFERROR(N(INDEX(Übersicht!$M$15:$M$22,MATCH($B3341,Übersicht!$A$15:$A$22,0))),0)),1,0),1))</f>
        <v/>
      </c>
    </row>
    <row r="3342">
      <c r="A3342" s="92" t="n"/>
      <c r="B3342" s="55" t="n"/>
      <c r="C3342" s="55" t="n"/>
      <c r="D3342" s="55" t="n"/>
      <c r="E3342" s="93" t="n"/>
      <c r="F3342" s="94" t="n"/>
      <c r="G3342" s="94" t="n"/>
      <c r="H3342" s="94" t="n"/>
      <c r="I3342" s="94" t="n"/>
      <c r="J3342" s="55" t="n"/>
      <c r="K3342" s="95" t="n"/>
      <c r="L3342" s="116">
        <f>IF($A3342="","",DATE(YEAR($A3342),MONTH($A3342)+IF(AND(IFERROR(N(INDEX(Übersicht!$M$15:$M$22,MATCH($B3342,Übersicht!$A$15:$A$22,0))),0)&gt;1,DAY($A3342)&gt;=IFERROR(N(INDEX(Übersicht!$M$15:$M$22,MATCH($B3342,Übersicht!$A$15:$A$22,0))),0)),1,0),1))</f>
        <v/>
      </c>
    </row>
    <row r="3343">
      <c r="A3343" s="92" t="n"/>
      <c r="B3343" s="55" t="n"/>
      <c r="C3343" s="55" t="n"/>
      <c r="D3343" s="55" t="n"/>
      <c r="E3343" s="93" t="n"/>
      <c r="F3343" s="94" t="n"/>
      <c r="G3343" s="94" t="n"/>
      <c r="H3343" s="94" t="n"/>
      <c r="I3343" s="94" t="n"/>
      <c r="J3343" s="55" t="n"/>
      <c r="K3343" s="95" t="n"/>
      <c r="L3343" s="116">
        <f>IF($A3343="","",DATE(YEAR($A3343),MONTH($A3343)+IF(AND(IFERROR(N(INDEX(Übersicht!$M$15:$M$22,MATCH($B3343,Übersicht!$A$15:$A$22,0))),0)&gt;1,DAY($A3343)&gt;=IFERROR(N(INDEX(Übersicht!$M$15:$M$22,MATCH($B3343,Übersicht!$A$15:$A$22,0))),0)),1,0),1))</f>
        <v/>
      </c>
    </row>
    <row r="3344">
      <c r="A3344" s="92" t="n"/>
      <c r="B3344" s="55" t="n"/>
      <c r="C3344" s="55" t="n"/>
      <c r="D3344" s="55" t="n"/>
      <c r="E3344" s="93" t="n"/>
      <c r="F3344" s="94" t="n"/>
      <c r="G3344" s="94" t="n"/>
      <c r="H3344" s="94" t="n"/>
      <c r="I3344" s="94" t="n"/>
      <c r="J3344" s="55" t="n"/>
      <c r="K3344" s="95" t="n"/>
      <c r="L3344" s="116">
        <f>IF($A3344="","",DATE(YEAR($A3344),MONTH($A3344)+IF(AND(IFERROR(N(INDEX(Übersicht!$M$15:$M$22,MATCH($B3344,Übersicht!$A$15:$A$22,0))),0)&gt;1,DAY($A3344)&gt;=IFERROR(N(INDEX(Übersicht!$M$15:$M$22,MATCH($B3344,Übersicht!$A$15:$A$22,0))),0)),1,0),1))</f>
        <v/>
      </c>
    </row>
    <row r="3345">
      <c r="A3345" s="92" t="n"/>
      <c r="B3345" s="55" t="n"/>
      <c r="C3345" s="55" t="n"/>
      <c r="D3345" s="55" t="n"/>
      <c r="E3345" s="93" t="n"/>
      <c r="F3345" s="94" t="n"/>
      <c r="G3345" s="94" t="n"/>
      <c r="H3345" s="94" t="n"/>
      <c r="I3345" s="94" t="n"/>
      <c r="J3345" s="55" t="n"/>
      <c r="K3345" s="95" t="n"/>
      <c r="L3345" s="116">
        <f>IF($A3345="","",DATE(YEAR($A3345),MONTH($A3345)+IF(AND(IFERROR(N(INDEX(Übersicht!$M$15:$M$22,MATCH($B3345,Übersicht!$A$15:$A$22,0))),0)&gt;1,DAY($A3345)&gt;=IFERROR(N(INDEX(Übersicht!$M$15:$M$22,MATCH($B3345,Übersicht!$A$15:$A$22,0))),0)),1,0),1))</f>
        <v/>
      </c>
    </row>
    <row r="3346">
      <c r="A3346" s="92" t="n"/>
      <c r="B3346" s="55" t="n"/>
      <c r="C3346" s="55" t="n"/>
      <c r="D3346" s="55" t="n"/>
      <c r="E3346" s="93" t="n"/>
      <c r="F3346" s="94" t="n"/>
      <c r="G3346" s="94" t="n"/>
      <c r="H3346" s="94" t="n"/>
      <c r="I3346" s="94" t="n"/>
      <c r="J3346" s="55" t="n"/>
      <c r="K3346" s="95" t="n"/>
      <c r="L3346" s="116">
        <f>IF($A3346="","",DATE(YEAR($A3346),MONTH($A3346)+IF(AND(IFERROR(N(INDEX(Übersicht!$M$15:$M$22,MATCH($B3346,Übersicht!$A$15:$A$22,0))),0)&gt;1,DAY($A3346)&gt;=IFERROR(N(INDEX(Übersicht!$M$15:$M$22,MATCH($B3346,Übersicht!$A$15:$A$22,0))),0)),1,0),1))</f>
        <v/>
      </c>
    </row>
    <row r="3347">
      <c r="A3347" s="92" t="n"/>
      <c r="B3347" s="55" t="n"/>
      <c r="C3347" s="55" t="n"/>
      <c r="D3347" s="55" t="n"/>
      <c r="E3347" s="93" t="n"/>
      <c r="F3347" s="94" t="n"/>
      <c r="G3347" s="94" t="n"/>
      <c r="H3347" s="94" t="n"/>
      <c r="I3347" s="94" t="n"/>
      <c r="J3347" s="55" t="n"/>
      <c r="K3347" s="95" t="n"/>
      <c r="L3347" s="116">
        <f>IF($A3347="","",DATE(YEAR($A3347),MONTH($A3347)+IF(AND(IFERROR(N(INDEX(Übersicht!$M$15:$M$22,MATCH($B3347,Übersicht!$A$15:$A$22,0))),0)&gt;1,DAY($A3347)&gt;=IFERROR(N(INDEX(Übersicht!$M$15:$M$22,MATCH($B3347,Übersicht!$A$15:$A$22,0))),0)),1,0),1))</f>
        <v/>
      </c>
    </row>
    <row r="3348">
      <c r="A3348" s="92" t="n"/>
      <c r="B3348" s="55" t="n"/>
      <c r="C3348" s="55" t="n"/>
      <c r="D3348" s="55" t="n"/>
      <c r="E3348" s="93" t="n"/>
      <c r="F3348" s="94" t="n"/>
      <c r="G3348" s="94" t="n"/>
      <c r="H3348" s="94" t="n"/>
      <c r="I3348" s="94" t="n"/>
      <c r="J3348" s="55" t="n"/>
      <c r="K3348" s="95" t="n"/>
      <c r="L3348" s="116">
        <f>IF($A3348="","",DATE(YEAR($A3348),MONTH($A3348)+IF(AND(IFERROR(N(INDEX(Übersicht!$M$15:$M$22,MATCH($B3348,Übersicht!$A$15:$A$22,0))),0)&gt;1,DAY($A3348)&gt;=IFERROR(N(INDEX(Übersicht!$M$15:$M$22,MATCH($B3348,Übersicht!$A$15:$A$22,0))),0)),1,0),1))</f>
        <v/>
      </c>
    </row>
    <row r="3349">
      <c r="A3349" s="92" t="n"/>
      <c r="B3349" s="55" t="n"/>
      <c r="C3349" s="55" t="n"/>
      <c r="D3349" s="55" t="n"/>
      <c r="E3349" s="93" t="n"/>
      <c r="F3349" s="94" t="n"/>
      <c r="G3349" s="94" t="n"/>
      <c r="H3349" s="94" t="n"/>
      <c r="I3349" s="94" t="n"/>
      <c r="J3349" s="55" t="n"/>
      <c r="K3349" s="95" t="n"/>
      <c r="L3349" s="116">
        <f>IF($A3349="","",DATE(YEAR($A3349),MONTH($A3349)+IF(AND(IFERROR(N(INDEX(Übersicht!$M$15:$M$22,MATCH($B3349,Übersicht!$A$15:$A$22,0))),0)&gt;1,DAY($A3349)&gt;=IFERROR(N(INDEX(Übersicht!$M$15:$M$22,MATCH($B3349,Übersicht!$A$15:$A$22,0))),0)),1,0),1))</f>
        <v/>
      </c>
    </row>
    <row r="3350">
      <c r="A3350" s="92" t="n"/>
      <c r="B3350" s="55" t="n"/>
      <c r="C3350" s="55" t="n"/>
      <c r="D3350" s="55" t="n"/>
      <c r="E3350" s="93" t="n"/>
      <c r="F3350" s="94" t="n"/>
      <c r="G3350" s="94" t="n"/>
      <c r="H3350" s="94" t="n"/>
      <c r="I3350" s="94" t="n"/>
      <c r="J3350" s="55" t="n"/>
      <c r="K3350" s="95" t="n"/>
      <c r="L3350" s="116">
        <f>IF($A3350="","",DATE(YEAR($A3350),MONTH($A3350)+IF(AND(IFERROR(N(INDEX(Übersicht!$M$15:$M$22,MATCH($B3350,Übersicht!$A$15:$A$22,0))),0)&gt;1,DAY($A3350)&gt;=IFERROR(N(INDEX(Übersicht!$M$15:$M$22,MATCH($B3350,Übersicht!$A$15:$A$22,0))),0)),1,0),1))</f>
        <v/>
      </c>
    </row>
    <row r="3351">
      <c r="A3351" s="92" t="n"/>
      <c r="B3351" s="55" t="n"/>
      <c r="C3351" s="55" t="n"/>
      <c r="D3351" s="55" t="n"/>
      <c r="E3351" s="93" t="n"/>
      <c r="F3351" s="94" t="n"/>
      <c r="G3351" s="94" t="n"/>
      <c r="H3351" s="94" t="n"/>
      <c r="I3351" s="94" t="n"/>
      <c r="J3351" s="55" t="n"/>
      <c r="K3351" s="95" t="n"/>
      <c r="L3351" s="116">
        <f>IF($A3351="","",DATE(YEAR($A3351),MONTH($A3351)+IF(AND(IFERROR(N(INDEX(Übersicht!$M$15:$M$22,MATCH($B3351,Übersicht!$A$15:$A$22,0))),0)&gt;1,DAY($A3351)&gt;=IFERROR(N(INDEX(Übersicht!$M$15:$M$22,MATCH($B3351,Übersicht!$A$15:$A$22,0))),0)),1,0),1))</f>
        <v/>
      </c>
    </row>
    <row r="3352">
      <c r="A3352" s="92" t="n"/>
      <c r="B3352" s="55" t="n"/>
      <c r="C3352" s="55" t="n"/>
      <c r="D3352" s="55" t="n"/>
      <c r="E3352" s="93" t="n"/>
      <c r="F3352" s="94" t="n"/>
      <c r="G3352" s="94" t="n"/>
      <c r="H3352" s="94" t="n"/>
      <c r="I3352" s="94" t="n"/>
      <c r="J3352" s="55" t="n"/>
      <c r="K3352" s="95" t="n"/>
      <c r="L3352" s="116">
        <f>IF($A3352="","",DATE(YEAR($A3352),MONTH($A3352)+IF(AND(IFERROR(N(INDEX(Übersicht!$M$15:$M$22,MATCH($B3352,Übersicht!$A$15:$A$22,0))),0)&gt;1,DAY($A3352)&gt;=IFERROR(N(INDEX(Übersicht!$M$15:$M$22,MATCH($B3352,Übersicht!$A$15:$A$22,0))),0)),1,0),1))</f>
        <v/>
      </c>
    </row>
    <row r="3353">
      <c r="A3353" s="92" t="n"/>
      <c r="B3353" s="55" t="n"/>
      <c r="C3353" s="55" t="n"/>
      <c r="D3353" s="55" t="n"/>
      <c r="E3353" s="93" t="n"/>
      <c r="F3353" s="94" t="n"/>
      <c r="G3353" s="94" t="n"/>
      <c r="H3353" s="94" t="n"/>
      <c r="I3353" s="94" t="n"/>
      <c r="J3353" s="55" t="n"/>
      <c r="K3353" s="95" t="n"/>
      <c r="L3353" s="116">
        <f>IF($A3353="","",DATE(YEAR($A3353),MONTH($A3353)+IF(AND(IFERROR(N(INDEX(Übersicht!$M$15:$M$22,MATCH($B3353,Übersicht!$A$15:$A$22,0))),0)&gt;1,DAY($A3353)&gt;=IFERROR(N(INDEX(Übersicht!$M$15:$M$22,MATCH($B3353,Übersicht!$A$15:$A$22,0))),0)),1,0),1))</f>
        <v/>
      </c>
    </row>
    <row r="3354">
      <c r="A3354" s="92" t="n"/>
      <c r="B3354" s="55" t="n"/>
      <c r="C3354" s="55" t="n"/>
      <c r="D3354" s="55" t="n"/>
      <c r="E3354" s="93" t="n"/>
      <c r="F3354" s="94" t="n"/>
      <c r="G3354" s="94" t="n"/>
      <c r="H3354" s="94" t="n"/>
      <c r="I3354" s="94" t="n"/>
      <c r="J3354" s="55" t="n"/>
      <c r="K3354" s="95" t="n"/>
      <c r="L3354" s="116">
        <f>IF($A3354="","",DATE(YEAR($A3354),MONTH($A3354)+IF(AND(IFERROR(N(INDEX(Übersicht!$M$15:$M$22,MATCH($B3354,Übersicht!$A$15:$A$22,0))),0)&gt;1,DAY($A3354)&gt;=IFERROR(N(INDEX(Übersicht!$M$15:$M$22,MATCH($B3354,Übersicht!$A$15:$A$22,0))),0)),1,0),1))</f>
        <v/>
      </c>
    </row>
    <row r="3355">
      <c r="A3355" s="92" t="n"/>
      <c r="B3355" s="55" t="n"/>
      <c r="C3355" s="55" t="n"/>
      <c r="D3355" s="55" t="n"/>
      <c r="E3355" s="93" t="n"/>
      <c r="F3355" s="94" t="n"/>
      <c r="G3355" s="94" t="n"/>
      <c r="H3355" s="94" t="n"/>
      <c r="I3355" s="94" t="n"/>
      <c r="J3355" s="55" t="n"/>
      <c r="K3355" s="95" t="n"/>
      <c r="L3355" s="116">
        <f>IF($A3355="","",DATE(YEAR($A3355),MONTH($A3355)+IF(AND(IFERROR(N(INDEX(Übersicht!$M$15:$M$22,MATCH($B3355,Übersicht!$A$15:$A$22,0))),0)&gt;1,DAY($A3355)&gt;=IFERROR(N(INDEX(Übersicht!$M$15:$M$22,MATCH($B3355,Übersicht!$A$15:$A$22,0))),0)),1,0),1))</f>
        <v/>
      </c>
    </row>
    <row r="3356">
      <c r="A3356" s="92" t="n"/>
      <c r="B3356" s="55" t="n"/>
      <c r="C3356" s="55" t="n"/>
      <c r="D3356" s="55" t="n"/>
      <c r="E3356" s="93" t="n"/>
      <c r="F3356" s="94" t="n"/>
      <c r="G3356" s="94" t="n"/>
      <c r="H3356" s="94" t="n"/>
      <c r="I3356" s="94" t="n"/>
      <c r="J3356" s="55" t="n"/>
      <c r="K3356" s="95" t="n"/>
      <c r="L3356" s="116">
        <f>IF($A3356="","",DATE(YEAR($A3356),MONTH($A3356)+IF(AND(IFERROR(N(INDEX(Übersicht!$M$15:$M$22,MATCH($B3356,Übersicht!$A$15:$A$22,0))),0)&gt;1,DAY($A3356)&gt;=IFERROR(N(INDEX(Übersicht!$M$15:$M$22,MATCH($B3356,Übersicht!$A$15:$A$22,0))),0)),1,0),1))</f>
        <v/>
      </c>
    </row>
    <row r="3357">
      <c r="A3357" s="92" t="n"/>
      <c r="B3357" s="55" t="n"/>
      <c r="C3357" s="55" t="n"/>
      <c r="D3357" s="55" t="n"/>
      <c r="E3357" s="93" t="n"/>
      <c r="F3357" s="94" t="n"/>
      <c r="G3357" s="94" t="n"/>
      <c r="H3357" s="94" t="n"/>
      <c r="I3357" s="94" t="n"/>
      <c r="J3357" s="55" t="n"/>
      <c r="K3357" s="95" t="n"/>
      <c r="L3357" s="116">
        <f>IF($A3357="","",DATE(YEAR($A3357),MONTH($A3357)+IF(AND(IFERROR(N(INDEX(Übersicht!$M$15:$M$22,MATCH($B3357,Übersicht!$A$15:$A$22,0))),0)&gt;1,DAY($A3357)&gt;=IFERROR(N(INDEX(Übersicht!$M$15:$M$22,MATCH($B3357,Übersicht!$A$15:$A$22,0))),0)),1,0),1))</f>
        <v/>
      </c>
    </row>
    <row r="3358">
      <c r="A3358" s="92" t="n"/>
      <c r="B3358" s="55" t="n"/>
      <c r="C3358" s="55" t="n"/>
      <c r="D3358" s="55" t="n"/>
      <c r="E3358" s="93" t="n"/>
      <c r="F3358" s="94" t="n"/>
      <c r="G3358" s="94" t="n"/>
      <c r="H3358" s="94" t="n"/>
      <c r="I3358" s="94" t="n"/>
      <c r="J3358" s="55" t="n"/>
      <c r="K3358" s="95" t="n"/>
      <c r="L3358" s="116">
        <f>IF($A3358="","",DATE(YEAR($A3358),MONTH($A3358)+IF(AND(IFERROR(N(INDEX(Übersicht!$M$15:$M$22,MATCH($B3358,Übersicht!$A$15:$A$22,0))),0)&gt;1,DAY($A3358)&gt;=IFERROR(N(INDEX(Übersicht!$M$15:$M$22,MATCH($B3358,Übersicht!$A$15:$A$22,0))),0)),1,0),1))</f>
        <v/>
      </c>
    </row>
    <row r="3359">
      <c r="A3359" s="92" t="n"/>
      <c r="B3359" s="55" t="n"/>
      <c r="C3359" s="55" t="n"/>
      <c r="D3359" s="55" t="n"/>
      <c r="E3359" s="93" t="n"/>
      <c r="F3359" s="94" t="n"/>
      <c r="G3359" s="94" t="n"/>
      <c r="H3359" s="94" t="n"/>
      <c r="I3359" s="94" t="n"/>
      <c r="J3359" s="55" t="n"/>
      <c r="K3359" s="95" t="n"/>
      <c r="L3359" s="116">
        <f>IF($A3359="","",DATE(YEAR($A3359),MONTH($A3359)+IF(AND(IFERROR(N(INDEX(Übersicht!$M$15:$M$22,MATCH($B3359,Übersicht!$A$15:$A$22,0))),0)&gt;1,DAY($A3359)&gt;=IFERROR(N(INDEX(Übersicht!$M$15:$M$22,MATCH($B3359,Übersicht!$A$15:$A$22,0))),0)),1,0),1))</f>
        <v/>
      </c>
    </row>
    <row r="3360">
      <c r="A3360" s="92" t="n"/>
      <c r="B3360" s="55" t="n"/>
      <c r="C3360" s="55" t="n"/>
      <c r="D3360" s="55" t="n"/>
      <c r="E3360" s="93" t="n"/>
      <c r="F3360" s="94" t="n"/>
      <c r="G3360" s="94" t="n"/>
      <c r="H3360" s="94" t="n"/>
      <c r="I3360" s="94" t="n"/>
      <c r="J3360" s="55" t="n"/>
      <c r="K3360" s="95" t="n"/>
      <c r="L3360" s="116">
        <f>IF($A3360="","",DATE(YEAR($A3360),MONTH($A3360)+IF(AND(IFERROR(N(INDEX(Übersicht!$M$15:$M$22,MATCH($B3360,Übersicht!$A$15:$A$22,0))),0)&gt;1,DAY($A3360)&gt;=IFERROR(N(INDEX(Übersicht!$M$15:$M$22,MATCH($B3360,Übersicht!$A$15:$A$22,0))),0)),1,0),1))</f>
        <v/>
      </c>
    </row>
    <row r="3361">
      <c r="A3361" s="92" t="n"/>
      <c r="B3361" s="55" t="n"/>
      <c r="C3361" s="55" t="n"/>
      <c r="D3361" s="55" t="n"/>
      <c r="E3361" s="93" t="n"/>
      <c r="F3361" s="94" t="n"/>
      <c r="G3361" s="94" t="n"/>
      <c r="H3361" s="94" t="n"/>
      <c r="I3361" s="94" t="n"/>
      <c r="J3361" s="55" t="n"/>
      <c r="K3361" s="95" t="n"/>
      <c r="L3361" s="116">
        <f>IF($A3361="","",DATE(YEAR($A3361),MONTH($A3361)+IF(AND(IFERROR(N(INDEX(Übersicht!$M$15:$M$22,MATCH($B3361,Übersicht!$A$15:$A$22,0))),0)&gt;1,DAY($A3361)&gt;=IFERROR(N(INDEX(Übersicht!$M$15:$M$22,MATCH($B3361,Übersicht!$A$15:$A$22,0))),0)),1,0),1))</f>
        <v/>
      </c>
    </row>
    <row r="3362">
      <c r="A3362" s="92" t="n"/>
      <c r="B3362" s="55" t="n"/>
      <c r="C3362" s="55" t="n"/>
      <c r="D3362" s="55" t="n"/>
      <c r="E3362" s="93" t="n"/>
      <c r="F3362" s="94" t="n"/>
      <c r="G3362" s="94" t="n"/>
      <c r="H3362" s="94" t="n"/>
      <c r="I3362" s="94" t="n"/>
      <c r="J3362" s="55" t="n"/>
      <c r="K3362" s="95" t="n"/>
      <c r="L3362" s="116">
        <f>IF($A3362="","",DATE(YEAR($A3362),MONTH($A3362)+IF(AND(IFERROR(N(INDEX(Übersicht!$M$15:$M$22,MATCH($B3362,Übersicht!$A$15:$A$22,0))),0)&gt;1,DAY($A3362)&gt;=IFERROR(N(INDEX(Übersicht!$M$15:$M$22,MATCH($B3362,Übersicht!$A$15:$A$22,0))),0)),1,0),1))</f>
        <v/>
      </c>
    </row>
    <row r="3363">
      <c r="A3363" s="92" t="n"/>
      <c r="B3363" s="55" t="n"/>
      <c r="C3363" s="55" t="n"/>
      <c r="D3363" s="55" t="n"/>
      <c r="E3363" s="93" t="n"/>
      <c r="F3363" s="94" t="n"/>
      <c r="G3363" s="94" t="n"/>
      <c r="H3363" s="94" t="n"/>
      <c r="I3363" s="94" t="n"/>
      <c r="J3363" s="55" t="n"/>
      <c r="K3363" s="95" t="n"/>
      <c r="L3363" s="116">
        <f>IF($A3363="","",DATE(YEAR($A3363),MONTH($A3363)+IF(AND(IFERROR(N(INDEX(Übersicht!$M$15:$M$22,MATCH($B3363,Übersicht!$A$15:$A$22,0))),0)&gt;1,DAY($A3363)&gt;=IFERROR(N(INDEX(Übersicht!$M$15:$M$22,MATCH($B3363,Übersicht!$A$15:$A$22,0))),0)),1,0),1))</f>
        <v/>
      </c>
    </row>
    <row r="3364">
      <c r="A3364" s="92" t="n"/>
      <c r="B3364" s="55" t="n"/>
      <c r="C3364" s="55" t="n"/>
      <c r="D3364" s="55" t="n"/>
      <c r="E3364" s="93" t="n"/>
      <c r="F3364" s="94" t="n"/>
      <c r="G3364" s="94" t="n"/>
      <c r="H3364" s="94" t="n"/>
      <c r="I3364" s="94" t="n"/>
      <c r="J3364" s="55" t="n"/>
      <c r="K3364" s="95" t="n"/>
      <c r="L3364" s="116">
        <f>IF($A3364="","",DATE(YEAR($A3364),MONTH($A3364)+IF(AND(IFERROR(N(INDEX(Übersicht!$M$15:$M$22,MATCH($B3364,Übersicht!$A$15:$A$22,0))),0)&gt;1,DAY($A3364)&gt;=IFERROR(N(INDEX(Übersicht!$M$15:$M$22,MATCH($B3364,Übersicht!$A$15:$A$22,0))),0)),1,0),1))</f>
        <v/>
      </c>
    </row>
    <row r="3365">
      <c r="A3365" s="92" t="n"/>
      <c r="B3365" s="55" t="n"/>
      <c r="C3365" s="55" t="n"/>
      <c r="D3365" s="55" t="n"/>
      <c r="E3365" s="93" t="n"/>
      <c r="F3365" s="94" t="n"/>
      <c r="G3365" s="94" t="n"/>
      <c r="H3365" s="94" t="n"/>
      <c r="I3365" s="94" t="n"/>
      <c r="J3365" s="55" t="n"/>
      <c r="K3365" s="95" t="n"/>
      <c r="L3365" s="116">
        <f>IF($A3365="","",DATE(YEAR($A3365),MONTH($A3365)+IF(AND(IFERROR(N(INDEX(Übersicht!$M$15:$M$22,MATCH($B3365,Übersicht!$A$15:$A$22,0))),0)&gt;1,DAY($A3365)&gt;=IFERROR(N(INDEX(Übersicht!$M$15:$M$22,MATCH($B3365,Übersicht!$A$15:$A$22,0))),0)),1,0),1))</f>
        <v/>
      </c>
    </row>
    <row r="3366">
      <c r="A3366" s="92" t="n"/>
      <c r="B3366" s="55" t="n"/>
      <c r="C3366" s="55" t="n"/>
      <c r="D3366" s="55" t="n"/>
      <c r="E3366" s="93" t="n"/>
      <c r="F3366" s="94" t="n"/>
      <c r="G3366" s="94" t="n"/>
      <c r="H3366" s="94" t="n"/>
      <c r="I3366" s="94" t="n"/>
      <c r="J3366" s="55" t="n"/>
      <c r="K3366" s="95" t="n"/>
      <c r="L3366" s="116">
        <f>IF($A3366="","",DATE(YEAR($A3366),MONTH($A3366)+IF(AND(IFERROR(N(INDEX(Übersicht!$M$15:$M$22,MATCH($B3366,Übersicht!$A$15:$A$22,0))),0)&gt;1,DAY($A3366)&gt;=IFERROR(N(INDEX(Übersicht!$M$15:$M$22,MATCH($B3366,Übersicht!$A$15:$A$22,0))),0)),1,0),1))</f>
        <v/>
      </c>
    </row>
    <row r="3367">
      <c r="A3367" s="92" t="n"/>
      <c r="B3367" s="55" t="n"/>
      <c r="C3367" s="55" t="n"/>
      <c r="D3367" s="55" t="n"/>
      <c r="E3367" s="93" t="n"/>
      <c r="F3367" s="94" t="n"/>
      <c r="G3367" s="94" t="n"/>
      <c r="H3367" s="94" t="n"/>
      <c r="I3367" s="94" t="n"/>
      <c r="J3367" s="55" t="n"/>
      <c r="K3367" s="95" t="n"/>
      <c r="L3367" s="116">
        <f>IF($A3367="","",DATE(YEAR($A3367),MONTH($A3367)+IF(AND(IFERROR(N(INDEX(Übersicht!$M$15:$M$22,MATCH($B3367,Übersicht!$A$15:$A$22,0))),0)&gt;1,DAY($A3367)&gt;=IFERROR(N(INDEX(Übersicht!$M$15:$M$22,MATCH($B3367,Übersicht!$A$15:$A$22,0))),0)),1,0),1))</f>
        <v/>
      </c>
    </row>
    <row r="3368">
      <c r="A3368" s="92" t="n"/>
      <c r="B3368" s="55" t="n"/>
      <c r="C3368" s="55" t="n"/>
      <c r="D3368" s="55" t="n"/>
      <c r="E3368" s="93" t="n"/>
      <c r="F3368" s="94" t="n"/>
      <c r="G3368" s="94" t="n"/>
      <c r="H3368" s="94" t="n"/>
      <c r="I3368" s="94" t="n"/>
      <c r="J3368" s="55" t="n"/>
      <c r="K3368" s="95" t="n"/>
      <c r="L3368" s="116">
        <f>IF($A3368="","",DATE(YEAR($A3368),MONTH($A3368)+IF(AND(IFERROR(N(INDEX(Übersicht!$M$15:$M$22,MATCH($B3368,Übersicht!$A$15:$A$22,0))),0)&gt;1,DAY($A3368)&gt;=IFERROR(N(INDEX(Übersicht!$M$15:$M$22,MATCH($B3368,Übersicht!$A$15:$A$22,0))),0)),1,0),1))</f>
        <v/>
      </c>
    </row>
    <row r="3369">
      <c r="A3369" s="92" t="n"/>
      <c r="B3369" s="55" t="n"/>
      <c r="C3369" s="55" t="n"/>
      <c r="D3369" s="55" t="n"/>
      <c r="E3369" s="93" t="n"/>
      <c r="F3369" s="94" t="n"/>
      <c r="G3369" s="94" t="n"/>
      <c r="H3369" s="94" t="n"/>
      <c r="I3369" s="94" t="n"/>
      <c r="J3369" s="55" t="n"/>
      <c r="K3369" s="95" t="n"/>
      <c r="L3369" s="116">
        <f>IF($A3369="","",DATE(YEAR($A3369),MONTH($A3369)+IF(AND(IFERROR(N(INDEX(Übersicht!$M$15:$M$22,MATCH($B3369,Übersicht!$A$15:$A$22,0))),0)&gt;1,DAY($A3369)&gt;=IFERROR(N(INDEX(Übersicht!$M$15:$M$22,MATCH($B3369,Übersicht!$A$15:$A$22,0))),0)),1,0),1))</f>
        <v/>
      </c>
    </row>
    <row r="3370">
      <c r="A3370" s="92" t="n"/>
      <c r="B3370" s="55" t="n"/>
      <c r="C3370" s="55" t="n"/>
      <c r="D3370" s="55" t="n"/>
      <c r="E3370" s="93" t="n"/>
      <c r="F3370" s="94" t="n"/>
      <c r="G3370" s="94" t="n"/>
      <c r="H3370" s="94" t="n"/>
      <c r="I3370" s="94" t="n"/>
      <c r="J3370" s="55" t="n"/>
      <c r="K3370" s="95" t="n"/>
      <c r="L3370" s="116">
        <f>IF($A3370="","",DATE(YEAR($A3370),MONTH($A3370)+IF(AND(IFERROR(N(INDEX(Übersicht!$M$15:$M$22,MATCH($B3370,Übersicht!$A$15:$A$22,0))),0)&gt;1,DAY($A3370)&gt;=IFERROR(N(INDEX(Übersicht!$M$15:$M$22,MATCH($B3370,Übersicht!$A$15:$A$22,0))),0)),1,0),1))</f>
        <v/>
      </c>
    </row>
    <row r="3371">
      <c r="A3371" s="92" t="n"/>
      <c r="B3371" s="55" t="n"/>
      <c r="C3371" s="55" t="n"/>
      <c r="D3371" s="55" t="n"/>
      <c r="E3371" s="93" t="n"/>
      <c r="F3371" s="94" t="n"/>
      <c r="G3371" s="94" t="n"/>
      <c r="H3371" s="94" t="n"/>
      <c r="I3371" s="94" t="n"/>
      <c r="J3371" s="55" t="n"/>
      <c r="K3371" s="95" t="n"/>
      <c r="L3371" s="116">
        <f>IF($A3371="","",DATE(YEAR($A3371),MONTH($A3371)+IF(AND(IFERROR(N(INDEX(Übersicht!$M$15:$M$22,MATCH($B3371,Übersicht!$A$15:$A$22,0))),0)&gt;1,DAY($A3371)&gt;=IFERROR(N(INDEX(Übersicht!$M$15:$M$22,MATCH($B3371,Übersicht!$A$15:$A$22,0))),0)),1,0),1))</f>
        <v/>
      </c>
    </row>
    <row r="3372">
      <c r="A3372" s="92" t="n"/>
      <c r="B3372" s="55" t="n"/>
      <c r="C3372" s="55" t="n"/>
      <c r="D3372" s="55" t="n"/>
      <c r="E3372" s="93" t="n"/>
      <c r="F3372" s="94" t="n"/>
      <c r="G3372" s="94" t="n"/>
      <c r="H3372" s="94" t="n"/>
      <c r="I3372" s="94" t="n"/>
      <c r="J3372" s="55" t="n"/>
      <c r="K3372" s="95" t="n"/>
      <c r="L3372" s="116">
        <f>IF($A3372="","",DATE(YEAR($A3372),MONTH($A3372)+IF(AND(IFERROR(N(INDEX(Übersicht!$M$15:$M$22,MATCH($B3372,Übersicht!$A$15:$A$22,0))),0)&gt;1,DAY($A3372)&gt;=IFERROR(N(INDEX(Übersicht!$M$15:$M$22,MATCH($B3372,Übersicht!$A$15:$A$22,0))),0)),1,0),1))</f>
        <v/>
      </c>
    </row>
    <row r="3373">
      <c r="A3373" s="92" t="n"/>
      <c r="B3373" s="55" t="n"/>
      <c r="C3373" s="55" t="n"/>
      <c r="D3373" s="55" t="n"/>
      <c r="E3373" s="93" t="n"/>
      <c r="F3373" s="94" t="n"/>
      <c r="G3373" s="94" t="n"/>
      <c r="H3373" s="94" t="n"/>
      <c r="I3373" s="94" t="n"/>
      <c r="J3373" s="55" t="n"/>
      <c r="K3373" s="95" t="n"/>
      <c r="L3373" s="116">
        <f>IF($A3373="","",DATE(YEAR($A3373),MONTH($A3373)+IF(AND(IFERROR(N(INDEX(Übersicht!$M$15:$M$22,MATCH($B3373,Übersicht!$A$15:$A$22,0))),0)&gt;1,DAY($A3373)&gt;=IFERROR(N(INDEX(Übersicht!$M$15:$M$22,MATCH($B3373,Übersicht!$A$15:$A$22,0))),0)),1,0),1))</f>
        <v/>
      </c>
    </row>
    <row r="3374">
      <c r="A3374" s="92" t="n"/>
      <c r="B3374" s="55" t="n"/>
      <c r="C3374" s="55" t="n"/>
      <c r="D3374" s="55" t="n"/>
      <c r="E3374" s="93" t="n"/>
      <c r="F3374" s="94" t="n"/>
      <c r="G3374" s="94" t="n"/>
      <c r="H3374" s="94" t="n"/>
      <c r="I3374" s="94" t="n"/>
      <c r="J3374" s="55" t="n"/>
      <c r="K3374" s="95" t="n"/>
      <c r="L3374" s="116">
        <f>IF($A3374="","",DATE(YEAR($A3374),MONTH($A3374)+IF(AND(IFERROR(N(INDEX(Übersicht!$M$15:$M$22,MATCH($B3374,Übersicht!$A$15:$A$22,0))),0)&gt;1,DAY($A3374)&gt;=IFERROR(N(INDEX(Übersicht!$M$15:$M$22,MATCH($B3374,Übersicht!$A$15:$A$22,0))),0)),1,0),1))</f>
        <v/>
      </c>
    </row>
    <row r="3375">
      <c r="A3375" s="92" t="n"/>
      <c r="B3375" s="55" t="n"/>
      <c r="C3375" s="55" t="n"/>
      <c r="D3375" s="55" t="n"/>
      <c r="E3375" s="93" t="n"/>
      <c r="F3375" s="94" t="n"/>
      <c r="G3375" s="94" t="n"/>
      <c r="H3375" s="94" t="n"/>
      <c r="I3375" s="94" t="n"/>
      <c r="J3375" s="55" t="n"/>
      <c r="K3375" s="95" t="n"/>
      <c r="L3375" s="116">
        <f>IF($A3375="","",DATE(YEAR($A3375),MONTH($A3375)+IF(AND(IFERROR(N(INDEX(Übersicht!$M$15:$M$22,MATCH($B3375,Übersicht!$A$15:$A$22,0))),0)&gt;1,DAY($A3375)&gt;=IFERROR(N(INDEX(Übersicht!$M$15:$M$22,MATCH($B3375,Übersicht!$A$15:$A$22,0))),0)),1,0),1))</f>
        <v/>
      </c>
    </row>
    <row r="3376">
      <c r="A3376" s="92" t="n"/>
      <c r="B3376" s="55" t="n"/>
      <c r="C3376" s="55" t="n"/>
      <c r="D3376" s="55" t="n"/>
      <c r="E3376" s="93" t="n"/>
      <c r="F3376" s="94" t="n"/>
      <c r="G3376" s="94" t="n"/>
      <c r="H3376" s="94" t="n"/>
      <c r="I3376" s="94" t="n"/>
      <c r="J3376" s="55" t="n"/>
      <c r="K3376" s="95" t="n"/>
      <c r="L3376" s="116">
        <f>IF($A3376="","",DATE(YEAR($A3376),MONTH($A3376)+IF(AND(IFERROR(N(INDEX(Übersicht!$M$15:$M$22,MATCH($B3376,Übersicht!$A$15:$A$22,0))),0)&gt;1,DAY($A3376)&gt;=IFERROR(N(INDEX(Übersicht!$M$15:$M$22,MATCH($B3376,Übersicht!$A$15:$A$22,0))),0)),1,0),1))</f>
        <v/>
      </c>
    </row>
    <row r="3377">
      <c r="A3377" s="92" t="n"/>
      <c r="B3377" s="55" t="n"/>
      <c r="C3377" s="55" t="n"/>
      <c r="D3377" s="55" t="n"/>
      <c r="E3377" s="93" t="n"/>
      <c r="F3377" s="94" t="n"/>
      <c r="G3377" s="94" t="n"/>
      <c r="H3377" s="94" t="n"/>
      <c r="I3377" s="94" t="n"/>
      <c r="J3377" s="55" t="n"/>
      <c r="K3377" s="95" t="n"/>
      <c r="L3377" s="116">
        <f>IF($A3377="","",DATE(YEAR($A3377),MONTH($A3377)+IF(AND(IFERROR(N(INDEX(Übersicht!$M$15:$M$22,MATCH($B3377,Übersicht!$A$15:$A$22,0))),0)&gt;1,DAY($A3377)&gt;=IFERROR(N(INDEX(Übersicht!$M$15:$M$22,MATCH($B3377,Übersicht!$A$15:$A$22,0))),0)),1,0),1))</f>
        <v/>
      </c>
    </row>
    <row r="3378">
      <c r="A3378" s="92" t="n"/>
      <c r="B3378" s="55" t="n"/>
      <c r="C3378" s="55" t="n"/>
      <c r="D3378" s="55" t="n"/>
      <c r="E3378" s="93" t="n"/>
      <c r="F3378" s="94" t="n"/>
      <c r="G3378" s="94" t="n"/>
      <c r="H3378" s="94" t="n"/>
      <c r="I3378" s="94" t="n"/>
      <c r="J3378" s="55" t="n"/>
      <c r="K3378" s="95" t="n"/>
      <c r="L3378" s="116">
        <f>IF($A3378="","",DATE(YEAR($A3378),MONTH($A3378)+IF(AND(IFERROR(N(INDEX(Übersicht!$M$15:$M$22,MATCH($B3378,Übersicht!$A$15:$A$22,0))),0)&gt;1,DAY($A3378)&gt;=IFERROR(N(INDEX(Übersicht!$M$15:$M$22,MATCH($B3378,Übersicht!$A$15:$A$22,0))),0)),1,0),1))</f>
        <v/>
      </c>
    </row>
    <row r="3379">
      <c r="A3379" s="92" t="n"/>
      <c r="B3379" s="55" t="n"/>
      <c r="C3379" s="55" t="n"/>
      <c r="D3379" s="55" t="n"/>
      <c r="E3379" s="93" t="n"/>
      <c r="F3379" s="94" t="n"/>
      <c r="G3379" s="94" t="n"/>
      <c r="H3379" s="94" t="n"/>
      <c r="I3379" s="94" t="n"/>
      <c r="J3379" s="55" t="n"/>
      <c r="K3379" s="95" t="n"/>
      <c r="L3379" s="116">
        <f>IF($A3379="","",DATE(YEAR($A3379),MONTH($A3379)+IF(AND(IFERROR(N(INDEX(Übersicht!$M$15:$M$22,MATCH($B3379,Übersicht!$A$15:$A$22,0))),0)&gt;1,DAY($A3379)&gt;=IFERROR(N(INDEX(Übersicht!$M$15:$M$22,MATCH($B3379,Übersicht!$A$15:$A$22,0))),0)),1,0),1))</f>
        <v/>
      </c>
    </row>
    <row r="3380">
      <c r="A3380" s="92" t="n"/>
      <c r="B3380" s="55" t="n"/>
      <c r="C3380" s="55" t="n"/>
      <c r="D3380" s="55" t="n"/>
      <c r="E3380" s="93" t="n"/>
      <c r="F3380" s="94" t="n"/>
      <c r="G3380" s="94" t="n"/>
      <c r="H3380" s="94" t="n"/>
      <c r="I3380" s="94" t="n"/>
      <c r="J3380" s="55" t="n"/>
      <c r="K3380" s="95" t="n"/>
      <c r="L3380" s="116">
        <f>IF($A3380="","",DATE(YEAR($A3380),MONTH($A3380)+IF(AND(IFERROR(N(INDEX(Übersicht!$M$15:$M$22,MATCH($B3380,Übersicht!$A$15:$A$22,0))),0)&gt;1,DAY($A3380)&gt;=IFERROR(N(INDEX(Übersicht!$M$15:$M$22,MATCH($B3380,Übersicht!$A$15:$A$22,0))),0)),1,0),1))</f>
        <v/>
      </c>
    </row>
    <row r="3381">
      <c r="A3381" s="92" t="n"/>
      <c r="B3381" s="55" t="n"/>
      <c r="C3381" s="55" t="n"/>
      <c r="D3381" s="55" t="n"/>
      <c r="E3381" s="93" t="n"/>
      <c r="F3381" s="94" t="n"/>
      <c r="G3381" s="94" t="n"/>
      <c r="H3381" s="94" t="n"/>
      <c r="I3381" s="94" t="n"/>
      <c r="J3381" s="55" t="n"/>
      <c r="K3381" s="95" t="n"/>
      <c r="L3381" s="116">
        <f>IF($A3381="","",DATE(YEAR($A3381),MONTH($A3381)+IF(AND(IFERROR(N(INDEX(Übersicht!$M$15:$M$22,MATCH($B3381,Übersicht!$A$15:$A$22,0))),0)&gt;1,DAY($A3381)&gt;=IFERROR(N(INDEX(Übersicht!$M$15:$M$22,MATCH($B3381,Übersicht!$A$15:$A$22,0))),0)),1,0),1))</f>
        <v/>
      </c>
    </row>
    <row r="3382">
      <c r="A3382" s="92" t="n"/>
      <c r="B3382" s="55" t="n"/>
      <c r="C3382" s="55" t="n"/>
      <c r="D3382" s="55" t="n"/>
      <c r="E3382" s="93" t="n"/>
      <c r="F3382" s="94" t="n"/>
      <c r="G3382" s="94" t="n"/>
      <c r="H3382" s="94" t="n"/>
      <c r="I3382" s="94" t="n"/>
      <c r="J3382" s="55" t="n"/>
      <c r="K3382" s="95" t="n"/>
      <c r="L3382" s="116">
        <f>IF($A3382="","",DATE(YEAR($A3382),MONTH($A3382)+IF(AND(IFERROR(N(INDEX(Übersicht!$M$15:$M$22,MATCH($B3382,Übersicht!$A$15:$A$22,0))),0)&gt;1,DAY($A3382)&gt;=IFERROR(N(INDEX(Übersicht!$M$15:$M$22,MATCH($B3382,Übersicht!$A$15:$A$22,0))),0)),1,0),1))</f>
        <v/>
      </c>
    </row>
    <row r="3383">
      <c r="A3383" s="92" t="n"/>
      <c r="B3383" s="55" t="n"/>
      <c r="C3383" s="55" t="n"/>
      <c r="D3383" s="55" t="n"/>
      <c r="E3383" s="93" t="n"/>
      <c r="F3383" s="94" t="n"/>
      <c r="G3383" s="94" t="n"/>
      <c r="H3383" s="94" t="n"/>
      <c r="I3383" s="94" t="n"/>
      <c r="J3383" s="55" t="n"/>
      <c r="K3383" s="95" t="n"/>
      <c r="L3383" s="116">
        <f>IF($A3383="","",DATE(YEAR($A3383),MONTH($A3383)+IF(AND(IFERROR(N(INDEX(Übersicht!$M$15:$M$22,MATCH($B3383,Übersicht!$A$15:$A$22,0))),0)&gt;1,DAY($A3383)&gt;=IFERROR(N(INDEX(Übersicht!$M$15:$M$22,MATCH($B3383,Übersicht!$A$15:$A$22,0))),0)),1,0),1))</f>
        <v/>
      </c>
    </row>
    <row r="3384">
      <c r="A3384" s="92" t="n"/>
      <c r="B3384" s="55" t="n"/>
      <c r="C3384" s="55" t="n"/>
      <c r="D3384" s="55" t="n"/>
      <c r="E3384" s="93" t="n"/>
      <c r="F3384" s="94" t="n"/>
      <c r="G3384" s="94" t="n"/>
      <c r="H3384" s="94" t="n"/>
      <c r="I3384" s="94" t="n"/>
      <c r="J3384" s="55" t="n"/>
      <c r="K3384" s="95" t="n"/>
      <c r="L3384" s="116">
        <f>IF($A3384="","",DATE(YEAR($A3384),MONTH($A3384)+IF(AND(IFERROR(N(INDEX(Übersicht!$M$15:$M$22,MATCH($B3384,Übersicht!$A$15:$A$22,0))),0)&gt;1,DAY($A3384)&gt;=IFERROR(N(INDEX(Übersicht!$M$15:$M$22,MATCH($B3384,Übersicht!$A$15:$A$22,0))),0)),1,0),1))</f>
        <v/>
      </c>
    </row>
    <row r="3385">
      <c r="A3385" s="92" t="n"/>
      <c r="B3385" s="55" t="n"/>
      <c r="C3385" s="55" t="n"/>
      <c r="D3385" s="55" t="n"/>
      <c r="E3385" s="93" t="n"/>
      <c r="F3385" s="94" t="n"/>
      <c r="G3385" s="94" t="n"/>
      <c r="H3385" s="94" t="n"/>
      <c r="I3385" s="94" t="n"/>
      <c r="J3385" s="55" t="n"/>
      <c r="K3385" s="95" t="n"/>
      <c r="L3385" s="116">
        <f>IF($A3385="","",DATE(YEAR($A3385),MONTH($A3385)+IF(AND(IFERROR(N(INDEX(Übersicht!$M$15:$M$22,MATCH($B3385,Übersicht!$A$15:$A$22,0))),0)&gt;1,DAY($A3385)&gt;=IFERROR(N(INDEX(Übersicht!$M$15:$M$22,MATCH($B3385,Übersicht!$A$15:$A$22,0))),0)),1,0),1))</f>
        <v/>
      </c>
    </row>
    <row r="3386">
      <c r="A3386" s="92" t="n"/>
      <c r="B3386" s="55" t="n"/>
      <c r="C3386" s="55" t="n"/>
      <c r="D3386" s="55" t="n"/>
      <c r="E3386" s="93" t="n"/>
      <c r="F3386" s="94" t="n"/>
      <c r="G3386" s="94" t="n"/>
      <c r="H3386" s="94" t="n"/>
      <c r="I3386" s="94" t="n"/>
      <c r="J3386" s="55" t="n"/>
      <c r="K3386" s="95" t="n"/>
      <c r="L3386" s="116">
        <f>IF($A3386="","",DATE(YEAR($A3386),MONTH($A3386)+IF(AND(IFERROR(N(INDEX(Übersicht!$M$15:$M$22,MATCH($B3386,Übersicht!$A$15:$A$22,0))),0)&gt;1,DAY($A3386)&gt;=IFERROR(N(INDEX(Übersicht!$M$15:$M$22,MATCH($B3386,Übersicht!$A$15:$A$22,0))),0)),1,0),1))</f>
        <v/>
      </c>
    </row>
    <row r="3387">
      <c r="A3387" s="92" t="n"/>
      <c r="B3387" s="55" t="n"/>
      <c r="C3387" s="55" t="n"/>
      <c r="D3387" s="55" t="n"/>
      <c r="E3387" s="93" t="n"/>
      <c r="F3387" s="94" t="n"/>
      <c r="G3387" s="94" t="n"/>
      <c r="H3387" s="94" t="n"/>
      <c r="I3387" s="94" t="n"/>
      <c r="J3387" s="55" t="n"/>
      <c r="K3387" s="95" t="n"/>
      <c r="L3387" s="116">
        <f>IF($A3387="","",DATE(YEAR($A3387),MONTH($A3387)+IF(AND(IFERROR(N(INDEX(Übersicht!$M$15:$M$22,MATCH($B3387,Übersicht!$A$15:$A$22,0))),0)&gt;1,DAY($A3387)&gt;=IFERROR(N(INDEX(Übersicht!$M$15:$M$22,MATCH($B3387,Übersicht!$A$15:$A$22,0))),0)),1,0),1))</f>
        <v/>
      </c>
    </row>
    <row r="3388">
      <c r="A3388" s="92" t="n"/>
      <c r="B3388" s="55" t="n"/>
      <c r="C3388" s="55" t="n"/>
      <c r="D3388" s="55" t="n"/>
      <c r="E3388" s="93" t="n"/>
      <c r="F3388" s="94" t="n"/>
      <c r="G3388" s="94" t="n"/>
      <c r="H3388" s="94" t="n"/>
      <c r="I3388" s="94" t="n"/>
      <c r="J3388" s="55" t="n"/>
      <c r="K3388" s="95" t="n"/>
      <c r="L3388" s="116">
        <f>IF($A3388="","",DATE(YEAR($A3388),MONTH($A3388)+IF(AND(IFERROR(N(INDEX(Übersicht!$M$15:$M$22,MATCH($B3388,Übersicht!$A$15:$A$22,0))),0)&gt;1,DAY($A3388)&gt;=IFERROR(N(INDEX(Übersicht!$M$15:$M$22,MATCH($B3388,Übersicht!$A$15:$A$22,0))),0)),1,0),1))</f>
        <v/>
      </c>
    </row>
    <row r="3389">
      <c r="A3389" s="92" t="n"/>
      <c r="B3389" s="55" t="n"/>
      <c r="C3389" s="55" t="n"/>
      <c r="D3389" s="55" t="n"/>
      <c r="E3389" s="93" t="n"/>
      <c r="F3389" s="94" t="n"/>
      <c r="G3389" s="94" t="n"/>
      <c r="H3389" s="94" t="n"/>
      <c r="I3389" s="94" t="n"/>
      <c r="J3389" s="55" t="n"/>
      <c r="K3389" s="95" t="n"/>
      <c r="L3389" s="116">
        <f>IF($A3389="","",DATE(YEAR($A3389),MONTH($A3389)+IF(AND(IFERROR(N(INDEX(Übersicht!$M$15:$M$22,MATCH($B3389,Übersicht!$A$15:$A$22,0))),0)&gt;1,DAY($A3389)&gt;=IFERROR(N(INDEX(Übersicht!$M$15:$M$22,MATCH($B3389,Übersicht!$A$15:$A$22,0))),0)),1,0),1))</f>
        <v/>
      </c>
    </row>
    <row r="3390">
      <c r="A3390" s="92" t="n"/>
      <c r="B3390" s="55" t="n"/>
      <c r="C3390" s="55" t="n"/>
      <c r="D3390" s="55" t="n"/>
      <c r="E3390" s="93" t="n"/>
      <c r="F3390" s="94" t="n"/>
      <c r="G3390" s="94" t="n"/>
      <c r="H3390" s="94" t="n"/>
      <c r="I3390" s="94" t="n"/>
      <c r="J3390" s="55" t="n"/>
      <c r="K3390" s="95" t="n"/>
      <c r="L3390" s="116">
        <f>IF($A3390="","",DATE(YEAR($A3390),MONTH($A3390)+IF(AND(IFERROR(N(INDEX(Übersicht!$M$15:$M$22,MATCH($B3390,Übersicht!$A$15:$A$22,0))),0)&gt;1,DAY($A3390)&gt;=IFERROR(N(INDEX(Übersicht!$M$15:$M$22,MATCH($B3390,Übersicht!$A$15:$A$22,0))),0)),1,0),1))</f>
        <v/>
      </c>
    </row>
    <row r="3391">
      <c r="A3391" s="92" t="n"/>
      <c r="B3391" s="55" t="n"/>
      <c r="C3391" s="55" t="n"/>
      <c r="D3391" s="55" t="n"/>
      <c r="E3391" s="93" t="n"/>
      <c r="F3391" s="94" t="n"/>
      <c r="G3391" s="94" t="n"/>
      <c r="H3391" s="94" t="n"/>
      <c r="I3391" s="94" t="n"/>
      <c r="J3391" s="55" t="n"/>
      <c r="K3391" s="95" t="n"/>
      <c r="L3391" s="116">
        <f>IF($A3391="","",DATE(YEAR($A3391),MONTH($A3391)+IF(AND(IFERROR(N(INDEX(Übersicht!$M$15:$M$22,MATCH($B3391,Übersicht!$A$15:$A$22,0))),0)&gt;1,DAY($A3391)&gt;=IFERROR(N(INDEX(Übersicht!$M$15:$M$22,MATCH($B3391,Übersicht!$A$15:$A$22,0))),0)),1,0),1))</f>
        <v/>
      </c>
    </row>
    <row r="3392">
      <c r="A3392" s="92" t="n"/>
      <c r="B3392" s="55" t="n"/>
      <c r="C3392" s="55" t="n"/>
      <c r="D3392" s="55" t="n"/>
      <c r="E3392" s="93" t="n"/>
      <c r="F3392" s="94" t="n"/>
      <c r="G3392" s="94" t="n"/>
      <c r="H3392" s="94" t="n"/>
      <c r="I3392" s="94" t="n"/>
      <c r="J3392" s="55" t="n"/>
      <c r="K3392" s="95" t="n"/>
      <c r="L3392" s="116">
        <f>IF($A3392="","",DATE(YEAR($A3392),MONTH($A3392)+IF(AND(IFERROR(N(INDEX(Übersicht!$M$15:$M$22,MATCH($B3392,Übersicht!$A$15:$A$22,0))),0)&gt;1,DAY($A3392)&gt;=IFERROR(N(INDEX(Übersicht!$M$15:$M$22,MATCH($B3392,Übersicht!$A$15:$A$22,0))),0)),1,0),1))</f>
        <v/>
      </c>
    </row>
    <row r="3393">
      <c r="A3393" s="92" t="n"/>
      <c r="B3393" s="55" t="n"/>
      <c r="C3393" s="55" t="n"/>
      <c r="D3393" s="55" t="n"/>
      <c r="E3393" s="93" t="n"/>
      <c r="F3393" s="94" t="n"/>
      <c r="G3393" s="94" t="n"/>
      <c r="H3393" s="94" t="n"/>
      <c r="I3393" s="94" t="n"/>
      <c r="J3393" s="55" t="n"/>
      <c r="K3393" s="95" t="n"/>
      <c r="L3393" s="116">
        <f>IF($A3393="","",DATE(YEAR($A3393),MONTH($A3393)+IF(AND(IFERROR(N(INDEX(Übersicht!$M$15:$M$22,MATCH($B3393,Übersicht!$A$15:$A$22,0))),0)&gt;1,DAY($A3393)&gt;=IFERROR(N(INDEX(Übersicht!$M$15:$M$22,MATCH($B3393,Übersicht!$A$15:$A$22,0))),0)),1,0),1))</f>
        <v/>
      </c>
    </row>
    <row r="3394">
      <c r="A3394" s="92" t="n"/>
      <c r="B3394" s="55" t="n"/>
      <c r="C3394" s="55" t="n"/>
      <c r="D3394" s="55" t="n"/>
      <c r="E3394" s="93" t="n"/>
      <c r="F3394" s="94" t="n"/>
      <c r="G3394" s="94" t="n"/>
      <c r="H3394" s="94" t="n"/>
      <c r="I3394" s="94" t="n"/>
      <c r="J3394" s="55" t="n"/>
      <c r="K3394" s="95" t="n"/>
      <c r="L3394" s="116">
        <f>IF($A3394="","",DATE(YEAR($A3394),MONTH($A3394)+IF(AND(IFERROR(N(INDEX(Übersicht!$M$15:$M$22,MATCH($B3394,Übersicht!$A$15:$A$22,0))),0)&gt;1,DAY($A3394)&gt;=IFERROR(N(INDEX(Übersicht!$M$15:$M$22,MATCH($B3394,Übersicht!$A$15:$A$22,0))),0)),1,0),1))</f>
        <v/>
      </c>
    </row>
    <row r="3395">
      <c r="A3395" s="92" t="n"/>
      <c r="B3395" s="55" t="n"/>
      <c r="C3395" s="55" t="n"/>
      <c r="D3395" s="55" t="n"/>
      <c r="E3395" s="93" t="n"/>
      <c r="F3395" s="94" t="n"/>
      <c r="G3395" s="94" t="n"/>
      <c r="H3395" s="94" t="n"/>
      <c r="I3395" s="94" t="n"/>
      <c r="J3395" s="55" t="n"/>
      <c r="K3395" s="95" t="n"/>
      <c r="L3395" s="116">
        <f>IF($A3395="","",DATE(YEAR($A3395),MONTH($A3395)+IF(AND(IFERROR(N(INDEX(Übersicht!$M$15:$M$22,MATCH($B3395,Übersicht!$A$15:$A$22,0))),0)&gt;1,DAY($A3395)&gt;=IFERROR(N(INDEX(Übersicht!$M$15:$M$22,MATCH($B3395,Übersicht!$A$15:$A$22,0))),0)),1,0),1))</f>
        <v/>
      </c>
    </row>
    <row r="3396">
      <c r="A3396" s="92" t="n"/>
      <c r="B3396" s="55" t="n"/>
      <c r="C3396" s="55" t="n"/>
      <c r="D3396" s="55" t="n"/>
      <c r="E3396" s="93" t="n"/>
      <c r="F3396" s="94" t="n"/>
      <c r="G3396" s="94" t="n"/>
      <c r="H3396" s="94" t="n"/>
      <c r="I3396" s="94" t="n"/>
      <c r="J3396" s="55" t="n"/>
      <c r="K3396" s="95" t="n"/>
      <c r="L3396" s="116">
        <f>IF($A3396="","",DATE(YEAR($A3396),MONTH($A3396)+IF(AND(IFERROR(N(INDEX(Übersicht!$M$15:$M$22,MATCH($B3396,Übersicht!$A$15:$A$22,0))),0)&gt;1,DAY($A3396)&gt;=IFERROR(N(INDEX(Übersicht!$M$15:$M$22,MATCH($B3396,Übersicht!$A$15:$A$22,0))),0)),1,0),1))</f>
        <v/>
      </c>
    </row>
    <row r="3397">
      <c r="A3397" s="92" t="n"/>
      <c r="B3397" s="55" t="n"/>
      <c r="C3397" s="55" t="n"/>
      <c r="D3397" s="55" t="n"/>
      <c r="E3397" s="93" t="n"/>
      <c r="F3397" s="94" t="n"/>
      <c r="G3397" s="94" t="n"/>
      <c r="H3397" s="94" t="n"/>
      <c r="I3397" s="94" t="n"/>
      <c r="J3397" s="55" t="n"/>
      <c r="K3397" s="95" t="n"/>
      <c r="L3397" s="116">
        <f>IF($A3397="","",DATE(YEAR($A3397),MONTH($A3397)+IF(AND(IFERROR(N(INDEX(Übersicht!$M$15:$M$22,MATCH($B3397,Übersicht!$A$15:$A$22,0))),0)&gt;1,DAY($A3397)&gt;=IFERROR(N(INDEX(Übersicht!$M$15:$M$22,MATCH($B3397,Übersicht!$A$15:$A$22,0))),0)),1,0),1))</f>
        <v/>
      </c>
    </row>
    <row r="3398">
      <c r="A3398" s="92" t="n"/>
      <c r="B3398" s="55" t="n"/>
      <c r="C3398" s="55" t="n"/>
      <c r="D3398" s="55" t="n"/>
      <c r="E3398" s="93" t="n"/>
      <c r="F3398" s="94" t="n"/>
      <c r="G3398" s="94" t="n"/>
      <c r="H3398" s="94" t="n"/>
      <c r="I3398" s="94" t="n"/>
      <c r="J3398" s="55" t="n"/>
      <c r="K3398" s="95" t="n"/>
      <c r="L3398" s="116">
        <f>IF($A3398="","",DATE(YEAR($A3398),MONTH($A3398)+IF(AND(IFERROR(N(INDEX(Übersicht!$M$15:$M$22,MATCH($B3398,Übersicht!$A$15:$A$22,0))),0)&gt;1,DAY($A3398)&gt;=IFERROR(N(INDEX(Übersicht!$M$15:$M$22,MATCH($B3398,Übersicht!$A$15:$A$22,0))),0)),1,0),1))</f>
        <v/>
      </c>
    </row>
    <row r="3399">
      <c r="A3399" s="92" t="n"/>
      <c r="B3399" s="55" t="n"/>
      <c r="C3399" s="55" t="n"/>
      <c r="D3399" s="55" t="n"/>
      <c r="E3399" s="93" t="n"/>
      <c r="F3399" s="94" t="n"/>
      <c r="G3399" s="94" t="n"/>
      <c r="H3399" s="94" t="n"/>
      <c r="I3399" s="94" t="n"/>
      <c r="J3399" s="55" t="n"/>
      <c r="K3399" s="95" t="n"/>
      <c r="L3399" s="116">
        <f>IF($A3399="","",DATE(YEAR($A3399),MONTH($A3399)+IF(AND(IFERROR(N(INDEX(Übersicht!$M$15:$M$22,MATCH($B3399,Übersicht!$A$15:$A$22,0))),0)&gt;1,DAY($A3399)&gt;=IFERROR(N(INDEX(Übersicht!$M$15:$M$22,MATCH($B3399,Übersicht!$A$15:$A$22,0))),0)),1,0),1))</f>
        <v/>
      </c>
    </row>
    <row r="3400">
      <c r="A3400" s="92" t="n"/>
      <c r="B3400" s="55" t="n"/>
      <c r="C3400" s="55" t="n"/>
      <c r="D3400" s="55" t="n"/>
      <c r="E3400" s="93" t="n"/>
      <c r="F3400" s="94" t="n"/>
      <c r="G3400" s="94" t="n"/>
      <c r="H3400" s="94" t="n"/>
      <c r="I3400" s="94" t="n"/>
      <c r="J3400" s="55" t="n"/>
      <c r="K3400" s="95" t="n"/>
      <c r="L3400" s="116">
        <f>IF($A3400="","",DATE(YEAR($A3400),MONTH($A3400)+IF(AND(IFERROR(N(INDEX(Übersicht!$M$15:$M$22,MATCH($B3400,Übersicht!$A$15:$A$22,0))),0)&gt;1,DAY($A3400)&gt;=IFERROR(N(INDEX(Übersicht!$M$15:$M$22,MATCH($B3400,Übersicht!$A$15:$A$22,0))),0)),1,0),1))</f>
        <v/>
      </c>
    </row>
    <row r="3401">
      <c r="A3401" s="92" t="n"/>
      <c r="B3401" s="55" t="n"/>
      <c r="C3401" s="55" t="n"/>
      <c r="D3401" s="55" t="n"/>
      <c r="E3401" s="93" t="n"/>
      <c r="F3401" s="94" t="n"/>
      <c r="G3401" s="94" t="n"/>
      <c r="H3401" s="94" t="n"/>
      <c r="I3401" s="94" t="n"/>
      <c r="J3401" s="55" t="n"/>
      <c r="K3401" s="95" t="n"/>
      <c r="L3401" s="116">
        <f>IF($A3401="","",DATE(YEAR($A3401),MONTH($A3401)+IF(AND(IFERROR(N(INDEX(Übersicht!$M$15:$M$22,MATCH($B3401,Übersicht!$A$15:$A$22,0))),0)&gt;1,DAY($A3401)&gt;=IFERROR(N(INDEX(Übersicht!$M$15:$M$22,MATCH($B3401,Übersicht!$A$15:$A$22,0))),0)),1,0),1))</f>
        <v/>
      </c>
    </row>
    <row r="3402">
      <c r="A3402" s="92" t="n"/>
      <c r="B3402" s="55" t="n"/>
      <c r="C3402" s="55" t="n"/>
      <c r="D3402" s="55" t="n"/>
      <c r="E3402" s="93" t="n"/>
      <c r="F3402" s="94" t="n"/>
      <c r="G3402" s="94" t="n"/>
      <c r="H3402" s="94" t="n"/>
      <c r="I3402" s="94" t="n"/>
      <c r="J3402" s="55" t="n"/>
      <c r="K3402" s="95" t="n"/>
      <c r="L3402" s="116">
        <f>IF($A3402="","",DATE(YEAR($A3402),MONTH($A3402)+IF(AND(IFERROR(N(INDEX(Übersicht!$M$15:$M$22,MATCH($B3402,Übersicht!$A$15:$A$22,0))),0)&gt;1,DAY($A3402)&gt;=IFERROR(N(INDEX(Übersicht!$M$15:$M$22,MATCH($B3402,Übersicht!$A$15:$A$22,0))),0)),1,0),1))</f>
        <v/>
      </c>
    </row>
    <row r="3403">
      <c r="A3403" s="92" t="n"/>
      <c r="B3403" s="55" t="n"/>
      <c r="C3403" s="55" t="n"/>
      <c r="D3403" s="55" t="n"/>
      <c r="E3403" s="93" t="n"/>
      <c r="F3403" s="94" t="n"/>
      <c r="G3403" s="94" t="n"/>
      <c r="H3403" s="94" t="n"/>
      <c r="I3403" s="94" t="n"/>
      <c r="J3403" s="55" t="n"/>
      <c r="K3403" s="95" t="n"/>
      <c r="L3403" s="116">
        <f>IF($A3403="","",DATE(YEAR($A3403),MONTH($A3403)+IF(AND(IFERROR(N(INDEX(Übersicht!$M$15:$M$22,MATCH($B3403,Übersicht!$A$15:$A$22,0))),0)&gt;1,DAY($A3403)&gt;=IFERROR(N(INDEX(Übersicht!$M$15:$M$22,MATCH($B3403,Übersicht!$A$15:$A$22,0))),0)),1,0),1))</f>
        <v/>
      </c>
    </row>
    <row r="3404">
      <c r="A3404" s="92" t="n"/>
      <c r="B3404" s="55" t="n"/>
      <c r="C3404" s="55" t="n"/>
      <c r="D3404" s="55" t="n"/>
      <c r="E3404" s="93" t="n"/>
      <c r="F3404" s="94" t="n"/>
      <c r="G3404" s="94" t="n"/>
      <c r="H3404" s="94" t="n"/>
      <c r="I3404" s="94" t="n"/>
      <c r="J3404" s="55" t="n"/>
      <c r="K3404" s="95" t="n"/>
      <c r="L3404" s="116">
        <f>IF($A3404="","",DATE(YEAR($A3404),MONTH($A3404)+IF(AND(IFERROR(N(INDEX(Übersicht!$M$15:$M$22,MATCH($B3404,Übersicht!$A$15:$A$22,0))),0)&gt;1,DAY($A3404)&gt;=IFERROR(N(INDEX(Übersicht!$M$15:$M$22,MATCH($B3404,Übersicht!$A$15:$A$22,0))),0)),1,0),1))</f>
        <v/>
      </c>
    </row>
    <row r="3405">
      <c r="A3405" s="92" t="n"/>
      <c r="B3405" s="55" t="n"/>
      <c r="C3405" s="55" t="n"/>
      <c r="D3405" s="55" t="n"/>
      <c r="E3405" s="93" t="n"/>
      <c r="F3405" s="94" t="n"/>
      <c r="G3405" s="94" t="n"/>
      <c r="H3405" s="94" t="n"/>
      <c r="I3405" s="94" t="n"/>
      <c r="J3405" s="55" t="n"/>
      <c r="K3405" s="95" t="n"/>
      <c r="L3405" s="116">
        <f>IF($A3405="","",DATE(YEAR($A3405),MONTH($A3405)+IF(AND(IFERROR(N(INDEX(Übersicht!$M$15:$M$22,MATCH($B3405,Übersicht!$A$15:$A$22,0))),0)&gt;1,DAY($A3405)&gt;=IFERROR(N(INDEX(Übersicht!$M$15:$M$22,MATCH($B3405,Übersicht!$A$15:$A$22,0))),0)),1,0),1))</f>
        <v/>
      </c>
    </row>
    <row r="3406">
      <c r="A3406" s="92" t="n"/>
      <c r="B3406" s="55" t="n"/>
      <c r="C3406" s="55" t="n"/>
      <c r="D3406" s="55" t="n"/>
      <c r="E3406" s="93" t="n"/>
      <c r="F3406" s="94" t="n"/>
      <c r="G3406" s="94" t="n"/>
      <c r="H3406" s="94" t="n"/>
      <c r="I3406" s="94" t="n"/>
      <c r="J3406" s="55" t="n"/>
      <c r="K3406" s="95" t="n"/>
      <c r="L3406" s="116">
        <f>IF($A3406="","",DATE(YEAR($A3406),MONTH($A3406)+IF(AND(IFERROR(N(INDEX(Übersicht!$M$15:$M$22,MATCH($B3406,Übersicht!$A$15:$A$22,0))),0)&gt;1,DAY($A3406)&gt;=IFERROR(N(INDEX(Übersicht!$M$15:$M$22,MATCH($B3406,Übersicht!$A$15:$A$22,0))),0)),1,0),1))</f>
        <v/>
      </c>
    </row>
    <row r="3407">
      <c r="A3407" s="92" t="n"/>
      <c r="B3407" s="55" t="n"/>
      <c r="C3407" s="55" t="n"/>
      <c r="D3407" s="55" t="n"/>
      <c r="E3407" s="93" t="n"/>
      <c r="F3407" s="94" t="n"/>
      <c r="G3407" s="94" t="n"/>
      <c r="H3407" s="94" t="n"/>
      <c r="I3407" s="94" t="n"/>
      <c r="J3407" s="55" t="n"/>
      <c r="K3407" s="95" t="n"/>
      <c r="L3407" s="116">
        <f>IF($A3407="","",DATE(YEAR($A3407),MONTH($A3407)+IF(AND(IFERROR(N(INDEX(Übersicht!$M$15:$M$22,MATCH($B3407,Übersicht!$A$15:$A$22,0))),0)&gt;1,DAY($A3407)&gt;=IFERROR(N(INDEX(Übersicht!$M$15:$M$22,MATCH($B3407,Übersicht!$A$15:$A$22,0))),0)),1,0),1))</f>
        <v/>
      </c>
    </row>
    <row r="3408">
      <c r="A3408" s="92" t="n"/>
      <c r="B3408" s="55" t="n"/>
      <c r="C3408" s="55" t="n"/>
      <c r="D3408" s="55" t="n"/>
      <c r="E3408" s="93" t="n"/>
      <c r="F3408" s="94" t="n"/>
      <c r="G3408" s="94" t="n"/>
      <c r="H3408" s="94" t="n"/>
      <c r="I3408" s="94" t="n"/>
      <c r="J3408" s="55" t="n"/>
      <c r="K3408" s="95" t="n"/>
      <c r="L3408" s="116">
        <f>IF($A3408="","",DATE(YEAR($A3408),MONTH($A3408)+IF(AND(IFERROR(N(INDEX(Übersicht!$M$15:$M$22,MATCH($B3408,Übersicht!$A$15:$A$22,0))),0)&gt;1,DAY($A3408)&gt;=IFERROR(N(INDEX(Übersicht!$M$15:$M$22,MATCH($B3408,Übersicht!$A$15:$A$22,0))),0)),1,0),1))</f>
        <v/>
      </c>
    </row>
    <row r="3409">
      <c r="A3409" s="92" t="n"/>
      <c r="B3409" s="55" t="n"/>
      <c r="C3409" s="55" t="n"/>
      <c r="D3409" s="55" t="n"/>
      <c r="E3409" s="93" t="n"/>
      <c r="F3409" s="94" t="n"/>
      <c r="G3409" s="94" t="n"/>
      <c r="H3409" s="94" t="n"/>
      <c r="I3409" s="94" t="n"/>
      <c r="J3409" s="55" t="n"/>
      <c r="K3409" s="95" t="n"/>
      <c r="L3409" s="116">
        <f>IF($A3409="","",DATE(YEAR($A3409),MONTH($A3409)+IF(AND(IFERROR(N(INDEX(Übersicht!$M$15:$M$22,MATCH($B3409,Übersicht!$A$15:$A$22,0))),0)&gt;1,DAY($A3409)&gt;=IFERROR(N(INDEX(Übersicht!$M$15:$M$22,MATCH($B3409,Übersicht!$A$15:$A$22,0))),0)),1,0),1))</f>
        <v/>
      </c>
    </row>
    <row r="3410">
      <c r="A3410" s="92" t="n"/>
      <c r="B3410" s="55" t="n"/>
      <c r="C3410" s="55" t="n"/>
      <c r="D3410" s="55" t="n"/>
      <c r="E3410" s="93" t="n"/>
      <c r="F3410" s="94" t="n"/>
      <c r="G3410" s="94" t="n"/>
      <c r="H3410" s="94" t="n"/>
      <c r="I3410" s="94" t="n"/>
      <c r="J3410" s="55" t="n"/>
      <c r="K3410" s="95" t="n"/>
      <c r="L3410" s="116">
        <f>IF($A3410="","",DATE(YEAR($A3410),MONTH($A3410)+IF(AND(IFERROR(N(INDEX(Übersicht!$M$15:$M$22,MATCH($B3410,Übersicht!$A$15:$A$22,0))),0)&gt;1,DAY($A3410)&gt;=IFERROR(N(INDEX(Übersicht!$M$15:$M$22,MATCH($B3410,Übersicht!$A$15:$A$22,0))),0)),1,0),1))</f>
        <v/>
      </c>
    </row>
    <row r="3411">
      <c r="A3411" s="92" t="n"/>
      <c r="B3411" s="55" t="n"/>
      <c r="C3411" s="55" t="n"/>
      <c r="D3411" s="55" t="n"/>
      <c r="E3411" s="93" t="n"/>
      <c r="F3411" s="94" t="n"/>
      <c r="G3411" s="94" t="n"/>
      <c r="H3411" s="94" t="n"/>
      <c r="I3411" s="94" t="n"/>
      <c r="J3411" s="55" t="n"/>
      <c r="K3411" s="95" t="n"/>
      <c r="L3411" s="116">
        <f>IF($A3411="","",DATE(YEAR($A3411),MONTH($A3411)+IF(AND(IFERROR(N(INDEX(Übersicht!$M$15:$M$22,MATCH($B3411,Übersicht!$A$15:$A$22,0))),0)&gt;1,DAY($A3411)&gt;=IFERROR(N(INDEX(Übersicht!$M$15:$M$22,MATCH($B3411,Übersicht!$A$15:$A$22,0))),0)),1,0),1))</f>
        <v/>
      </c>
    </row>
    <row r="3412">
      <c r="A3412" s="92" t="n"/>
      <c r="B3412" s="55" t="n"/>
      <c r="C3412" s="55" t="n"/>
      <c r="D3412" s="55" t="n"/>
      <c r="E3412" s="93" t="n"/>
      <c r="F3412" s="94" t="n"/>
      <c r="G3412" s="94" t="n"/>
      <c r="H3412" s="94" t="n"/>
      <c r="I3412" s="94" t="n"/>
      <c r="J3412" s="55" t="n"/>
      <c r="K3412" s="95" t="n"/>
      <c r="L3412" s="116">
        <f>IF($A3412="","",DATE(YEAR($A3412),MONTH($A3412)+IF(AND(IFERROR(N(INDEX(Übersicht!$M$15:$M$22,MATCH($B3412,Übersicht!$A$15:$A$22,0))),0)&gt;1,DAY($A3412)&gt;=IFERROR(N(INDEX(Übersicht!$M$15:$M$22,MATCH($B3412,Übersicht!$A$15:$A$22,0))),0)),1,0),1))</f>
        <v/>
      </c>
    </row>
    <row r="3413">
      <c r="A3413" s="92" t="n"/>
      <c r="B3413" s="55" t="n"/>
      <c r="C3413" s="55" t="n"/>
      <c r="D3413" s="55" t="n"/>
      <c r="E3413" s="93" t="n"/>
      <c r="F3413" s="94" t="n"/>
      <c r="G3413" s="94" t="n"/>
      <c r="H3413" s="94" t="n"/>
      <c r="I3413" s="94" t="n"/>
      <c r="J3413" s="55" t="n"/>
      <c r="K3413" s="95" t="n"/>
      <c r="L3413" s="116">
        <f>IF($A3413="","",DATE(YEAR($A3413),MONTH($A3413)+IF(AND(IFERROR(N(INDEX(Übersicht!$M$15:$M$22,MATCH($B3413,Übersicht!$A$15:$A$22,0))),0)&gt;1,DAY($A3413)&gt;=IFERROR(N(INDEX(Übersicht!$M$15:$M$22,MATCH($B3413,Übersicht!$A$15:$A$22,0))),0)),1,0),1))</f>
        <v/>
      </c>
    </row>
    <row r="3414">
      <c r="A3414" s="92" t="n"/>
      <c r="B3414" s="55" t="n"/>
      <c r="C3414" s="55" t="n"/>
      <c r="D3414" s="55" t="n"/>
      <c r="E3414" s="93" t="n"/>
      <c r="F3414" s="94" t="n"/>
      <c r="G3414" s="94" t="n"/>
      <c r="H3414" s="94" t="n"/>
      <c r="I3414" s="94" t="n"/>
      <c r="J3414" s="55" t="n"/>
      <c r="K3414" s="95" t="n"/>
      <c r="L3414" s="116">
        <f>IF($A3414="","",DATE(YEAR($A3414),MONTH($A3414)+IF(AND(IFERROR(N(INDEX(Übersicht!$M$15:$M$22,MATCH($B3414,Übersicht!$A$15:$A$22,0))),0)&gt;1,DAY($A3414)&gt;=IFERROR(N(INDEX(Übersicht!$M$15:$M$22,MATCH($B3414,Übersicht!$A$15:$A$22,0))),0)),1,0),1))</f>
        <v/>
      </c>
    </row>
    <row r="3415">
      <c r="A3415" s="92" t="n"/>
      <c r="B3415" s="55" t="n"/>
      <c r="C3415" s="55" t="n"/>
      <c r="D3415" s="55" t="n"/>
      <c r="E3415" s="93" t="n"/>
      <c r="F3415" s="94" t="n"/>
      <c r="G3415" s="94" t="n"/>
      <c r="H3415" s="94" t="n"/>
      <c r="I3415" s="94" t="n"/>
      <c r="J3415" s="55" t="n"/>
      <c r="K3415" s="95" t="n"/>
      <c r="L3415" s="116">
        <f>IF($A3415="","",DATE(YEAR($A3415),MONTH($A3415)+IF(AND(IFERROR(N(INDEX(Übersicht!$M$15:$M$22,MATCH($B3415,Übersicht!$A$15:$A$22,0))),0)&gt;1,DAY($A3415)&gt;=IFERROR(N(INDEX(Übersicht!$M$15:$M$22,MATCH($B3415,Übersicht!$A$15:$A$22,0))),0)),1,0),1))</f>
        <v/>
      </c>
    </row>
    <row r="3416">
      <c r="A3416" s="92" t="n"/>
      <c r="B3416" s="55" t="n"/>
      <c r="C3416" s="55" t="n"/>
      <c r="D3416" s="55" t="n"/>
      <c r="E3416" s="93" t="n"/>
      <c r="F3416" s="94" t="n"/>
      <c r="G3416" s="94" t="n"/>
      <c r="H3416" s="94" t="n"/>
      <c r="I3416" s="94" t="n"/>
      <c r="J3416" s="55" t="n"/>
      <c r="K3416" s="95" t="n"/>
      <c r="L3416" s="116">
        <f>IF($A3416="","",DATE(YEAR($A3416),MONTH($A3416)+IF(AND(IFERROR(N(INDEX(Übersicht!$M$15:$M$22,MATCH($B3416,Übersicht!$A$15:$A$22,0))),0)&gt;1,DAY($A3416)&gt;=IFERROR(N(INDEX(Übersicht!$M$15:$M$22,MATCH($B3416,Übersicht!$A$15:$A$22,0))),0)),1,0),1))</f>
        <v/>
      </c>
    </row>
    <row r="3417">
      <c r="A3417" s="92" t="n"/>
      <c r="B3417" s="55" t="n"/>
      <c r="C3417" s="55" t="n"/>
      <c r="D3417" s="55" t="n"/>
      <c r="E3417" s="93" t="n"/>
      <c r="F3417" s="94" t="n"/>
      <c r="G3417" s="94" t="n"/>
      <c r="H3417" s="94" t="n"/>
      <c r="I3417" s="94" t="n"/>
      <c r="J3417" s="55" t="n"/>
      <c r="K3417" s="95" t="n"/>
      <c r="L3417" s="116">
        <f>IF($A3417="","",DATE(YEAR($A3417),MONTH($A3417)+IF(AND(IFERROR(N(INDEX(Übersicht!$M$15:$M$22,MATCH($B3417,Übersicht!$A$15:$A$22,0))),0)&gt;1,DAY($A3417)&gt;=IFERROR(N(INDEX(Übersicht!$M$15:$M$22,MATCH($B3417,Übersicht!$A$15:$A$22,0))),0)),1,0),1))</f>
        <v/>
      </c>
    </row>
    <row r="3418">
      <c r="A3418" s="92" t="n"/>
      <c r="B3418" s="55" t="n"/>
      <c r="C3418" s="55" t="n"/>
      <c r="D3418" s="55" t="n"/>
      <c r="E3418" s="93" t="n"/>
      <c r="F3418" s="94" t="n"/>
      <c r="G3418" s="94" t="n"/>
      <c r="H3418" s="94" t="n"/>
      <c r="I3418" s="94" t="n"/>
      <c r="J3418" s="55" t="n"/>
      <c r="K3418" s="95" t="n"/>
      <c r="L3418" s="116">
        <f>IF($A3418="","",DATE(YEAR($A3418),MONTH($A3418)+IF(AND(IFERROR(N(INDEX(Übersicht!$M$15:$M$22,MATCH($B3418,Übersicht!$A$15:$A$22,0))),0)&gt;1,DAY($A3418)&gt;=IFERROR(N(INDEX(Übersicht!$M$15:$M$22,MATCH($B3418,Übersicht!$A$15:$A$22,0))),0)),1,0),1))</f>
        <v/>
      </c>
    </row>
    <row r="3419">
      <c r="A3419" s="92" t="n"/>
      <c r="B3419" s="55" t="n"/>
      <c r="C3419" s="55" t="n"/>
      <c r="D3419" s="55" t="n"/>
      <c r="E3419" s="93" t="n"/>
      <c r="F3419" s="94" t="n"/>
      <c r="G3419" s="94" t="n"/>
      <c r="H3419" s="94" t="n"/>
      <c r="I3419" s="94" t="n"/>
      <c r="J3419" s="55" t="n"/>
      <c r="K3419" s="95" t="n"/>
      <c r="L3419" s="116">
        <f>IF($A3419="","",DATE(YEAR($A3419),MONTH($A3419)+IF(AND(IFERROR(N(INDEX(Übersicht!$M$15:$M$22,MATCH($B3419,Übersicht!$A$15:$A$22,0))),0)&gt;1,DAY($A3419)&gt;=IFERROR(N(INDEX(Übersicht!$M$15:$M$22,MATCH($B3419,Übersicht!$A$15:$A$22,0))),0)),1,0),1))</f>
        <v/>
      </c>
    </row>
    <row r="3420">
      <c r="A3420" s="92" t="n"/>
      <c r="B3420" s="55" t="n"/>
      <c r="C3420" s="55" t="n"/>
      <c r="D3420" s="55" t="n"/>
      <c r="E3420" s="93" t="n"/>
      <c r="F3420" s="94" t="n"/>
      <c r="G3420" s="94" t="n"/>
      <c r="H3420" s="94" t="n"/>
      <c r="I3420" s="94" t="n"/>
      <c r="J3420" s="55" t="n"/>
      <c r="K3420" s="95" t="n"/>
      <c r="L3420" s="116">
        <f>IF($A3420="","",DATE(YEAR($A3420),MONTH($A3420)+IF(AND(IFERROR(N(INDEX(Übersicht!$M$15:$M$22,MATCH($B3420,Übersicht!$A$15:$A$22,0))),0)&gt;1,DAY($A3420)&gt;=IFERROR(N(INDEX(Übersicht!$M$15:$M$22,MATCH($B3420,Übersicht!$A$15:$A$22,0))),0)),1,0),1))</f>
        <v/>
      </c>
    </row>
    <row r="3421">
      <c r="A3421" s="92" t="n"/>
      <c r="B3421" s="55" t="n"/>
      <c r="C3421" s="55" t="n"/>
      <c r="D3421" s="55" t="n"/>
      <c r="E3421" s="93" t="n"/>
      <c r="F3421" s="94" t="n"/>
      <c r="G3421" s="94" t="n"/>
      <c r="H3421" s="94" t="n"/>
      <c r="I3421" s="94" t="n"/>
      <c r="J3421" s="55" t="n"/>
      <c r="K3421" s="95" t="n"/>
      <c r="L3421" s="116">
        <f>IF($A3421="","",DATE(YEAR($A3421),MONTH($A3421)+IF(AND(IFERROR(N(INDEX(Übersicht!$M$15:$M$22,MATCH($B3421,Übersicht!$A$15:$A$22,0))),0)&gt;1,DAY($A3421)&gt;=IFERROR(N(INDEX(Übersicht!$M$15:$M$22,MATCH($B3421,Übersicht!$A$15:$A$22,0))),0)),1,0),1))</f>
        <v/>
      </c>
    </row>
    <row r="3422">
      <c r="A3422" s="92" t="n"/>
      <c r="B3422" s="55" t="n"/>
      <c r="C3422" s="55" t="n"/>
      <c r="D3422" s="55" t="n"/>
      <c r="E3422" s="93" t="n"/>
      <c r="F3422" s="94" t="n"/>
      <c r="G3422" s="94" t="n"/>
      <c r="H3422" s="94" t="n"/>
      <c r="I3422" s="94" t="n"/>
      <c r="J3422" s="55" t="n"/>
      <c r="K3422" s="95" t="n"/>
      <c r="L3422" s="116">
        <f>IF($A3422="","",DATE(YEAR($A3422),MONTH($A3422)+IF(AND(IFERROR(N(INDEX(Übersicht!$M$15:$M$22,MATCH($B3422,Übersicht!$A$15:$A$22,0))),0)&gt;1,DAY($A3422)&gt;=IFERROR(N(INDEX(Übersicht!$M$15:$M$22,MATCH($B3422,Übersicht!$A$15:$A$22,0))),0)),1,0),1))</f>
        <v/>
      </c>
    </row>
    <row r="3423">
      <c r="A3423" s="92" t="n"/>
      <c r="B3423" s="55" t="n"/>
      <c r="C3423" s="55" t="n"/>
      <c r="D3423" s="55" t="n"/>
      <c r="E3423" s="93" t="n"/>
      <c r="F3423" s="94" t="n"/>
      <c r="G3423" s="94" t="n"/>
      <c r="H3423" s="94" t="n"/>
      <c r="I3423" s="94" t="n"/>
      <c r="J3423" s="55" t="n"/>
      <c r="K3423" s="95" t="n"/>
      <c r="L3423" s="116">
        <f>IF($A3423="","",DATE(YEAR($A3423),MONTH($A3423)+IF(AND(IFERROR(N(INDEX(Übersicht!$M$15:$M$22,MATCH($B3423,Übersicht!$A$15:$A$22,0))),0)&gt;1,DAY($A3423)&gt;=IFERROR(N(INDEX(Übersicht!$M$15:$M$22,MATCH($B3423,Übersicht!$A$15:$A$22,0))),0)),1,0),1))</f>
        <v/>
      </c>
    </row>
    <row r="3424">
      <c r="A3424" s="92" t="n"/>
      <c r="B3424" s="55" t="n"/>
      <c r="C3424" s="55" t="n"/>
      <c r="D3424" s="55" t="n"/>
      <c r="E3424" s="93" t="n"/>
      <c r="F3424" s="94" t="n"/>
      <c r="G3424" s="94" t="n"/>
      <c r="H3424" s="94" t="n"/>
      <c r="I3424" s="94" t="n"/>
      <c r="J3424" s="55" t="n"/>
      <c r="K3424" s="95" t="n"/>
      <c r="L3424" s="116">
        <f>IF($A3424="","",DATE(YEAR($A3424),MONTH($A3424)+IF(AND(IFERROR(N(INDEX(Übersicht!$M$15:$M$22,MATCH($B3424,Übersicht!$A$15:$A$22,0))),0)&gt;1,DAY($A3424)&gt;=IFERROR(N(INDEX(Übersicht!$M$15:$M$22,MATCH($B3424,Übersicht!$A$15:$A$22,0))),0)),1,0),1))</f>
        <v/>
      </c>
    </row>
    <row r="3425">
      <c r="A3425" s="92" t="n"/>
      <c r="B3425" s="55" t="n"/>
      <c r="C3425" s="55" t="n"/>
      <c r="D3425" s="55" t="n"/>
      <c r="E3425" s="93" t="n"/>
      <c r="F3425" s="94" t="n"/>
      <c r="G3425" s="94" t="n"/>
      <c r="H3425" s="94" t="n"/>
      <c r="I3425" s="94" t="n"/>
      <c r="J3425" s="55" t="n"/>
      <c r="K3425" s="95" t="n"/>
      <c r="L3425" s="116">
        <f>IF($A3425="","",DATE(YEAR($A3425),MONTH($A3425)+IF(AND(IFERROR(N(INDEX(Übersicht!$M$15:$M$22,MATCH($B3425,Übersicht!$A$15:$A$22,0))),0)&gt;1,DAY($A3425)&gt;=IFERROR(N(INDEX(Übersicht!$M$15:$M$22,MATCH($B3425,Übersicht!$A$15:$A$22,0))),0)),1,0),1))</f>
        <v/>
      </c>
    </row>
    <row r="3426">
      <c r="A3426" s="92" t="n"/>
      <c r="B3426" s="55" t="n"/>
      <c r="C3426" s="55" t="n"/>
      <c r="D3426" s="55" t="n"/>
      <c r="E3426" s="93" t="n"/>
      <c r="F3426" s="94" t="n"/>
      <c r="G3426" s="94" t="n"/>
      <c r="H3426" s="94" t="n"/>
      <c r="I3426" s="94" t="n"/>
      <c r="J3426" s="55" t="n"/>
      <c r="K3426" s="95" t="n"/>
      <c r="L3426" s="116">
        <f>IF($A3426="","",DATE(YEAR($A3426),MONTH($A3426)+IF(AND(IFERROR(N(INDEX(Übersicht!$M$15:$M$22,MATCH($B3426,Übersicht!$A$15:$A$22,0))),0)&gt;1,DAY($A3426)&gt;=IFERROR(N(INDEX(Übersicht!$M$15:$M$22,MATCH($B3426,Übersicht!$A$15:$A$22,0))),0)),1,0),1))</f>
        <v/>
      </c>
    </row>
    <row r="3427">
      <c r="A3427" s="92" t="n"/>
      <c r="B3427" s="55" t="n"/>
      <c r="C3427" s="55" t="n"/>
      <c r="D3427" s="55" t="n"/>
      <c r="E3427" s="93" t="n"/>
      <c r="F3427" s="94" t="n"/>
      <c r="G3427" s="94" t="n"/>
      <c r="H3427" s="94" t="n"/>
      <c r="I3427" s="94" t="n"/>
      <c r="J3427" s="55" t="n"/>
      <c r="K3427" s="95" t="n"/>
      <c r="L3427" s="116">
        <f>IF($A3427="","",DATE(YEAR($A3427),MONTH($A3427)+IF(AND(IFERROR(N(INDEX(Übersicht!$M$15:$M$22,MATCH($B3427,Übersicht!$A$15:$A$22,0))),0)&gt;1,DAY($A3427)&gt;=IFERROR(N(INDEX(Übersicht!$M$15:$M$22,MATCH($B3427,Übersicht!$A$15:$A$22,0))),0)),1,0),1))</f>
        <v/>
      </c>
    </row>
    <row r="3428">
      <c r="A3428" s="92" t="n"/>
      <c r="B3428" s="55" t="n"/>
      <c r="C3428" s="55" t="n"/>
      <c r="D3428" s="55" t="n"/>
      <c r="E3428" s="93" t="n"/>
      <c r="F3428" s="94" t="n"/>
      <c r="G3428" s="94" t="n"/>
      <c r="H3428" s="94" t="n"/>
      <c r="I3428" s="94" t="n"/>
      <c r="J3428" s="55" t="n"/>
      <c r="K3428" s="95" t="n"/>
      <c r="L3428" s="116">
        <f>IF($A3428="","",DATE(YEAR($A3428),MONTH($A3428)+IF(AND(IFERROR(N(INDEX(Übersicht!$M$15:$M$22,MATCH($B3428,Übersicht!$A$15:$A$22,0))),0)&gt;1,DAY($A3428)&gt;=IFERROR(N(INDEX(Übersicht!$M$15:$M$22,MATCH($B3428,Übersicht!$A$15:$A$22,0))),0)),1,0),1))</f>
        <v/>
      </c>
    </row>
    <row r="3429">
      <c r="A3429" s="92" t="n"/>
      <c r="B3429" s="55" t="n"/>
      <c r="C3429" s="55" t="n"/>
      <c r="D3429" s="55" t="n"/>
      <c r="E3429" s="93" t="n"/>
      <c r="F3429" s="94" t="n"/>
      <c r="G3429" s="94" t="n"/>
      <c r="H3429" s="94" t="n"/>
      <c r="I3429" s="94" t="n"/>
      <c r="J3429" s="55" t="n"/>
      <c r="K3429" s="95" t="n"/>
      <c r="L3429" s="116">
        <f>IF($A3429="","",DATE(YEAR($A3429),MONTH($A3429)+IF(AND(IFERROR(N(INDEX(Übersicht!$M$15:$M$22,MATCH($B3429,Übersicht!$A$15:$A$22,0))),0)&gt;1,DAY($A3429)&gt;=IFERROR(N(INDEX(Übersicht!$M$15:$M$22,MATCH($B3429,Übersicht!$A$15:$A$22,0))),0)),1,0),1))</f>
        <v/>
      </c>
    </row>
    <row r="3430">
      <c r="A3430" s="92" t="n"/>
      <c r="B3430" s="55" t="n"/>
      <c r="C3430" s="55" t="n"/>
      <c r="D3430" s="55" t="n"/>
      <c r="E3430" s="93" t="n"/>
      <c r="F3430" s="94" t="n"/>
      <c r="G3430" s="94" t="n"/>
      <c r="H3430" s="94" t="n"/>
      <c r="I3430" s="94" t="n"/>
      <c r="J3430" s="55" t="n"/>
      <c r="K3430" s="95" t="n"/>
      <c r="L3430" s="116">
        <f>IF($A3430="","",DATE(YEAR($A3430),MONTH($A3430)+IF(AND(IFERROR(N(INDEX(Übersicht!$M$15:$M$22,MATCH($B3430,Übersicht!$A$15:$A$22,0))),0)&gt;1,DAY($A3430)&gt;=IFERROR(N(INDEX(Übersicht!$M$15:$M$22,MATCH($B3430,Übersicht!$A$15:$A$22,0))),0)),1,0),1))</f>
        <v/>
      </c>
    </row>
    <row r="3431">
      <c r="A3431" s="92" t="n"/>
      <c r="B3431" s="55" t="n"/>
      <c r="C3431" s="55" t="n"/>
      <c r="D3431" s="55" t="n"/>
      <c r="E3431" s="93" t="n"/>
      <c r="F3431" s="94" t="n"/>
      <c r="G3431" s="94" t="n"/>
      <c r="H3431" s="94" t="n"/>
      <c r="I3431" s="94" t="n"/>
      <c r="J3431" s="55" t="n"/>
      <c r="K3431" s="95" t="n"/>
      <c r="L3431" s="116">
        <f>IF($A3431="","",DATE(YEAR($A3431),MONTH($A3431)+IF(AND(IFERROR(N(INDEX(Übersicht!$M$15:$M$22,MATCH($B3431,Übersicht!$A$15:$A$22,0))),0)&gt;1,DAY($A3431)&gt;=IFERROR(N(INDEX(Übersicht!$M$15:$M$22,MATCH($B3431,Übersicht!$A$15:$A$22,0))),0)),1,0),1))</f>
        <v/>
      </c>
    </row>
    <row r="3432">
      <c r="A3432" s="92" t="n"/>
      <c r="B3432" s="55" t="n"/>
      <c r="C3432" s="55" t="n"/>
      <c r="D3432" s="55" t="n"/>
      <c r="E3432" s="93" t="n"/>
      <c r="F3432" s="94" t="n"/>
      <c r="G3432" s="94" t="n"/>
      <c r="H3432" s="94" t="n"/>
      <c r="I3432" s="94" t="n"/>
      <c r="J3432" s="55" t="n"/>
      <c r="K3432" s="95" t="n"/>
      <c r="L3432" s="116">
        <f>IF($A3432="","",DATE(YEAR($A3432),MONTH($A3432)+IF(AND(IFERROR(N(INDEX(Übersicht!$M$15:$M$22,MATCH($B3432,Übersicht!$A$15:$A$22,0))),0)&gt;1,DAY($A3432)&gt;=IFERROR(N(INDEX(Übersicht!$M$15:$M$22,MATCH($B3432,Übersicht!$A$15:$A$22,0))),0)),1,0),1))</f>
        <v/>
      </c>
    </row>
    <row r="3433">
      <c r="A3433" s="92" t="n"/>
      <c r="B3433" s="55" t="n"/>
      <c r="C3433" s="55" t="n"/>
      <c r="D3433" s="55" t="n"/>
      <c r="E3433" s="93" t="n"/>
      <c r="F3433" s="94" t="n"/>
      <c r="G3433" s="94" t="n"/>
      <c r="H3433" s="94" t="n"/>
      <c r="I3433" s="94" t="n"/>
      <c r="J3433" s="55" t="n"/>
      <c r="K3433" s="95" t="n"/>
      <c r="L3433" s="116">
        <f>IF($A3433="","",DATE(YEAR($A3433),MONTH($A3433)+IF(AND(IFERROR(N(INDEX(Übersicht!$M$15:$M$22,MATCH($B3433,Übersicht!$A$15:$A$22,0))),0)&gt;1,DAY($A3433)&gt;=IFERROR(N(INDEX(Übersicht!$M$15:$M$22,MATCH($B3433,Übersicht!$A$15:$A$22,0))),0)),1,0),1))</f>
        <v/>
      </c>
    </row>
    <row r="3434">
      <c r="A3434" s="92" t="n"/>
      <c r="B3434" s="55" t="n"/>
      <c r="C3434" s="55" t="n"/>
      <c r="D3434" s="55" t="n"/>
      <c r="E3434" s="93" t="n"/>
      <c r="F3434" s="94" t="n"/>
      <c r="G3434" s="94" t="n"/>
      <c r="H3434" s="94" t="n"/>
      <c r="I3434" s="94" t="n"/>
      <c r="J3434" s="55" t="n"/>
      <c r="K3434" s="95" t="n"/>
      <c r="L3434" s="116">
        <f>IF($A3434="","",DATE(YEAR($A3434),MONTH($A3434)+IF(AND(IFERROR(N(INDEX(Übersicht!$M$15:$M$22,MATCH($B3434,Übersicht!$A$15:$A$22,0))),0)&gt;1,DAY($A3434)&gt;=IFERROR(N(INDEX(Übersicht!$M$15:$M$22,MATCH($B3434,Übersicht!$A$15:$A$22,0))),0)),1,0),1))</f>
        <v/>
      </c>
    </row>
    <row r="3435">
      <c r="A3435" s="92" t="n"/>
      <c r="B3435" s="55" t="n"/>
      <c r="C3435" s="55" t="n"/>
      <c r="D3435" s="55" t="n"/>
      <c r="E3435" s="93" t="n"/>
      <c r="F3435" s="94" t="n"/>
      <c r="G3435" s="94" t="n"/>
      <c r="H3435" s="94" t="n"/>
      <c r="I3435" s="94" t="n"/>
      <c r="J3435" s="55" t="n"/>
      <c r="K3435" s="95" t="n"/>
      <c r="L3435" s="116">
        <f>IF($A3435="","",DATE(YEAR($A3435),MONTH($A3435)+IF(AND(IFERROR(N(INDEX(Übersicht!$M$15:$M$22,MATCH($B3435,Übersicht!$A$15:$A$22,0))),0)&gt;1,DAY($A3435)&gt;=IFERROR(N(INDEX(Übersicht!$M$15:$M$22,MATCH($B3435,Übersicht!$A$15:$A$22,0))),0)),1,0),1))</f>
        <v/>
      </c>
    </row>
    <row r="3436">
      <c r="A3436" s="92" t="n"/>
      <c r="B3436" s="55" t="n"/>
      <c r="C3436" s="55" t="n"/>
      <c r="D3436" s="55" t="n"/>
      <c r="E3436" s="93" t="n"/>
      <c r="F3436" s="94" t="n"/>
      <c r="G3436" s="94" t="n"/>
      <c r="H3436" s="94" t="n"/>
      <c r="I3436" s="94" t="n"/>
      <c r="J3436" s="55" t="n"/>
      <c r="K3436" s="95" t="n"/>
      <c r="L3436" s="116">
        <f>IF($A3436="","",DATE(YEAR($A3436),MONTH($A3436)+IF(AND(IFERROR(N(INDEX(Übersicht!$M$15:$M$22,MATCH($B3436,Übersicht!$A$15:$A$22,0))),0)&gt;1,DAY($A3436)&gt;=IFERROR(N(INDEX(Übersicht!$M$15:$M$22,MATCH($B3436,Übersicht!$A$15:$A$22,0))),0)),1,0),1))</f>
        <v/>
      </c>
    </row>
    <row r="3437">
      <c r="A3437" s="92" t="n"/>
      <c r="B3437" s="55" t="n"/>
      <c r="C3437" s="55" t="n"/>
      <c r="D3437" s="55" t="n"/>
      <c r="E3437" s="93" t="n"/>
      <c r="F3437" s="94" t="n"/>
      <c r="G3437" s="94" t="n"/>
      <c r="H3437" s="94" t="n"/>
      <c r="I3437" s="94" t="n"/>
      <c r="J3437" s="55" t="n"/>
      <c r="K3437" s="95" t="n"/>
      <c r="L3437" s="116">
        <f>IF($A3437="","",DATE(YEAR($A3437),MONTH($A3437)+IF(AND(IFERROR(N(INDEX(Übersicht!$M$15:$M$22,MATCH($B3437,Übersicht!$A$15:$A$22,0))),0)&gt;1,DAY($A3437)&gt;=IFERROR(N(INDEX(Übersicht!$M$15:$M$22,MATCH($B3437,Übersicht!$A$15:$A$22,0))),0)),1,0),1))</f>
        <v/>
      </c>
    </row>
    <row r="3438">
      <c r="A3438" s="92" t="n"/>
      <c r="B3438" s="55" t="n"/>
      <c r="C3438" s="55" t="n"/>
      <c r="D3438" s="55" t="n"/>
      <c r="E3438" s="93" t="n"/>
      <c r="F3438" s="94" t="n"/>
      <c r="G3438" s="94" t="n"/>
      <c r="H3438" s="94" t="n"/>
      <c r="I3438" s="94" t="n"/>
      <c r="J3438" s="55" t="n"/>
      <c r="K3438" s="95" t="n"/>
      <c r="L3438" s="116">
        <f>IF($A3438="","",DATE(YEAR($A3438),MONTH($A3438)+IF(AND(IFERROR(N(INDEX(Übersicht!$M$15:$M$22,MATCH($B3438,Übersicht!$A$15:$A$22,0))),0)&gt;1,DAY($A3438)&gt;=IFERROR(N(INDEX(Übersicht!$M$15:$M$22,MATCH($B3438,Übersicht!$A$15:$A$22,0))),0)),1,0),1))</f>
        <v/>
      </c>
    </row>
    <row r="3439">
      <c r="A3439" s="92" t="n"/>
      <c r="B3439" s="55" t="n"/>
      <c r="C3439" s="55" t="n"/>
      <c r="D3439" s="55" t="n"/>
      <c r="E3439" s="93" t="n"/>
      <c r="F3439" s="94" t="n"/>
      <c r="G3439" s="94" t="n"/>
      <c r="H3439" s="94" t="n"/>
      <c r="I3439" s="94" t="n"/>
      <c r="J3439" s="55" t="n"/>
      <c r="K3439" s="95" t="n"/>
      <c r="L3439" s="116">
        <f>IF($A3439="","",DATE(YEAR($A3439),MONTH($A3439)+IF(AND(IFERROR(N(INDEX(Übersicht!$M$15:$M$22,MATCH($B3439,Übersicht!$A$15:$A$22,0))),0)&gt;1,DAY($A3439)&gt;=IFERROR(N(INDEX(Übersicht!$M$15:$M$22,MATCH($B3439,Übersicht!$A$15:$A$22,0))),0)),1,0),1))</f>
        <v/>
      </c>
    </row>
    <row r="3440">
      <c r="A3440" s="92" t="n"/>
      <c r="B3440" s="55" t="n"/>
      <c r="C3440" s="55" t="n"/>
      <c r="D3440" s="55" t="n"/>
      <c r="E3440" s="93" t="n"/>
      <c r="F3440" s="94" t="n"/>
      <c r="G3440" s="94" t="n"/>
      <c r="H3440" s="94" t="n"/>
      <c r="I3440" s="94" t="n"/>
      <c r="J3440" s="55" t="n"/>
      <c r="K3440" s="95" t="n"/>
      <c r="L3440" s="116">
        <f>IF($A3440="","",DATE(YEAR($A3440),MONTH($A3440)+IF(AND(IFERROR(N(INDEX(Übersicht!$M$15:$M$22,MATCH($B3440,Übersicht!$A$15:$A$22,0))),0)&gt;1,DAY($A3440)&gt;=IFERROR(N(INDEX(Übersicht!$M$15:$M$22,MATCH($B3440,Übersicht!$A$15:$A$22,0))),0)),1,0),1))</f>
        <v/>
      </c>
    </row>
    <row r="3441">
      <c r="A3441" s="92" t="n"/>
      <c r="B3441" s="55" t="n"/>
      <c r="C3441" s="55" t="n"/>
      <c r="D3441" s="55" t="n"/>
      <c r="E3441" s="93" t="n"/>
      <c r="F3441" s="94" t="n"/>
      <c r="G3441" s="94" t="n"/>
      <c r="H3441" s="94" t="n"/>
      <c r="I3441" s="94" t="n"/>
      <c r="J3441" s="55" t="n"/>
      <c r="K3441" s="95" t="n"/>
      <c r="L3441" s="116">
        <f>IF($A3441="","",DATE(YEAR($A3441),MONTH($A3441)+IF(AND(IFERROR(N(INDEX(Übersicht!$M$15:$M$22,MATCH($B3441,Übersicht!$A$15:$A$22,0))),0)&gt;1,DAY($A3441)&gt;=IFERROR(N(INDEX(Übersicht!$M$15:$M$22,MATCH($B3441,Übersicht!$A$15:$A$22,0))),0)),1,0),1))</f>
        <v/>
      </c>
    </row>
    <row r="3442">
      <c r="A3442" s="92" t="n"/>
      <c r="B3442" s="55" t="n"/>
      <c r="C3442" s="55" t="n"/>
      <c r="D3442" s="55" t="n"/>
      <c r="E3442" s="93" t="n"/>
      <c r="F3442" s="94" t="n"/>
      <c r="G3442" s="94" t="n"/>
      <c r="H3442" s="94" t="n"/>
      <c r="I3442" s="94" t="n"/>
      <c r="J3442" s="55" t="n"/>
      <c r="K3442" s="95" t="n"/>
      <c r="L3442" s="116">
        <f>IF($A3442="","",DATE(YEAR($A3442),MONTH($A3442)+IF(AND(IFERROR(N(INDEX(Übersicht!$M$15:$M$22,MATCH($B3442,Übersicht!$A$15:$A$22,0))),0)&gt;1,DAY($A3442)&gt;=IFERROR(N(INDEX(Übersicht!$M$15:$M$22,MATCH($B3442,Übersicht!$A$15:$A$22,0))),0)),1,0),1))</f>
        <v/>
      </c>
    </row>
    <row r="3443">
      <c r="A3443" s="92" t="n"/>
      <c r="B3443" s="55" t="n"/>
      <c r="C3443" s="55" t="n"/>
      <c r="D3443" s="55" t="n"/>
      <c r="E3443" s="93" t="n"/>
      <c r="F3443" s="94" t="n"/>
      <c r="G3443" s="94" t="n"/>
      <c r="H3443" s="94" t="n"/>
      <c r="I3443" s="94" t="n"/>
      <c r="J3443" s="55" t="n"/>
      <c r="K3443" s="95" t="n"/>
      <c r="L3443" s="116">
        <f>IF($A3443="","",DATE(YEAR($A3443),MONTH($A3443)+IF(AND(IFERROR(N(INDEX(Übersicht!$M$15:$M$22,MATCH($B3443,Übersicht!$A$15:$A$22,0))),0)&gt;1,DAY($A3443)&gt;=IFERROR(N(INDEX(Übersicht!$M$15:$M$22,MATCH($B3443,Übersicht!$A$15:$A$22,0))),0)),1,0),1))</f>
        <v/>
      </c>
    </row>
    <row r="3444">
      <c r="A3444" s="92" t="n"/>
      <c r="B3444" s="55" t="n"/>
      <c r="C3444" s="55" t="n"/>
      <c r="D3444" s="55" t="n"/>
      <c r="E3444" s="93" t="n"/>
      <c r="F3444" s="94" t="n"/>
      <c r="G3444" s="94" t="n"/>
      <c r="H3444" s="94" t="n"/>
      <c r="I3444" s="94" t="n"/>
      <c r="J3444" s="55" t="n"/>
      <c r="K3444" s="95" t="n"/>
      <c r="L3444" s="116">
        <f>IF($A3444="","",DATE(YEAR($A3444),MONTH($A3444)+IF(AND(IFERROR(N(INDEX(Übersicht!$M$15:$M$22,MATCH($B3444,Übersicht!$A$15:$A$22,0))),0)&gt;1,DAY($A3444)&gt;=IFERROR(N(INDEX(Übersicht!$M$15:$M$22,MATCH($B3444,Übersicht!$A$15:$A$22,0))),0)),1,0),1))</f>
        <v/>
      </c>
    </row>
    <row r="3445">
      <c r="A3445" s="92" t="n"/>
      <c r="B3445" s="55" t="n"/>
      <c r="C3445" s="55" t="n"/>
      <c r="D3445" s="55" t="n"/>
      <c r="E3445" s="93" t="n"/>
      <c r="F3445" s="94" t="n"/>
      <c r="G3445" s="94" t="n"/>
      <c r="H3445" s="94" t="n"/>
      <c r="I3445" s="94" t="n"/>
      <c r="J3445" s="55" t="n"/>
      <c r="K3445" s="95" t="n"/>
      <c r="L3445" s="116">
        <f>IF($A3445="","",DATE(YEAR($A3445),MONTH($A3445)+IF(AND(IFERROR(N(INDEX(Übersicht!$M$15:$M$22,MATCH($B3445,Übersicht!$A$15:$A$22,0))),0)&gt;1,DAY($A3445)&gt;=IFERROR(N(INDEX(Übersicht!$M$15:$M$22,MATCH($B3445,Übersicht!$A$15:$A$22,0))),0)),1,0),1))</f>
        <v/>
      </c>
    </row>
    <row r="3446">
      <c r="A3446" s="92" t="n"/>
      <c r="B3446" s="55" t="n"/>
      <c r="C3446" s="55" t="n"/>
      <c r="D3446" s="55" t="n"/>
      <c r="E3446" s="93" t="n"/>
      <c r="F3446" s="94" t="n"/>
      <c r="G3446" s="94" t="n"/>
      <c r="H3446" s="94" t="n"/>
      <c r="I3446" s="94" t="n"/>
      <c r="J3446" s="55" t="n"/>
      <c r="K3446" s="95" t="n"/>
      <c r="L3446" s="116">
        <f>IF($A3446="","",DATE(YEAR($A3446),MONTH($A3446)+IF(AND(IFERROR(N(INDEX(Übersicht!$M$15:$M$22,MATCH($B3446,Übersicht!$A$15:$A$22,0))),0)&gt;1,DAY($A3446)&gt;=IFERROR(N(INDEX(Übersicht!$M$15:$M$22,MATCH($B3446,Übersicht!$A$15:$A$22,0))),0)),1,0),1))</f>
        <v/>
      </c>
    </row>
    <row r="3447">
      <c r="A3447" s="92" t="n"/>
      <c r="B3447" s="55" t="n"/>
      <c r="C3447" s="55" t="n"/>
      <c r="D3447" s="55" t="n"/>
      <c r="E3447" s="93" t="n"/>
      <c r="F3447" s="94" t="n"/>
      <c r="G3447" s="94" t="n"/>
      <c r="H3447" s="94" t="n"/>
      <c r="I3447" s="94" t="n"/>
      <c r="J3447" s="55" t="n"/>
      <c r="K3447" s="95" t="n"/>
      <c r="L3447" s="116">
        <f>IF($A3447="","",DATE(YEAR($A3447),MONTH($A3447)+IF(AND(IFERROR(N(INDEX(Übersicht!$M$15:$M$22,MATCH($B3447,Übersicht!$A$15:$A$22,0))),0)&gt;1,DAY($A3447)&gt;=IFERROR(N(INDEX(Übersicht!$M$15:$M$22,MATCH($B3447,Übersicht!$A$15:$A$22,0))),0)),1,0),1))</f>
        <v/>
      </c>
    </row>
    <row r="3448">
      <c r="A3448" s="92" t="n"/>
      <c r="B3448" s="55" t="n"/>
      <c r="C3448" s="55" t="n"/>
      <c r="D3448" s="55" t="n"/>
      <c r="E3448" s="93" t="n"/>
      <c r="F3448" s="94" t="n"/>
      <c r="G3448" s="94" t="n"/>
      <c r="H3448" s="94" t="n"/>
      <c r="I3448" s="94" t="n"/>
      <c r="J3448" s="55" t="n"/>
      <c r="K3448" s="95" t="n"/>
      <c r="L3448" s="116">
        <f>IF($A3448="","",DATE(YEAR($A3448),MONTH($A3448)+IF(AND(IFERROR(N(INDEX(Übersicht!$M$15:$M$22,MATCH($B3448,Übersicht!$A$15:$A$22,0))),0)&gt;1,DAY($A3448)&gt;=IFERROR(N(INDEX(Übersicht!$M$15:$M$22,MATCH($B3448,Übersicht!$A$15:$A$22,0))),0)),1,0),1))</f>
        <v/>
      </c>
    </row>
    <row r="3449">
      <c r="A3449" s="92" t="n"/>
      <c r="B3449" s="55" t="n"/>
      <c r="C3449" s="55" t="n"/>
      <c r="D3449" s="55" t="n"/>
      <c r="E3449" s="93" t="n"/>
      <c r="F3449" s="94" t="n"/>
      <c r="G3449" s="94" t="n"/>
      <c r="H3449" s="94" t="n"/>
      <c r="I3449" s="94" t="n"/>
      <c r="J3449" s="55" t="n"/>
      <c r="K3449" s="95" t="n"/>
      <c r="L3449" s="116">
        <f>IF($A3449="","",DATE(YEAR($A3449),MONTH($A3449)+IF(AND(IFERROR(N(INDEX(Übersicht!$M$15:$M$22,MATCH($B3449,Übersicht!$A$15:$A$22,0))),0)&gt;1,DAY($A3449)&gt;=IFERROR(N(INDEX(Übersicht!$M$15:$M$22,MATCH($B3449,Übersicht!$A$15:$A$22,0))),0)),1,0),1))</f>
        <v/>
      </c>
    </row>
    <row r="3450">
      <c r="A3450" s="92" t="n"/>
      <c r="B3450" s="55" t="n"/>
      <c r="C3450" s="55" t="n"/>
      <c r="D3450" s="55" t="n"/>
      <c r="E3450" s="93" t="n"/>
      <c r="F3450" s="94" t="n"/>
      <c r="G3450" s="94" t="n"/>
      <c r="H3450" s="94" t="n"/>
      <c r="I3450" s="94" t="n"/>
      <c r="J3450" s="55" t="n"/>
      <c r="K3450" s="95" t="n"/>
      <c r="L3450" s="116">
        <f>IF($A3450="","",DATE(YEAR($A3450),MONTH($A3450)+IF(AND(IFERROR(N(INDEX(Übersicht!$M$15:$M$22,MATCH($B3450,Übersicht!$A$15:$A$22,0))),0)&gt;1,DAY($A3450)&gt;=IFERROR(N(INDEX(Übersicht!$M$15:$M$22,MATCH($B3450,Übersicht!$A$15:$A$22,0))),0)),1,0),1))</f>
        <v/>
      </c>
    </row>
    <row r="3451">
      <c r="A3451" s="92" t="n"/>
      <c r="B3451" s="55" t="n"/>
      <c r="C3451" s="55" t="n"/>
      <c r="D3451" s="55" t="n"/>
      <c r="E3451" s="93" t="n"/>
      <c r="F3451" s="94" t="n"/>
      <c r="G3451" s="94" t="n"/>
      <c r="H3451" s="94" t="n"/>
      <c r="I3451" s="94" t="n"/>
      <c r="J3451" s="55" t="n"/>
      <c r="K3451" s="95" t="n"/>
      <c r="L3451" s="116">
        <f>IF($A3451="","",DATE(YEAR($A3451),MONTH($A3451)+IF(AND(IFERROR(N(INDEX(Übersicht!$M$15:$M$22,MATCH($B3451,Übersicht!$A$15:$A$22,0))),0)&gt;1,DAY($A3451)&gt;=IFERROR(N(INDEX(Übersicht!$M$15:$M$22,MATCH($B3451,Übersicht!$A$15:$A$22,0))),0)),1,0),1))</f>
        <v/>
      </c>
    </row>
    <row r="3452">
      <c r="A3452" s="92" t="n"/>
      <c r="B3452" s="55" t="n"/>
      <c r="C3452" s="55" t="n"/>
      <c r="D3452" s="55" t="n"/>
      <c r="E3452" s="93" t="n"/>
      <c r="F3452" s="94" t="n"/>
      <c r="G3452" s="94" t="n"/>
      <c r="H3452" s="94" t="n"/>
      <c r="I3452" s="94" t="n"/>
      <c r="J3452" s="55" t="n"/>
      <c r="K3452" s="95" t="n"/>
      <c r="L3452" s="116">
        <f>IF($A3452="","",DATE(YEAR($A3452),MONTH($A3452)+IF(AND(IFERROR(N(INDEX(Übersicht!$M$15:$M$22,MATCH($B3452,Übersicht!$A$15:$A$22,0))),0)&gt;1,DAY($A3452)&gt;=IFERROR(N(INDEX(Übersicht!$M$15:$M$22,MATCH($B3452,Übersicht!$A$15:$A$22,0))),0)),1,0),1))</f>
        <v/>
      </c>
    </row>
    <row r="3453">
      <c r="A3453" s="92" t="n"/>
      <c r="B3453" s="55" t="n"/>
      <c r="C3453" s="55" t="n"/>
      <c r="D3453" s="55" t="n"/>
      <c r="E3453" s="93" t="n"/>
      <c r="F3453" s="94" t="n"/>
      <c r="G3453" s="94" t="n"/>
      <c r="H3453" s="94" t="n"/>
      <c r="I3453" s="94" t="n"/>
      <c r="J3453" s="55" t="n"/>
      <c r="K3453" s="95" t="n"/>
      <c r="L3453" s="116">
        <f>IF($A3453="","",DATE(YEAR($A3453),MONTH($A3453)+IF(AND(IFERROR(N(INDEX(Übersicht!$M$15:$M$22,MATCH($B3453,Übersicht!$A$15:$A$22,0))),0)&gt;1,DAY($A3453)&gt;=IFERROR(N(INDEX(Übersicht!$M$15:$M$22,MATCH($B3453,Übersicht!$A$15:$A$22,0))),0)),1,0),1))</f>
        <v/>
      </c>
    </row>
    <row r="3454">
      <c r="A3454" s="92" t="n"/>
      <c r="B3454" s="55" t="n"/>
      <c r="C3454" s="55" t="n"/>
      <c r="D3454" s="55" t="n"/>
      <c r="E3454" s="93" t="n"/>
      <c r="F3454" s="94" t="n"/>
      <c r="G3454" s="94" t="n"/>
      <c r="H3454" s="94" t="n"/>
      <c r="I3454" s="94" t="n"/>
      <c r="J3454" s="55" t="n"/>
      <c r="K3454" s="95" t="n"/>
      <c r="L3454" s="116">
        <f>IF($A3454="","",DATE(YEAR($A3454),MONTH($A3454)+IF(AND(IFERROR(N(INDEX(Übersicht!$M$15:$M$22,MATCH($B3454,Übersicht!$A$15:$A$22,0))),0)&gt;1,DAY($A3454)&gt;=IFERROR(N(INDEX(Übersicht!$M$15:$M$22,MATCH($B3454,Übersicht!$A$15:$A$22,0))),0)),1,0),1))</f>
        <v/>
      </c>
    </row>
    <row r="3455">
      <c r="A3455" s="92" t="n"/>
      <c r="B3455" s="55" t="n"/>
      <c r="C3455" s="55" t="n"/>
      <c r="D3455" s="55" t="n"/>
      <c r="E3455" s="93" t="n"/>
      <c r="F3455" s="94" t="n"/>
      <c r="G3455" s="94" t="n"/>
      <c r="H3455" s="94" t="n"/>
      <c r="I3455" s="94" t="n"/>
      <c r="J3455" s="55" t="n"/>
      <c r="K3455" s="95" t="n"/>
      <c r="L3455" s="116">
        <f>IF($A3455="","",DATE(YEAR($A3455),MONTH($A3455)+IF(AND(IFERROR(N(INDEX(Übersicht!$M$15:$M$22,MATCH($B3455,Übersicht!$A$15:$A$22,0))),0)&gt;1,DAY($A3455)&gt;=IFERROR(N(INDEX(Übersicht!$M$15:$M$22,MATCH($B3455,Übersicht!$A$15:$A$22,0))),0)),1,0),1))</f>
        <v/>
      </c>
    </row>
    <row r="3456">
      <c r="A3456" s="92" t="n"/>
      <c r="B3456" s="55" t="n"/>
      <c r="C3456" s="55" t="n"/>
      <c r="D3456" s="55" t="n"/>
      <c r="E3456" s="93" t="n"/>
      <c r="F3456" s="94" t="n"/>
      <c r="G3456" s="94" t="n"/>
      <c r="H3456" s="94" t="n"/>
      <c r="I3456" s="94" t="n"/>
      <c r="J3456" s="55" t="n"/>
      <c r="K3456" s="95" t="n"/>
      <c r="L3456" s="116">
        <f>IF($A3456="","",DATE(YEAR($A3456),MONTH($A3456)+IF(AND(IFERROR(N(INDEX(Übersicht!$M$15:$M$22,MATCH($B3456,Übersicht!$A$15:$A$22,0))),0)&gt;1,DAY($A3456)&gt;=IFERROR(N(INDEX(Übersicht!$M$15:$M$22,MATCH($B3456,Übersicht!$A$15:$A$22,0))),0)),1,0),1))</f>
        <v/>
      </c>
    </row>
    <row r="3457">
      <c r="A3457" s="92" t="n"/>
      <c r="B3457" s="55" t="n"/>
      <c r="C3457" s="55" t="n"/>
      <c r="D3457" s="55" t="n"/>
      <c r="E3457" s="93" t="n"/>
      <c r="F3457" s="94" t="n"/>
      <c r="G3457" s="94" t="n"/>
      <c r="H3457" s="94" t="n"/>
      <c r="I3457" s="94" t="n"/>
      <c r="J3457" s="55" t="n"/>
      <c r="K3457" s="95" t="n"/>
      <c r="L3457" s="116">
        <f>IF($A3457="","",DATE(YEAR($A3457),MONTH($A3457)+IF(AND(IFERROR(N(INDEX(Übersicht!$M$15:$M$22,MATCH($B3457,Übersicht!$A$15:$A$22,0))),0)&gt;1,DAY($A3457)&gt;=IFERROR(N(INDEX(Übersicht!$M$15:$M$22,MATCH($B3457,Übersicht!$A$15:$A$22,0))),0)),1,0),1))</f>
        <v/>
      </c>
    </row>
    <row r="3458">
      <c r="A3458" s="92" t="n"/>
      <c r="B3458" s="55" t="n"/>
      <c r="C3458" s="55" t="n"/>
      <c r="D3458" s="55" t="n"/>
      <c r="E3458" s="93" t="n"/>
      <c r="F3458" s="94" t="n"/>
      <c r="G3458" s="94" t="n"/>
      <c r="H3458" s="94" t="n"/>
      <c r="I3458" s="94" t="n"/>
      <c r="J3458" s="55" t="n"/>
      <c r="K3458" s="95" t="n"/>
      <c r="L3458" s="116">
        <f>IF($A3458="","",DATE(YEAR($A3458),MONTH($A3458)+IF(AND(IFERROR(N(INDEX(Übersicht!$M$15:$M$22,MATCH($B3458,Übersicht!$A$15:$A$22,0))),0)&gt;1,DAY($A3458)&gt;=IFERROR(N(INDEX(Übersicht!$M$15:$M$22,MATCH($B3458,Übersicht!$A$15:$A$22,0))),0)),1,0),1))</f>
        <v/>
      </c>
    </row>
    <row r="3459">
      <c r="A3459" s="92" t="n"/>
      <c r="B3459" s="55" t="n"/>
      <c r="C3459" s="55" t="n"/>
      <c r="D3459" s="55" t="n"/>
      <c r="E3459" s="93" t="n"/>
      <c r="F3459" s="94" t="n"/>
      <c r="G3459" s="94" t="n"/>
      <c r="H3459" s="94" t="n"/>
      <c r="I3459" s="94" t="n"/>
      <c r="J3459" s="55" t="n"/>
      <c r="K3459" s="95" t="n"/>
      <c r="L3459" s="116">
        <f>IF($A3459="","",DATE(YEAR($A3459),MONTH($A3459)+IF(AND(IFERROR(N(INDEX(Übersicht!$M$15:$M$22,MATCH($B3459,Übersicht!$A$15:$A$22,0))),0)&gt;1,DAY($A3459)&gt;=IFERROR(N(INDEX(Übersicht!$M$15:$M$22,MATCH($B3459,Übersicht!$A$15:$A$22,0))),0)),1,0),1))</f>
        <v/>
      </c>
    </row>
    <row r="3460">
      <c r="A3460" s="92" t="n"/>
      <c r="B3460" s="55" t="n"/>
      <c r="C3460" s="55" t="n"/>
      <c r="D3460" s="55" t="n"/>
      <c r="E3460" s="93" t="n"/>
      <c r="F3460" s="94" t="n"/>
      <c r="G3460" s="94" t="n"/>
      <c r="H3460" s="94" t="n"/>
      <c r="I3460" s="94" t="n"/>
      <c r="J3460" s="55" t="n"/>
      <c r="K3460" s="95" t="n"/>
      <c r="L3460" s="116">
        <f>IF($A3460="","",DATE(YEAR($A3460),MONTH($A3460)+IF(AND(IFERROR(N(INDEX(Übersicht!$M$15:$M$22,MATCH($B3460,Übersicht!$A$15:$A$22,0))),0)&gt;1,DAY($A3460)&gt;=IFERROR(N(INDEX(Übersicht!$M$15:$M$22,MATCH($B3460,Übersicht!$A$15:$A$22,0))),0)),1,0),1))</f>
        <v/>
      </c>
    </row>
    <row r="3461">
      <c r="A3461" s="92" t="n"/>
      <c r="B3461" s="55" t="n"/>
      <c r="C3461" s="55" t="n"/>
      <c r="D3461" s="55" t="n"/>
      <c r="E3461" s="93" t="n"/>
      <c r="F3461" s="94" t="n"/>
      <c r="G3461" s="94" t="n"/>
      <c r="H3461" s="94" t="n"/>
      <c r="I3461" s="94" t="n"/>
      <c r="J3461" s="55" t="n"/>
      <c r="K3461" s="95" t="n"/>
      <c r="L3461" s="116">
        <f>IF($A3461="","",DATE(YEAR($A3461),MONTH($A3461)+IF(AND(IFERROR(N(INDEX(Übersicht!$M$15:$M$22,MATCH($B3461,Übersicht!$A$15:$A$22,0))),0)&gt;1,DAY($A3461)&gt;=IFERROR(N(INDEX(Übersicht!$M$15:$M$22,MATCH($B3461,Übersicht!$A$15:$A$22,0))),0)),1,0),1))</f>
        <v/>
      </c>
    </row>
    <row r="3462">
      <c r="A3462" s="92" t="n"/>
      <c r="B3462" s="55" t="n"/>
      <c r="C3462" s="55" t="n"/>
      <c r="D3462" s="55" t="n"/>
      <c r="E3462" s="93" t="n"/>
      <c r="F3462" s="94" t="n"/>
      <c r="G3462" s="94" t="n"/>
      <c r="H3462" s="94" t="n"/>
      <c r="I3462" s="94" t="n"/>
      <c r="J3462" s="55" t="n"/>
      <c r="K3462" s="95" t="n"/>
      <c r="L3462" s="116">
        <f>IF($A3462="","",DATE(YEAR($A3462),MONTH($A3462)+IF(AND(IFERROR(N(INDEX(Übersicht!$M$15:$M$22,MATCH($B3462,Übersicht!$A$15:$A$22,0))),0)&gt;1,DAY($A3462)&gt;=IFERROR(N(INDEX(Übersicht!$M$15:$M$22,MATCH($B3462,Übersicht!$A$15:$A$22,0))),0)),1,0),1))</f>
        <v/>
      </c>
    </row>
    <row r="3463">
      <c r="A3463" s="92" t="n"/>
      <c r="B3463" s="55" t="n"/>
      <c r="C3463" s="55" t="n"/>
      <c r="D3463" s="55" t="n"/>
      <c r="E3463" s="93" t="n"/>
      <c r="F3463" s="94" t="n"/>
      <c r="G3463" s="94" t="n"/>
      <c r="H3463" s="94" t="n"/>
      <c r="I3463" s="94" t="n"/>
      <c r="J3463" s="55" t="n"/>
      <c r="K3463" s="95" t="n"/>
      <c r="L3463" s="116">
        <f>IF($A3463="","",DATE(YEAR($A3463),MONTH($A3463)+IF(AND(IFERROR(N(INDEX(Übersicht!$M$15:$M$22,MATCH($B3463,Übersicht!$A$15:$A$22,0))),0)&gt;1,DAY($A3463)&gt;=IFERROR(N(INDEX(Übersicht!$M$15:$M$22,MATCH($B3463,Übersicht!$A$15:$A$22,0))),0)),1,0),1))</f>
        <v/>
      </c>
    </row>
    <row r="3464">
      <c r="A3464" s="92" t="n"/>
      <c r="B3464" s="55" t="n"/>
      <c r="C3464" s="55" t="n"/>
      <c r="D3464" s="55" t="n"/>
      <c r="E3464" s="93" t="n"/>
      <c r="F3464" s="94" t="n"/>
      <c r="G3464" s="94" t="n"/>
      <c r="H3464" s="94" t="n"/>
      <c r="I3464" s="94" t="n"/>
      <c r="J3464" s="55" t="n"/>
      <c r="K3464" s="95" t="n"/>
      <c r="L3464" s="116">
        <f>IF($A3464="","",DATE(YEAR($A3464),MONTH($A3464)+IF(AND(IFERROR(N(INDEX(Übersicht!$M$15:$M$22,MATCH($B3464,Übersicht!$A$15:$A$22,0))),0)&gt;1,DAY($A3464)&gt;=IFERROR(N(INDEX(Übersicht!$M$15:$M$22,MATCH($B3464,Übersicht!$A$15:$A$22,0))),0)),1,0),1))</f>
        <v/>
      </c>
    </row>
    <row r="3465">
      <c r="A3465" s="92" t="n"/>
      <c r="B3465" s="55" t="n"/>
      <c r="C3465" s="55" t="n"/>
      <c r="D3465" s="55" t="n"/>
      <c r="E3465" s="93" t="n"/>
      <c r="F3465" s="94" t="n"/>
      <c r="G3465" s="94" t="n"/>
      <c r="H3465" s="94" t="n"/>
      <c r="I3465" s="94" t="n"/>
      <c r="J3465" s="55" t="n"/>
      <c r="K3465" s="95" t="n"/>
      <c r="L3465" s="116">
        <f>IF($A3465="","",DATE(YEAR($A3465),MONTH($A3465)+IF(AND(IFERROR(N(INDEX(Übersicht!$M$15:$M$22,MATCH($B3465,Übersicht!$A$15:$A$22,0))),0)&gt;1,DAY($A3465)&gt;=IFERROR(N(INDEX(Übersicht!$M$15:$M$22,MATCH($B3465,Übersicht!$A$15:$A$22,0))),0)),1,0),1))</f>
        <v/>
      </c>
    </row>
    <row r="3466">
      <c r="A3466" s="92" t="n"/>
      <c r="B3466" s="55" t="n"/>
      <c r="C3466" s="55" t="n"/>
      <c r="D3466" s="55" t="n"/>
      <c r="E3466" s="93" t="n"/>
      <c r="F3466" s="94" t="n"/>
      <c r="G3466" s="94" t="n"/>
      <c r="H3466" s="94" t="n"/>
      <c r="I3466" s="94" t="n"/>
      <c r="J3466" s="55" t="n"/>
      <c r="K3466" s="95" t="n"/>
      <c r="L3466" s="116">
        <f>IF($A3466="","",DATE(YEAR($A3466),MONTH($A3466)+IF(AND(IFERROR(N(INDEX(Übersicht!$M$15:$M$22,MATCH($B3466,Übersicht!$A$15:$A$22,0))),0)&gt;1,DAY($A3466)&gt;=IFERROR(N(INDEX(Übersicht!$M$15:$M$22,MATCH($B3466,Übersicht!$A$15:$A$22,0))),0)),1,0),1))</f>
        <v/>
      </c>
    </row>
    <row r="3467">
      <c r="A3467" s="92" t="n"/>
      <c r="B3467" s="55" t="n"/>
      <c r="C3467" s="55" t="n"/>
      <c r="D3467" s="55" t="n"/>
      <c r="E3467" s="93" t="n"/>
      <c r="F3467" s="94" t="n"/>
      <c r="G3467" s="94" t="n"/>
      <c r="H3467" s="94" t="n"/>
      <c r="I3467" s="94" t="n"/>
      <c r="J3467" s="55" t="n"/>
      <c r="K3467" s="95" t="n"/>
      <c r="L3467" s="116">
        <f>IF($A3467="","",DATE(YEAR($A3467),MONTH($A3467)+IF(AND(IFERROR(N(INDEX(Übersicht!$M$15:$M$22,MATCH($B3467,Übersicht!$A$15:$A$22,0))),0)&gt;1,DAY($A3467)&gt;=IFERROR(N(INDEX(Übersicht!$M$15:$M$22,MATCH($B3467,Übersicht!$A$15:$A$22,0))),0)),1,0),1))</f>
        <v/>
      </c>
    </row>
    <row r="3468">
      <c r="A3468" s="92" t="n"/>
      <c r="B3468" s="55" t="n"/>
      <c r="C3468" s="55" t="n"/>
      <c r="D3468" s="55" t="n"/>
      <c r="E3468" s="93" t="n"/>
      <c r="F3468" s="94" t="n"/>
      <c r="G3468" s="94" t="n"/>
      <c r="H3468" s="94" t="n"/>
      <c r="I3468" s="94" t="n"/>
      <c r="J3468" s="55" t="n"/>
      <c r="K3468" s="95" t="n"/>
      <c r="L3468" s="116">
        <f>IF($A3468="","",DATE(YEAR($A3468),MONTH($A3468)+IF(AND(IFERROR(N(INDEX(Übersicht!$M$15:$M$22,MATCH($B3468,Übersicht!$A$15:$A$22,0))),0)&gt;1,DAY($A3468)&gt;=IFERROR(N(INDEX(Übersicht!$M$15:$M$22,MATCH($B3468,Übersicht!$A$15:$A$22,0))),0)),1,0),1))</f>
        <v/>
      </c>
    </row>
    <row r="3469">
      <c r="A3469" s="92" t="n"/>
      <c r="B3469" s="55" t="n"/>
      <c r="C3469" s="55" t="n"/>
      <c r="D3469" s="55" t="n"/>
      <c r="E3469" s="93" t="n"/>
      <c r="F3469" s="94" t="n"/>
      <c r="G3469" s="94" t="n"/>
      <c r="H3469" s="94" t="n"/>
      <c r="I3469" s="94" t="n"/>
      <c r="J3469" s="55" t="n"/>
      <c r="K3469" s="95" t="n"/>
      <c r="L3469" s="116">
        <f>IF($A3469="","",DATE(YEAR($A3469),MONTH($A3469)+IF(AND(IFERROR(N(INDEX(Übersicht!$M$15:$M$22,MATCH($B3469,Übersicht!$A$15:$A$22,0))),0)&gt;1,DAY($A3469)&gt;=IFERROR(N(INDEX(Übersicht!$M$15:$M$22,MATCH($B3469,Übersicht!$A$15:$A$22,0))),0)),1,0),1))</f>
        <v/>
      </c>
    </row>
    <row r="3470">
      <c r="A3470" s="92" t="n"/>
      <c r="B3470" s="55" t="n"/>
      <c r="C3470" s="55" t="n"/>
      <c r="D3470" s="55" t="n"/>
      <c r="E3470" s="93" t="n"/>
      <c r="F3470" s="94" t="n"/>
      <c r="G3470" s="94" t="n"/>
      <c r="H3470" s="94" t="n"/>
      <c r="I3470" s="94" t="n"/>
      <c r="J3470" s="55" t="n"/>
      <c r="K3470" s="95" t="n"/>
      <c r="L3470" s="116">
        <f>IF($A3470="","",DATE(YEAR($A3470),MONTH($A3470)+IF(AND(IFERROR(N(INDEX(Übersicht!$M$15:$M$22,MATCH($B3470,Übersicht!$A$15:$A$22,0))),0)&gt;1,DAY($A3470)&gt;=IFERROR(N(INDEX(Übersicht!$M$15:$M$22,MATCH($B3470,Übersicht!$A$15:$A$22,0))),0)),1,0),1))</f>
        <v/>
      </c>
    </row>
    <row r="3471">
      <c r="A3471" s="92" t="n"/>
      <c r="B3471" s="55" t="n"/>
      <c r="C3471" s="55" t="n"/>
      <c r="D3471" s="55" t="n"/>
      <c r="E3471" s="93" t="n"/>
      <c r="F3471" s="94" t="n"/>
      <c r="G3471" s="94" t="n"/>
      <c r="H3471" s="94" t="n"/>
      <c r="I3471" s="94" t="n"/>
      <c r="J3471" s="55" t="n"/>
      <c r="K3471" s="95" t="n"/>
      <c r="L3471" s="116">
        <f>IF($A3471="","",DATE(YEAR($A3471),MONTH($A3471)+IF(AND(IFERROR(N(INDEX(Übersicht!$M$15:$M$22,MATCH($B3471,Übersicht!$A$15:$A$22,0))),0)&gt;1,DAY($A3471)&gt;=IFERROR(N(INDEX(Übersicht!$M$15:$M$22,MATCH($B3471,Übersicht!$A$15:$A$22,0))),0)),1,0),1))</f>
        <v/>
      </c>
    </row>
    <row r="3472">
      <c r="A3472" s="92" t="n"/>
      <c r="B3472" s="55" t="n"/>
      <c r="C3472" s="55" t="n"/>
      <c r="D3472" s="55" t="n"/>
      <c r="E3472" s="93" t="n"/>
      <c r="F3472" s="94" t="n"/>
      <c r="G3472" s="94" t="n"/>
      <c r="H3472" s="94" t="n"/>
      <c r="I3472" s="94" t="n"/>
      <c r="J3472" s="55" t="n"/>
      <c r="K3472" s="95" t="n"/>
      <c r="L3472" s="116">
        <f>IF($A3472="","",DATE(YEAR($A3472),MONTH($A3472)+IF(AND(IFERROR(N(INDEX(Übersicht!$M$15:$M$22,MATCH($B3472,Übersicht!$A$15:$A$22,0))),0)&gt;1,DAY($A3472)&gt;=IFERROR(N(INDEX(Übersicht!$M$15:$M$22,MATCH($B3472,Übersicht!$A$15:$A$22,0))),0)),1,0),1))</f>
        <v/>
      </c>
    </row>
    <row r="3473">
      <c r="A3473" s="92" t="n"/>
      <c r="B3473" s="55" t="n"/>
      <c r="C3473" s="55" t="n"/>
      <c r="D3473" s="55" t="n"/>
      <c r="E3473" s="93" t="n"/>
      <c r="F3473" s="94" t="n"/>
      <c r="G3473" s="94" t="n"/>
      <c r="H3473" s="94" t="n"/>
      <c r="I3473" s="94" t="n"/>
      <c r="J3473" s="55" t="n"/>
      <c r="K3473" s="95" t="n"/>
      <c r="L3473" s="116">
        <f>IF($A3473="","",DATE(YEAR($A3473),MONTH($A3473)+IF(AND(IFERROR(N(INDEX(Übersicht!$M$15:$M$22,MATCH($B3473,Übersicht!$A$15:$A$22,0))),0)&gt;1,DAY($A3473)&gt;=IFERROR(N(INDEX(Übersicht!$M$15:$M$22,MATCH($B3473,Übersicht!$A$15:$A$22,0))),0)),1,0),1))</f>
        <v/>
      </c>
    </row>
    <row r="3474">
      <c r="A3474" s="92" t="n"/>
      <c r="B3474" s="55" t="n"/>
      <c r="C3474" s="55" t="n"/>
      <c r="D3474" s="55" t="n"/>
      <c r="E3474" s="93" t="n"/>
      <c r="F3474" s="94" t="n"/>
      <c r="G3474" s="94" t="n"/>
      <c r="H3474" s="94" t="n"/>
      <c r="I3474" s="94" t="n"/>
      <c r="J3474" s="55" t="n"/>
      <c r="K3474" s="95" t="n"/>
      <c r="L3474" s="116">
        <f>IF($A3474="","",DATE(YEAR($A3474),MONTH($A3474)+IF(AND(IFERROR(N(INDEX(Übersicht!$M$15:$M$22,MATCH($B3474,Übersicht!$A$15:$A$22,0))),0)&gt;1,DAY($A3474)&gt;=IFERROR(N(INDEX(Übersicht!$M$15:$M$22,MATCH($B3474,Übersicht!$A$15:$A$22,0))),0)),1,0),1))</f>
        <v/>
      </c>
    </row>
    <row r="3475">
      <c r="A3475" s="92" t="n"/>
      <c r="B3475" s="55" t="n"/>
      <c r="C3475" s="55" t="n"/>
      <c r="D3475" s="55" t="n"/>
      <c r="E3475" s="93" t="n"/>
      <c r="F3475" s="94" t="n"/>
      <c r="G3475" s="94" t="n"/>
      <c r="H3475" s="94" t="n"/>
      <c r="I3475" s="94" t="n"/>
      <c r="J3475" s="55" t="n"/>
      <c r="K3475" s="95" t="n"/>
      <c r="L3475" s="116">
        <f>IF($A3475="","",DATE(YEAR($A3475),MONTH($A3475)+IF(AND(IFERROR(N(INDEX(Übersicht!$M$15:$M$22,MATCH($B3475,Übersicht!$A$15:$A$22,0))),0)&gt;1,DAY($A3475)&gt;=IFERROR(N(INDEX(Übersicht!$M$15:$M$22,MATCH($B3475,Übersicht!$A$15:$A$22,0))),0)),1,0),1))</f>
        <v/>
      </c>
    </row>
    <row r="3476">
      <c r="A3476" s="92" t="n"/>
      <c r="B3476" s="55" t="n"/>
      <c r="C3476" s="55" t="n"/>
      <c r="D3476" s="55" t="n"/>
      <c r="E3476" s="93" t="n"/>
      <c r="F3476" s="94" t="n"/>
      <c r="G3476" s="94" t="n"/>
      <c r="H3476" s="94" t="n"/>
      <c r="I3476" s="94" t="n"/>
      <c r="J3476" s="55" t="n"/>
      <c r="K3476" s="95" t="n"/>
      <c r="L3476" s="116">
        <f>IF($A3476="","",DATE(YEAR($A3476),MONTH($A3476)+IF(AND(IFERROR(N(INDEX(Übersicht!$M$15:$M$22,MATCH($B3476,Übersicht!$A$15:$A$22,0))),0)&gt;1,DAY($A3476)&gt;=IFERROR(N(INDEX(Übersicht!$M$15:$M$22,MATCH($B3476,Übersicht!$A$15:$A$22,0))),0)),1,0),1))</f>
        <v/>
      </c>
    </row>
    <row r="3477">
      <c r="A3477" s="92" t="n"/>
      <c r="B3477" s="55" t="n"/>
      <c r="C3477" s="55" t="n"/>
      <c r="D3477" s="55" t="n"/>
      <c r="E3477" s="93" t="n"/>
      <c r="F3477" s="94" t="n"/>
      <c r="G3477" s="94" t="n"/>
      <c r="H3477" s="94" t="n"/>
      <c r="I3477" s="94" t="n"/>
      <c r="J3477" s="55" t="n"/>
      <c r="K3477" s="95" t="n"/>
      <c r="L3477" s="116">
        <f>IF($A3477="","",DATE(YEAR($A3477),MONTH($A3477)+IF(AND(IFERROR(N(INDEX(Übersicht!$M$15:$M$22,MATCH($B3477,Übersicht!$A$15:$A$22,0))),0)&gt;1,DAY($A3477)&gt;=IFERROR(N(INDEX(Übersicht!$M$15:$M$22,MATCH($B3477,Übersicht!$A$15:$A$22,0))),0)),1,0),1))</f>
        <v/>
      </c>
    </row>
    <row r="3478">
      <c r="A3478" s="92" t="n"/>
      <c r="B3478" s="55" t="n"/>
      <c r="C3478" s="55" t="n"/>
      <c r="D3478" s="55" t="n"/>
      <c r="E3478" s="93" t="n"/>
      <c r="F3478" s="94" t="n"/>
      <c r="G3478" s="94" t="n"/>
      <c r="H3478" s="94" t="n"/>
      <c r="I3478" s="94" t="n"/>
      <c r="J3478" s="55" t="n"/>
      <c r="K3478" s="95" t="n"/>
      <c r="L3478" s="116">
        <f>IF($A3478="","",DATE(YEAR($A3478),MONTH($A3478)+IF(AND(IFERROR(N(INDEX(Übersicht!$M$15:$M$22,MATCH($B3478,Übersicht!$A$15:$A$22,0))),0)&gt;1,DAY($A3478)&gt;=IFERROR(N(INDEX(Übersicht!$M$15:$M$22,MATCH($B3478,Übersicht!$A$15:$A$22,0))),0)),1,0),1))</f>
        <v/>
      </c>
    </row>
    <row r="3479">
      <c r="A3479" s="92" t="n"/>
      <c r="B3479" s="55" t="n"/>
      <c r="C3479" s="55" t="n"/>
      <c r="D3479" s="55" t="n"/>
      <c r="E3479" s="93" t="n"/>
      <c r="F3479" s="94" t="n"/>
      <c r="G3479" s="94" t="n"/>
      <c r="H3479" s="94" t="n"/>
      <c r="I3479" s="94" t="n"/>
      <c r="J3479" s="55" t="n"/>
      <c r="K3479" s="95" t="n"/>
      <c r="L3479" s="116">
        <f>IF($A3479="","",DATE(YEAR($A3479),MONTH($A3479)+IF(AND(IFERROR(N(INDEX(Übersicht!$M$15:$M$22,MATCH($B3479,Übersicht!$A$15:$A$22,0))),0)&gt;1,DAY($A3479)&gt;=IFERROR(N(INDEX(Übersicht!$M$15:$M$22,MATCH($B3479,Übersicht!$A$15:$A$22,0))),0)),1,0),1))</f>
        <v/>
      </c>
    </row>
    <row r="3480">
      <c r="A3480" s="92" t="n"/>
      <c r="B3480" s="55" t="n"/>
      <c r="C3480" s="55" t="n"/>
      <c r="D3480" s="55" t="n"/>
      <c r="E3480" s="93" t="n"/>
      <c r="F3480" s="94" t="n"/>
      <c r="G3480" s="94" t="n"/>
      <c r="H3480" s="94" t="n"/>
      <c r="I3480" s="94" t="n"/>
      <c r="J3480" s="55" t="n"/>
      <c r="K3480" s="95" t="n"/>
      <c r="L3480" s="116">
        <f>IF($A3480="","",DATE(YEAR($A3480),MONTH($A3480)+IF(AND(IFERROR(N(INDEX(Übersicht!$M$15:$M$22,MATCH($B3480,Übersicht!$A$15:$A$22,0))),0)&gt;1,DAY($A3480)&gt;=IFERROR(N(INDEX(Übersicht!$M$15:$M$22,MATCH($B3480,Übersicht!$A$15:$A$22,0))),0)),1,0),1))</f>
        <v/>
      </c>
    </row>
    <row r="3481">
      <c r="A3481" s="92" t="n"/>
      <c r="B3481" s="55" t="n"/>
      <c r="C3481" s="55" t="n"/>
      <c r="D3481" s="55" t="n"/>
      <c r="E3481" s="93" t="n"/>
      <c r="F3481" s="94" t="n"/>
      <c r="G3481" s="94" t="n"/>
      <c r="H3481" s="94" t="n"/>
      <c r="I3481" s="94" t="n"/>
      <c r="J3481" s="55" t="n"/>
      <c r="K3481" s="95" t="n"/>
      <c r="L3481" s="116">
        <f>IF($A3481="","",DATE(YEAR($A3481),MONTH($A3481)+IF(AND(IFERROR(N(INDEX(Übersicht!$M$15:$M$22,MATCH($B3481,Übersicht!$A$15:$A$22,0))),0)&gt;1,DAY($A3481)&gt;=IFERROR(N(INDEX(Übersicht!$M$15:$M$22,MATCH($B3481,Übersicht!$A$15:$A$22,0))),0)),1,0),1))</f>
        <v/>
      </c>
    </row>
    <row r="3482">
      <c r="A3482" s="92" t="n"/>
      <c r="B3482" s="55" t="n"/>
      <c r="C3482" s="55" t="n"/>
      <c r="D3482" s="55" t="n"/>
      <c r="E3482" s="93" t="n"/>
      <c r="F3482" s="94" t="n"/>
      <c r="G3482" s="94" t="n"/>
      <c r="H3482" s="94" t="n"/>
      <c r="I3482" s="94" t="n"/>
      <c r="J3482" s="55" t="n"/>
      <c r="K3482" s="95" t="n"/>
      <c r="L3482" s="116">
        <f>IF($A3482="","",DATE(YEAR($A3482),MONTH($A3482)+IF(AND(IFERROR(N(INDEX(Übersicht!$M$15:$M$22,MATCH($B3482,Übersicht!$A$15:$A$22,0))),0)&gt;1,DAY($A3482)&gt;=IFERROR(N(INDEX(Übersicht!$M$15:$M$22,MATCH($B3482,Übersicht!$A$15:$A$22,0))),0)),1,0),1))</f>
        <v/>
      </c>
    </row>
    <row r="3483">
      <c r="A3483" s="92" t="n"/>
      <c r="B3483" s="55" t="n"/>
      <c r="C3483" s="55" t="n"/>
      <c r="D3483" s="55" t="n"/>
      <c r="E3483" s="93" t="n"/>
      <c r="F3483" s="94" t="n"/>
      <c r="G3483" s="94" t="n"/>
      <c r="H3483" s="94" t="n"/>
      <c r="I3483" s="94" t="n"/>
      <c r="J3483" s="55" t="n"/>
      <c r="K3483" s="95" t="n"/>
      <c r="L3483" s="116">
        <f>IF($A3483="","",DATE(YEAR($A3483),MONTH($A3483)+IF(AND(IFERROR(N(INDEX(Übersicht!$M$15:$M$22,MATCH($B3483,Übersicht!$A$15:$A$22,0))),0)&gt;1,DAY($A3483)&gt;=IFERROR(N(INDEX(Übersicht!$M$15:$M$22,MATCH($B3483,Übersicht!$A$15:$A$22,0))),0)),1,0),1))</f>
        <v/>
      </c>
    </row>
    <row r="3484">
      <c r="A3484" s="92" t="n"/>
      <c r="B3484" s="55" t="n"/>
      <c r="C3484" s="55" t="n"/>
      <c r="D3484" s="55" t="n"/>
      <c r="E3484" s="93" t="n"/>
      <c r="F3484" s="94" t="n"/>
      <c r="G3484" s="94" t="n"/>
      <c r="H3484" s="94" t="n"/>
      <c r="I3484" s="94" t="n"/>
      <c r="J3484" s="55" t="n"/>
      <c r="K3484" s="95" t="n"/>
      <c r="L3484" s="116">
        <f>IF($A3484="","",DATE(YEAR($A3484),MONTH($A3484)+IF(AND(IFERROR(N(INDEX(Übersicht!$M$15:$M$22,MATCH($B3484,Übersicht!$A$15:$A$22,0))),0)&gt;1,DAY($A3484)&gt;=IFERROR(N(INDEX(Übersicht!$M$15:$M$22,MATCH($B3484,Übersicht!$A$15:$A$22,0))),0)),1,0),1))</f>
        <v/>
      </c>
    </row>
    <row r="3485">
      <c r="A3485" s="92" t="n"/>
      <c r="B3485" s="55" t="n"/>
      <c r="C3485" s="55" t="n"/>
      <c r="D3485" s="55" t="n"/>
      <c r="E3485" s="93" t="n"/>
      <c r="F3485" s="94" t="n"/>
      <c r="G3485" s="94" t="n"/>
      <c r="H3485" s="94" t="n"/>
      <c r="I3485" s="94" t="n"/>
      <c r="J3485" s="55" t="n"/>
      <c r="K3485" s="95" t="n"/>
      <c r="L3485" s="116">
        <f>IF($A3485="","",DATE(YEAR($A3485),MONTH($A3485)+IF(AND(IFERROR(N(INDEX(Übersicht!$M$15:$M$22,MATCH($B3485,Übersicht!$A$15:$A$22,0))),0)&gt;1,DAY($A3485)&gt;=IFERROR(N(INDEX(Übersicht!$M$15:$M$22,MATCH($B3485,Übersicht!$A$15:$A$22,0))),0)),1,0),1))</f>
        <v/>
      </c>
    </row>
    <row r="3486">
      <c r="A3486" s="92" t="n"/>
      <c r="B3486" s="55" t="n"/>
      <c r="C3486" s="55" t="n"/>
      <c r="D3486" s="55" t="n"/>
      <c r="E3486" s="93" t="n"/>
      <c r="F3486" s="94" t="n"/>
      <c r="G3486" s="94" t="n"/>
      <c r="H3486" s="94" t="n"/>
      <c r="I3486" s="94" t="n"/>
      <c r="J3486" s="55" t="n"/>
      <c r="K3486" s="95" t="n"/>
      <c r="L3486" s="116">
        <f>IF($A3486="","",DATE(YEAR($A3486),MONTH($A3486)+IF(AND(IFERROR(N(INDEX(Übersicht!$M$15:$M$22,MATCH($B3486,Übersicht!$A$15:$A$22,0))),0)&gt;1,DAY($A3486)&gt;=IFERROR(N(INDEX(Übersicht!$M$15:$M$22,MATCH($B3486,Übersicht!$A$15:$A$22,0))),0)),1,0),1))</f>
        <v/>
      </c>
    </row>
    <row r="3487">
      <c r="A3487" s="92" t="n"/>
      <c r="B3487" s="55" t="n"/>
      <c r="C3487" s="55" t="n"/>
      <c r="D3487" s="55" t="n"/>
      <c r="E3487" s="93" t="n"/>
      <c r="F3487" s="94" t="n"/>
      <c r="G3487" s="94" t="n"/>
      <c r="H3487" s="94" t="n"/>
      <c r="I3487" s="94" t="n"/>
      <c r="J3487" s="55" t="n"/>
      <c r="K3487" s="95" t="n"/>
      <c r="L3487" s="116">
        <f>IF($A3487="","",DATE(YEAR($A3487),MONTH($A3487)+IF(AND(IFERROR(N(INDEX(Übersicht!$M$15:$M$22,MATCH($B3487,Übersicht!$A$15:$A$22,0))),0)&gt;1,DAY($A3487)&gt;=IFERROR(N(INDEX(Übersicht!$M$15:$M$22,MATCH($B3487,Übersicht!$A$15:$A$22,0))),0)),1,0),1))</f>
        <v/>
      </c>
    </row>
    <row r="3488">
      <c r="A3488" s="92" t="n"/>
      <c r="B3488" s="55" t="n"/>
      <c r="C3488" s="55" t="n"/>
      <c r="D3488" s="55" t="n"/>
      <c r="E3488" s="93" t="n"/>
      <c r="F3488" s="94" t="n"/>
      <c r="G3488" s="94" t="n"/>
      <c r="H3488" s="94" t="n"/>
      <c r="I3488" s="94" t="n"/>
      <c r="J3488" s="55" t="n"/>
      <c r="K3488" s="95" t="n"/>
      <c r="L3488" s="116">
        <f>IF($A3488="","",DATE(YEAR($A3488),MONTH($A3488)+IF(AND(IFERROR(N(INDEX(Übersicht!$M$15:$M$22,MATCH($B3488,Übersicht!$A$15:$A$22,0))),0)&gt;1,DAY($A3488)&gt;=IFERROR(N(INDEX(Übersicht!$M$15:$M$22,MATCH($B3488,Übersicht!$A$15:$A$22,0))),0)),1,0),1))</f>
        <v/>
      </c>
    </row>
    <row r="3489">
      <c r="A3489" s="92" t="n"/>
      <c r="B3489" s="55" t="n"/>
      <c r="C3489" s="55" t="n"/>
      <c r="D3489" s="55" t="n"/>
      <c r="E3489" s="93" t="n"/>
      <c r="F3489" s="94" t="n"/>
      <c r="G3489" s="94" t="n"/>
      <c r="H3489" s="94" t="n"/>
      <c r="I3489" s="94" t="n"/>
      <c r="J3489" s="55" t="n"/>
      <c r="K3489" s="95" t="n"/>
      <c r="L3489" s="116">
        <f>IF($A3489="","",DATE(YEAR($A3489),MONTH($A3489)+IF(AND(IFERROR(N(INDEX(Übersicht!$M$15:$M$22,MATCH($B3489,Übersicht!$A$15:$A$22,0))),0)&gt;1,DAY($A3489)&gt;=IFERROR(N(INDEX(Übersicht!$M$15:$M$22,MATCH($B3489,Übersicht!$A$15:$A$22,0))),0)),1,0),1))</f>
        <v/>
      </c>
    </row>
    <row r="3490">
      <c r="A3490" s="92" t="n"/>
      <c r="B3490" s="55" t="n"/>
      <c r="C3490" s="55" t="n"/>
      <c r="D3490" s="55" t="n"/>
      <c r="E3490" s="93" t="n"/>
      <c r="F3490" s="94" t="n"/>
      <c r="G3490" s="94" t="n"/>
      <c r="H3490" s="94" t="n"/>
      <c r="I3490" s="94" t="n"/>
      <c r="J3490" s="55" t="n"/>
      <c r="K3490" s="95" t="n"/>
      <c r="L3490" s="116">
        <f>IF($A3490="","",DATE(YEAR($A3490),MONTH($A3490)+IF(AND(IFERROR(N(INDEX(Übersicht!$M$15:$M$22,MATCH($B3490,Übersicht!$A$15:$A$22,0))),0)&gt;1,DAY($A3490)&gt;=IFERROR(N(INDEX(Übersicht!$M$15:$M$22,MATCH($B3490,Übersicht!$A$15:$A$22,0))),0)),1,0),1))</f>
        <v/>
      </c>
    </row>
    <row r="3491">
      <c r="A3491" s="92" t="n"/>
      <c r="B3491" s="55" t="n"/>
      <c r="C3491" s="55" t="n"/>
      <c r="D3491" s="55" t="n"/>
      <c r="E3491" s="93" t="n"/>
      <c r="F3491" s="94" t="n"/>
      <c r="G3491" s="94" t="n"/>
      <c r="H3491" s="94" t="n"/>
      <c r="I3491" s="94" t="n"/>
      <c r="J3491" s="55" t="n"/>
      <c r="K3491" s="95" t="n"/>
      <c r="L3491" s="116">
        <f>IF($A3491="","",DATE(YEAR($A3491),MONTH($A3491)+IF(AND(IFERROR(N(INDEX(Übersicht!$M$15:$M$22,MATCH($B3491,Übersicht!$A$15:$A$22,0))),0)&gt;1,DAY($A3491)&gt;=IFERROR(N(INDEX(Übersicht!$M$15:$M$22,MATCH($B3491,Übersicht!$A$15:$A$22,0))),0)),1,0),1))</f>
        <v/>
      </c>
    </row>
    <row r="3492">
      <c r="A3492" s="92" t="n"/>
      <c r="B3492" s="55" t="n"/>
      <c r="C3492" s="55" t="n"/>
      <c r="D3492" s="55" t="n"/>
      <c r="E3492" s="93" t="n"/>
      <c r="F3492" s="94" t="n"/>
      <c r="G3492" s="94" t="n"/>
      <c r="H3492" s="94" t="n"/>
      <c r="I3492" s="94" t="n"/>
      <c r="J3492" s="55" t="n"/>
      <c r="K3492" s="95" t="n"/>
      <c r="L3492" s="116">
        <f>IF($A3492="","",DATE(YEAR($A3492),MONTH($A3492)+IF(AND(IFERROR(N(INDEX(Übersicht!$M$15:$M$22,MATCH($B3492,Übersicht!$A$15:$A$22,0))),0)&gt;1,DAY($A3492)&gt;=IFERROR(N(INDEX(Übersicht!$M$15:$M$22,MATCH($B3492,Übersicht!$A$15:$A$22,0))),0)),1,0),1))</f>
        <v/>
      </c>
    </row>
    <row r="3493">
      <c r="A3493" s="92" t="n"/>
      <c r="B3493" s="55" t="n"/>
      <c r="C3493" s="55" t="n"/>
      <c r="D3493" s="55" t="n"/>
      <c r="E3493" s="93" t="n"/>
      <c r="F3493" s="94" t="n"/>
      <c r="G3493" s="94" t="n"/>
      <c r="H3493" s="94" t="n"/>
      <c r="I3493" s="94" t="n"/>
      <c r="J3493" s="55" t="n"/>
      <c r="K3493" s="95" t="n"/>
      <c r="L3493" s="116">
        <f>IF($A3493="","",DATE(YEAR($A3493),MONTH($A3493)+IF(AND(IFERROR(N(INDEX(Übersicht!$M$15:$M$22,MATCH($B3493,Übersicht!$A$15:$A$22,0))),0)&gt;1,DAY($A3493)&gt;=IFERROR(N(INDEX(Übersicht!$M$15:$M$22,MATCH($B3493,Übersicht!$A$15:$A$22,0))),0)),1,0),1))</f>
        <v/>
      </c>
    </row>
    <row r="3494">
      <c r="A3494" s="92" t="n"/>
      <c r="B3494" s="55" t="n"/>
      <c r="C3494" s="55" t="n"/>
      <c r="D3494" s="55" t="n"/>
      <c r="E3494" s="93" t="n"/>
      <c r="F3494" s="94" t="n"/>
      <c r="G3494" s="94" t="n"/>
      <c r="H3494" s="94" t="n"/>
      <c r="I3494" s="94" t="n"/>
      <c r="J3494" s="55" t="n"/>
      <c r="K3494" s="95" t="n"/>
      <c r="L3494" s="116">
        <f>IF($A3494="","",DATE(YEAR($A3494),MONTH($A3494)+IF(AND(IFERROR(N(INDEX(Übersicht!$M$15:$M$22,MATCH($B3494,Übersicht!$A$15:$A$22,0))),0)&gt;1,DAY($A3494)&gt;=IFERROR(N(INDEX(Übersicht!$M$15:$M$22,MATCH($B3494,Übersicht!$A$15:$A$22,0))),0)),1,0),1))</f>
        <v/>
      </c>
    </row>
    <row r="3495">
      <c r="A3495" s="92" t="n"/>
      <c r="B3495" s="55" t="n"/>
      <c r="C3495" s="55" t="n"/>
      <c r="D3495" s="55" t="n"/>
      <c r="E3495" s="93" t="n"/>
      <c r="F3495" s="94" t="n"/>
      <c r="G3495" s="94" t="n"/>
      <c r="H3495" s="94" t="n"/>
      <c r="I3495" s="94" t="n"/>
      <c r="J3495" s="55" t="n"/>
      <c r="K3495" s="95" t="n"/>
      <c r="L3495" s="116">
        <f>IF($A3495="","",DATE(YEAR($A3495),MONTH($A3495)+IF(AND(IFERROR(N(INDEX(Übersicht!$M$15:$M$22,MATCH($B3495,Übersicht!$A$15:$A$22,0))),0)&gt;1,DAY($A3495)&gt;=IFERROR(N(INDEX(Übersicht!$M$15:$M$22,MATCH($B3495,Übersicht!$A$15:$A$22,0))),0)),1,0),1))</f>
        <v/>
      </c>
    </row>
    <row r="3496">
      <c r="A3496" s="92" t="n"/>
      <c r="B3496" s="55" t="n"/>
      <c r="C3496" s="55" t="n"/>
      <c r="D3496" s="55" t="n"/>
      <c r="E3496" s="93" t="n"/>
      <c r="F3496" s="94" t="n"/>
      <c r="G3496" s="94" t="n"/>
      <c r="H3496" s="94" t="n"/>
      <c r="I3496" s="94" t="n"/>
      <c r="J3496" s="55" t="n"/>
      <c r="K3496" s="95" t="n"/>
      <c r="L3496" s="116">
        <f>IF($A3496="","",DATE(YEAR($A3496),MONTH($A3496)+IF(AND(IFERROR(N(INDEX(Übersicht!$M$15:$M$22,MATCH($B3496,Übersicht!$A$15:$A$22,0))),0)&gt;1,DAY($A3496)&gt;=IFERROR(N(INDEX(Übersicht!$M$15:$M$22,MATCH($B3496,Übersicht!$A$15:$A$22,0))),0)),1,0),1))</f>
        <v/>
      </c>
    </row>
    <row r="3497">
      <c r="A3497" s="92" t="n"/>
      <c r="B3497" s="55" t="n"/>
      <c r="C3497" s="55" t="n"/>
      <c r="D3497" s="55" t="n"/>
      <c r="E3497" s="93" t="n"/>
      <c r="F3497" s="94" t="n"/>
      <c r="G3497" s="94" t="n"/>
      <c r="H3497" s="94" t="n"/>
      <c r="I3497" s="94" t="n"/>
      <c r="J3497" s="55" t="n"/>
      <c r="K3497" s="95" t="n"/>
      <c r="L3497" s="116">
        <f>IF($A3497="","",DATE(YEAR($A3497),MONTH($A3497)+IF(AND(IFERROR(N(INDEX(Übersicht!$M$15:$M$22,MATCH($B3497,Übersicht!$A$15:$A$22,0))),0)&gt;1,DAY($A3497)&gt;=IFERROR(N(INDEX(Übersicht!$M$15:$M$22,MATCH($B3497,Übersicht!$A$15:$A$22,0))),0)),1,0),1))</f>
        <v/>
      </c>
    </row>
    <row r="3498">
      <c r="A3498" s="92" t="n"/>
      <c r="B3498" s="55" t="n"/>
      <c r="C3498" s="55" t="n"/>
      <c r="D3498" s="55" t="n"/>
      <c r="E3498" s="93" t="n"/>
      <c r="F3498" s="94" t="n"/>
      <c r="G3498" s="94" t="n"/>
      <c r="H3498" s="94" t="n"/>
      <c r="I3498" s="94" t="n"/>
      <c r="J3498" s="55" t="n"/>
      <c r="K3498" s="95" t="n"/>
      <c r="L3498" s="116">
        <f>IF($A3498="","",DATE(YEAR($A3498),MONTH($A3498)+IF(AND(IFERROR(N(INDEX(Übersicht!$M$15:$M$22,MATCH($B3498,Übersicht!$A$15:$A$22,0))),0)&gt;1,DAY($A3498)&gt;=IFERROR(N(INDEX(Übersicht!$M$15:$M$22,MATCH($B3498,Übersicht!$A$15:$A$22,0))),0)),1,0),1))</f>
        <v/>
      </c>
    </row>
    <row r="3499">
      <c r="A3499" s="92" t="n"/>
      <c r="B3499" s="55" t="n"/>
      <c r="C3499" s="55" t="n"/>
      <c r="D3499" s="55" t="n"/>
      <c r="E3499" s="93" t="n"/>
      <c r="F3499" s="94" t="n"/>
      <c r="G3499" s="94" t="n"/>
      <c r="H3499" s="94" t="n"/>
      <c r="I3499" s="94" t="n"/>
      <c r="J3499" s="55" t="n"/>
      <c r="K3499" s="95" t="n"/>
      <c r="L3499" s="116">
        <f>IF($A3499="","",DATE(YEAR($A3499),MONTH($A3499)+IF(AND(IFERROR(N(INDEX(Übersicht!$M$15:$M$22,MATCH($B3499,Übersicht!$A$15:$A$22,0))),0)&gt;1,DAY($A3499)&gt;=IFERROR(N(INDEX(Übersicht!$M$15:$M$22,MATCH($B3499,Übersicht!$A$15:$A$22,0))),0)),1,0),1))</f>
        <v/>
      </c>
    </row>
    <row r="3500">
      <c r="A3500" s="92" t="n"/>
      <c r="B3500" s="55" t="n"/>
      <c r="C3500" s="55" t="n"/>
      <c r="D3500" s="55" t="n"/>
      <c r="E3500" s="93" t="n"/>
      <c r="F3500" s="94" t="n"/>
      <c r="G3500" s="94" t="n"/>
      <c r="H3500" s="94" t="n"/>
      <c r="I3500" s="94" t="n"/>
      <c r="J3500" s="55" t="n"/>
      <c r="K3500" s="95" t="n"/>
      <c r="L3500" s="116">
        <f>IF($A3500="","",DATE(YEAR($A3500),MONTH($A3500)+IF(AND(IFERROR(N(INDEX(Übersicht!$M$15:$M$22,MATCH($B3500,Übersicht!$A$15:$A$22,0))),0)&gt;1,DAY($A3500)&gt;=IFERROR(N(INDEX(Übersicht!$M$15:$M$22,MATCH($B3500,Übersicht!$A$15:$A$22,0))),0)),1,0),1))</f>
        <v/>
      </c>
    </row>
    <row r="3501">
      <c r="A3501" s="92" t="n"/>
      <c r="B3501" s="55" t="n"/>
      <c r="C3501" s="55" t="n"/>
      <c r="D3501" s="55" t="n"/>
      <c r="E3501" s="93" t="n"/>
      <c r="F3501" s="94" t="n"/>
      <c r="G3501" s="94" t="n"/>
      <c r="H3501" s="94" t="n"/>
      <c r="I3501" s="94" t="n"/>
      <c r="J3501" s="55" t="n"/>
      <c r="K3501" s="95" t="n"/>
      <c r="L3501" s="116">
        <f>IF($A3501="","",DATE(YEAR($A3501),MONTH($A3501)+IF(AND(IFERROR(N(INDEX(Übersicht!$M$15:$M$22,MATCH($B3501,Übersicht!$A$15:$A$22,0))),0)&gt;1,DAY($A3501)&gt;=IFERROR(N(INDEX(Übersicht!$M$15:$M$22,MATCH($B3501,Übersicht!$A$15:$A$22,0))),0)),1,0),1))</f>
        <v/>
      </c>
    </row>
    <row r="3502">
      <c r="A3502" s="92" t="n"/>
      <c r="B3502" s="55" t="n"/>
      <c r="C3502" s="55" t="n"/>
      <c r="D3502" s="55" t="n"/>
      <c r="E3502" s="93" t="n"/>
      <c r="F3502" s="94" t="n"/>
      <c r="G3502" s="94" t="n"/>
      <c r="H3502" s="94" t="n"/>
      <c r="I3502" s="94" t="n"/>
      <c r="J3502" s="55" t="n"/>
      <c r="K3502" s="95" t="n"/>
      <c r="L3502" s="116">
        <f>IF($A3502="","",DATE(YEAR($A3502),MONTH($A3502)+IF(AND(IFERROR(N(INDEX(Übersicht!$M$15:$M$22,MATCH($B3502,Übersicht!$A$15:$A$22,0))),0)&gt;1,DAY($A3502)&gt;=IFERROR(N(INDEX(Übersicht!$M$15:$M$22,MATCH($B3502,Übersicht!$A$15:$A$22,0))),0)),1,0),1))</f>
        <v/>
      </c>
    </row>
    <row r="3503">
      <c r="A3503" s="92" t="n"/>
      <c r="B3503" s="55" t="n"/>
      <c r="C3503" s="55" t="n"/>
      <c r="D3503" s="55" t="n"/>
      <c r="E3503" s="93" t="n"/>
      <c r="F3503" s="94" t="n"/>
      <c r="G3503" s="94" t="n"/>
      <c r="H3503" s="94" t="n"/>
      <c r="I3503" s="94" t="n"/>
      <c r="J3503" s="55" t="n"/>
      <c r="K3503" s="95" t="n"/>
      <c r="L3503" s="116">
        <f>IF($A3503="","",DATE(YEAR($A3503),MONTH($A3503)+IF(AND(IFERROR(N(INDEX(Übersicht!$M$15:$M$22,MATCH($B3503,Übersicht!$A$15:$A$22,0))),0)&gt;1,DAY($A3503)&gt;=IFERROR(N(INDEX(Übersicht!$M$15:$M$22,MATCH($B3503,Übersicht!$A$15:$A$22,0))),0)),1,0),1))</f>
        <v/>
      </c>
    </row>
    <row r="3504">
      <c r="A3504" s="92" t="n"/>
      <c r="B3504" s="55" t="n"/>
      <c r="C3504" s="55" t="n"/>
      <c r="D3504" s="55" t="n"/>
      <c r="E3504" s="93" t="n"/>
      <c r="F3504" s="94" t="n"/>
      <c r="G3504" s="94" t="n"/>
      <c r="H3504" s="94" t="n"/>
      <c r="I3504" s="94" t="n"/>
      <c r="J3504" s="55" t="n"/>
      <c r="K3504" s="95" t="n"/>
      <c r="L3504" s="116">
        <f>IF($A3504="","",DATE(YEAR($A3504),MONTH($A3504)+IF(AND(IFERROR(N(INDEX(Übersicht!$M$15:$M$22,MATCH($B3504,Übersicht!$A$15:$A$22,0))),0)&gt;1,DAY($A3504)&gt;=IFERROR(N(INDEX(Übersicht!$M$15:$M$22,MATCH($B3504,Übersicht!$A$15:$A$22,0))),0)),1,0),1))</f>
        <v/>
      </c>
    </row>
    <row r="3505">
      <c r="A3505" s="92" t="n"/>
      <c r="B3505" s="55" t="n"/>
      <c r="C3505" s="55" t="n"/>
      <c r="D3505" s="55" t="n"/>
      <c r="E3505" s="93" t="n"/>
      <c r="F3505" s="94" t="n"/>
      <c r="G3505" s="94" t="n"/>
      <c r="H3505" s="94" t="n"/>
      <c r="I3505" s="94" t="n"/>
      <c r="J3505" s="55" t="n"/>
      <c r="K3505" s="95" t="n"/>
      <c r="L3505" s="116">
        <f>IF($A3505="","",DATE(YEAR($A3505),MONTH($A3505)+IF(AND(IFERROR(N(INDEX(Übersicht!$M$15:$M$22,MATCH($B3505,Übersicht!$A$15:$A$22,0))),0)&gt;1,DAY($A3505)&gt;=IFERROR(N(INDEX(Übersicht!$M$15:$M$22,MATCH($B3505,Übersicht!$A$15:$A$22,0))),0)),1,0),1))</f>
        <v/>
      </c>
    </row>
    <row r="3506">
      <c r="A3506" s="92" t="n"/>
      <c r="B3506" s="55" t="n"/>
      <c r="C3506" s="55" t="n"/>
      <c r="D3506" s="55" t="n"/>
      <c r="E3506" s="93" t="n"/>
      <c r="F3506" s="94" t="n"/>
      <c r="G3506" s="94" t="n"/>
      <c r="H3506" s="94" t="n"/>
      <c r="I3506" s="94" t="n"/>
      <c r="J3506" s="55" t="n"/>
      <c r="K3506" s="95" t="n"/>
      <c r="L3506" s="116">
        <f>IF($A3506="","",DATE(YEAR($A3506),MONTH($A3506)+IF(AND(IFERROR(N(INDEX(Übersicht!$M$15:$M$22,MATCH($B3506,Übersicht!$A$15:$A$22,0))),0)&gt;1,DAY($A3506)&gt;=IFERROR(N(INDEX(Übersicht!$M$15:$M$22,MATCH($B3506,Übersicht!$A$15:$A$22,0))),0)),1,0),1))</f>
        <v/>
      </c>
    </row>
    <row r="3507">
      <c r="A3507" s="92" t="n"/>
      <c r="B3507" s="55" t="n"/>
      <c r="C3507" s="55" t="n"/>
      <c r="D3507" s="55" t="n"/>
      <c r="E3507" s="93" t="n"/>
      <c r="F3507" s="94" t="n"/>
      <c r="G3507" s="94" t="n"/>
      <c r="H3507" s="94" t="n"/>
      <c r="I3507" s="94" t="n"/>
      <c r="J3507" s="55" t="n"/>
      <c r="K3507" s="95" t="n"/>
      <c r="L3507" s="116">
        <f>IF($A3507="","",DATE(YEAR($A3507),MONTH($A3507)+IF(AND(IFERROR(N(INDEX(Übersicht!$M$15:$M$22,MATCH($B3507,Übersicht!$A$15:$A$22,0))),0)&gt;1,DAY($A3507)&gt;=IFERROR(N(INDEX(Übersicht!$M$15:$M$22,MATCH($B3507,Übersicht!$A$15:$A$22,0))),0)),1,0),1))</f>
        <v/>
      </c>
    </row>
    <row r="3508">
      <c r="A3508" s="92" t="n"/>
      <c r="B3508" s="55" t="n"/>
      <c r="C3508" s="55" t="n"/>
      <c r="D3508" s="55" t="n"/>
      <c r="E3508" s="93" t="n"/>
      <c r="F3508" s="94" t="n"/>
      <c r="G3508" s="94" t="n"/>
      <c r="H3508" s="94" t="n"/>
      <c r="I3508" s="94" t="n"/>
      <c r="J3508" s="55" t="n"/>
      <c r="K3508" s="95" t="n"/>
      <c r="L3508" s="116">
        <f>IF($A3508="","",DATE(YEAR($A3508),MONTH($A3508)+IF(AND(IFERROR(N(INDEX(Übersicht!$M$15:$M$22,MATCH($B3508,Übersicht!$A$15:$A$22,0))),0)&gt;1,DAY($A3508)&gt;=IFERROR(N(INDEX(Übersicht!$M$15:$M$22,MATCH($B3508,Übersicht!$A$15:$A$22,0))),0)),1,0),1))</f>
        <v/>
      </c>
    </row>
    <row r="3509">
      <c r="A3509" s="92" t="n"/>
      <c r="B3509" s="55" t="n"/>
      <c r="C3509" s="55" t="n"/>
      <c r="D3509" s="55" t="n"/>
      <c r="E3509" s="93" t="n"/>
      <c r="F3509" s="94" t="n"/>
      <c r="G3509" s="94" t="n"/>
      <c r="H3509" s="94" t="n"/>
      <c r="I3509" s="94" t="n"/>
      <c r="J3509" s="55" t="n"/>
      <c r="K3509" s="95" t="n"/>
      <c r="L3509" s="116">
        <f>IF($A3509="","",DATE(YEAR($A3509),MONTH($A3509)+IF(AND(IFERROR(N(INDEX(Übersicht!$M$15:$M$22,MATCH($B3509,Übersicht!$A$15:$A$22,0))),0)&gt;1,DAY($A3509)&gt;=IFERROR(N(INDEX(Übersicht!$M$15:$M$22,MATCH($B3509,Übersicht!$A$15:$A$22,0))),0)),1,0),1))</f>
        <v/>
      </c>
    </row>
    <row r="3510">
      <c r="A3510" s="92" t="n"/>
      <c r="B3510" s="55" t="n"/>
      <c r="C3510" s="55" t="n"/>
      <c r="D3510" s="55" t="n"/>
      <c r="E3510" s="93" t="n"/>
      <c r="F3510" s="94" t="n"/>
      <c r="G3510" s="94" t="n"/>
      <c r="H3510" s="94" t="n"/>
      <c r="I3510" s="94" t="n"/>
      <c r="J3510" s="55" t="n"/>
      <c r="K3510" s="95" t="n"/>
      <c r="L3510" s="116">
        <f>IF($A3510="","",DATE(YEAR($A3510),MONTH($A3510)+IF(AND(IFERROR(N(INDEX(Übersicht!$M$15:$M$22,MATCH($B3510,Übersicht!$A$15:$A$22,0))),0)&gt;1,DAY($A3510)&gt;=IFERROR(N(INDEX(Übersicht!$M$15:$M$22,MATCH($B3510,Übersicht!$A$15:$A$22,0))),0)),1,0),1))</f>
        <v/>
      </c>
    </row>
    <row r="3511">
      <c r="A3511" s="92" t="n"/>
      <c r="B3511" s="55" t="n"/>
      <c r="C3511" s="55" t="n"/>
      <c r="D3511" s="55" t="n"/>
      <c r="E3511" s="93" t="n"/>
      <c r="F3511" s="94" t="n"/>
      <c r="G3511" s="94" t="n"/>
      <c r="H3511" s="94" t="n"/>
      <c r="I3511" s="94" t="n"/>
      <c r="J3511" s="55" t="n"/>
      <c r="K3511" s="95" t="n"/>
      <c r="L3511" s="116">
        <f>IF($A3511="","",DATE(YEAR($A3511),MONTH($A3511)+IF(AND(IFERROR(N(INDEX(Übersicht!$M$15:$M$22,MATCH($B3511,Übersicht!$A$15:$A$22,0))),0)&gt;1,DAY($A3511)&gt;=IFERROR(N(INDEX(Übersicht!$M$15:$M$22,MATCH($B3511,Übersicht!$A$15:$A$22,0))),0)),1,0),1))</f>
        <v/>
      </c>
    </row>
    <row r="3512">
      <c r="A3512" s="92" t="n"/>
      <c r="B3512" s="55" t="n"/>
      <c r="C3512" s="55" t="n"/>
      <c r="D3512" s="55" t="n"/>
      <c r="E3512" s="93" t="n"/>
      <c r="F3512" s="94" t="n"/>
      <c r="G3512" s="94" t="n"/>
      <c r="H3512" s="94" t="n"/>
      <c r="I3512" s="94" t="n"/>
      <c r="J3512" s="55" t="n"/>
      <c r="K3512" s="95" t="n"/>
      <c r="L3512" s="116">
        <f>IF($A3512="","",DATE(YEAR($A3512),MONTH($A3512)+IF(AND(IFERROR(N(INDEX(Übersicht!$M$15:$M$22,MATCH($B3512,Übersicht!$A$15:$A$22,0))),0)&gt;1,DAY($A3512)&gt;=IFERROR(N(INDEX(Übersicht!$M$15:$M$22,MATCH($B3512,Übersicht!$A$15:$A$22,0))),0)),1,0),1))</f>
        <v/>
      </c>
    </row>
    <row r="3513">
      <c r="A3513" s="92" t="n"/>
      <c r="B3513" s="55" t="n"/>
      <c r="C3513" s="55" t="n"/>
      <c r="D3513" s="55" t="n"/>
      <c r="E3513" s="93" t="n"/>
      <c r="F3513" s="94" t="n"/>
      <c r="G3513" s="94" t="n"/>
      <c r="H3513" s="94" t="n"/>
      <c r="I3513" s="94" t="n"/>
      <c r="J3513" s="55" t="n"/>
      <c r="K3513" s="95" t="n"/>
      <c r="L3513" s="116">
        <f>IF($A3513="","",DATE(YEAR($A3513),MONTH($A3513)+IF(AND(IFERROR(N(INDEX(Übersicht!$M$15:$M$22,MATCH($B3513,Übersicht!$A$15:$A$22,0))),0)&gt;1,DAY($A3513)&gt;=IFERROR(N(INDEX(Übersicht!$M$15:$M$22,MATCH($B3513,Übersicht!$A$15:$A$22,0))),0)),1,0),1))</f>
        <v/>
      </c>
    </row>
    <row r="3514">
      <c r="A3514" s="92" t="n"/>
      <c r="B3514" s="55" t="n"/>
      <c r="C3514" s="55" t="n"/>
      <c r="D3514" s="55" t="n"/>
      <c r="E3514" s="93" t="n"/>
      <c r="F3514" s="94" t="n"/>
      <c r="G3514" s="94" t="n"/>
      <c r="H3514" s="94" t="n"/>
      <c r="I3514" s="94" t="n"/>
      <c r="J3514" s="55" t="n"/>
      <c r="K3514" s="95" t="n"/>
      <c r="L3514" s="116">
        <f>IF($A3514="","",DATE(YEAR($A3514),MONTH($A3514)+IF(AND(IFERROR(N(INDEX(Übersicht!$M$15:$M$22,MATCH($B3514,Übersicht!$A$15:$A$22,0))),0)&gt;1,DAY($A3514)&gt;=IFERROR(N(INDEX(Übersicht!$M$15:$M$22,MATCH($B3514,Übersicht!$A$15:$A$22,0))),0)),1,0),1))</f>
        <v/>
      </c>
    </row>
    <row r="3515">
      <c r="A3515" s="92" t="n"/>
      <c r="B3515" s="55" t="n"/>
      <c r="C3515" s="55" t="n"/>
      <c r="D3515" s="55" t="n"/>
      <c r="E3515" s="93" t="n"/>
      <c r="F3515" s="94" t="n"/>
      <c r="G3515" s="94" t="n"/>
      <c r="H3515" s="94" t="n"/>
      <c r="I3515" s="94" t="n"/>
      <c r="J3515" s="55" t="n"/>
      <c r="K3515" s="95" t="n"/>
      <c r="L3515" s="116">
        <f>IF($A3515="","",DATE(YEAR($A3515),MONTH($A3515)+IF(AND(IFERROR(N(INDEX(Übersicht!$M$15:$M$22,MATCH($B3515,Übersicht!$A$15:$A$22,0))),0)&gt;1,DAY($A3515)&gt;=IFERROR(N(INDEX(Übersicht!$M$15:$M$22,MATCH($B3515,Übersicht!$A$15:$A$22,0))),0)),1,0),1))</f>
        <v/>
      </c>
    </row>
    <row r="3516">
      <c r="A3516" s="92" t="n"/>
      <c r="B3516" s="55" t="n"/>
      <c r="C3516" s="55" t="n"/>
      <c r="D3516" s="55" t="n"/>
      <c r="E3516" s="93" t="n"/>
      <c r="F3516" s="94" t="n"/>
      <c r="G3516" s="94" t="n"/>
      <c r="H3516" s="94" t="n"/>
      <c r="I3516" s="94" t="n"/>
      <c r="J3516" s="55" t="n"/>
      <c r="K3516" s="95" t="n"/>
      <c r="L3516" s="116">
        <f>IF($A3516="","",DATE(YEAR($A3516),MONTH($A3516)+IF(AND(IFERROR(N(INDEX(Übersicht!$M$15:$M$22,MATCH($B3516,Übersicht!$A$15:$A$22,0))),0)&gt;1,DAY($A3516)&gt;=IFERROR(N(INDEX(Übersicht!$M$15:$M$22,MATCH($B3516,Übersicht!$A$15:$A$22,0))),0)),1,0),1))</f>
        <v/>
      </c>
    </row>
    <row r="3517">
      <c r="A3517" s="92" t="n"/>
      <c r="B3517" s="55" t="n"/>
      <c r="C3517" s="55" t="n"/>
      <c r="D3517" s="55" t="n"/>
      <c r="E3517" s="93" t="n"/>
      <c r="F3517" s="94" t="n"/>
      <c r="G3517" s="94" t="n"/>
      <c r="H3517" s="94" t="n"/>
      <c r="I3517" s="94" t="n"/>
      <c r="J3517" s="55" t="n"/>
      <c r="K3517" s="95" t="n"/>
      <c r="L3517" s="116">
        <f>IF($A3517="","",DATE(YEAR($A3517),MONTH($A3517)+IF(AND(IFERROR(N(INDEX(Übersicht!$M$15:$M$22,MATCH($B3517,Übersicht!$A$15:$A$22,0))),0)&gt;1,DAY($A3517)&gt;=IFERROR(N(INDEX(Übersicht!$M$15:$M$22,MATCH($B3517,Übersicht!$A$15:$A$22,0))),0)),1,0),1))</f>
        <v/>
      </c>
    </row>
    <row r="3518">
      <c r="A3518" s="92" t="n"/>
      <c r="B3518" s="55" t="n"/>
      <c r="C3518" s="55" t="n"/>
      <c r="D3518" s="55" t="n"/>
      <c r="E3518" s="93" t="n"/>
      <c r="F3518" s="94" t="n"/>
      <c r="G3518" s="94" t="n"/>
      <c r="H3518" s="94" t="n"/>
      <c r="I3518" s="94" t="n"/>
      <c r="J3518" s="55" t="n"/>
      <c r="K3518" s="95" t="n"/>
      <c r="L3518" s="116">
        <f>IF($A3518="","",DATE(YEAR($A3518),MONTH($A3518)+IF(AND(IFERROR(N(INDEX(Übersicht!$M$15:$M$22,MATCH($B3518,Übersicht!$A$15:$A$22,0))),0)&gt;1,DAY($A3518)&gt;=IFERROR(N(INDEX(Übersicht!$M$15:$M$22,MATCH($B3518,Übersicht!$A$15:$A$22,0))),0)),1,0),1))</f>
        <v/>
      </c>
    </row>
    <row r="3519">
      <c r="A3519" s="92" t="n"/>
      <c r="B3519" s="55" t="n"/>
      <c r="C3519" s="55" t="n"/>
      <c r="D3519" s="55" t="n"/>
      <c r="E3519" s="93" t="n"/>
      <c r="F3519" s="94" t="n"/>
      <c r="G3519" s="94" t="n"/>
      <c r="H3519" s="94" t="n"/>
      <c r="I3519" s="94" t="n"/>
      <c r="J3519" s="55" t="n"/>
      <c r="K3519" s="95" t="n"/>
      <c r="L3519" s="116">
        <f>IF($A3519="","",DATE(YEAR($A3519),MONTH($A3519)+IF(AND(IFERROR(N(INDEX(Übersicht!$M$15:$M$22,MATCH($B3519,Übersicht!$A$15:$A$22,0))),0)&gt;1,DAY($A3519)&gt;=IFERROR(N(INDEX(Übersicht!$M$15:$M$22,MATCH($B3519,Übersicht!$A$15:$A$22,0))),0)),1,0),1))</f>
        <v/>
      </c>
    </row>
    <row r="3520">
      <c r="A3520" s="92" t="n"/>
      <c r="B3520" s="55" t="n"/>
      <c r="C3520" s="55" t="n"/>
      <c r="D3520" s="55" t="n"/>
      <c r="E3520" s="93" t="n"/>
      <c r="F3520" s="94" t="n"/>
      <c r="G3520" s="94" t="n"/>
      <c r="H3520" s="94" t="n"/>
      <c r="I3520" s="94" t="n"/>
      <c r="J3520" s="55" t="n"/>
      <c r="K3520" s="95" t="n"/>
      <c r="L3520" s="116">
        <f>IF($A3520="","",DATE(YEAR($A3520),MONTH($A3520)+IF(AND(IFERROR(N(INDEX(Übersicht!$M$15:$M$22,MATCH($B3520,Übersicht!$A$15:$A$22,0))),0)&gt;1,DAY($A3520)&gt;=IFERROR(N(INDEX(Übersicht!$M$15:$M$22,MATCH($B3520,Übersicht!$A$15:$A$22,0))),0)),1,0),1))</f>
        <v/>
      </c>
    </row>
    <row r="3521">
      <c r="A3521" s="92" t="n"/>
      <c r="B3521" s="55" t="n"/>
      <c r="C3521" s="55" t="n"/>
      <c r="D3521" s="55" t="n"/>
      <c r="E3521" s="93" t="n"/>
      <c r="F3521" s="94" t="n"/>
      <c r="G3521" s="94" t="n"/>
      <c r="H3521" s="94" t="n"/>
      <c r="I3521" s="94" t="n"/>
      <c r="J3521" s="55" t="n"/>
      <c r="K3521" s="95" t="n"/>
      <c r="L3521" s="116">
        <f>IF($A3521="","",DATE(YEAR($A3521),MONTH($A3521)+IF(AND(IFERROR(N(INDEX(Übersicht!$M$15:$M$22,MATCH($B3521,Übersicht!$A$15:$A$22,0))),0)&gt;1,DAY($A3521)&gt;=IFERROR(N(INDEX(Übersicht!$M$15:$M$22,MATCH($B3521,Übersicht!$A$15:$A$22,0))),0)),1,0),1))</f>
        <v/>
      </c>
    </row>
    <row r="3522">
      <c r="A3522" s="92" t="n"/>
      <c r="B3522" s="55" t="n"/>
      <c r="C3522" s="55" t="n"/>
      <c r="D3522" s="55" t="n"/>
      <c r="E3522" s="93" t="n"/>
      <c r="F3522" s="94" t="n"/>
      <c r="G3522" s="94" t="n"/>
      <c r="H3522" s="94" t="n"/>
      <c r="I3522" s="94" t="n"/>
      <c r="J3522" s="55" t="n"/>
      <c r="K3522" s="95" t="n"/>
      <c r="L3522" s="116">
        <f>IF($A3522="","",DATE(YEAR($A3522),MONTH($A3522)+IF(AND(IFERROR(N(INDEX(Übersicht!$M$15:$M$22,MATCH($B3522,Übersicht!$A$15:$A$22,0))),0)&gt;1,DAY($A3522)&gt;=IFERROR(N(INDEX(Übersicht!$M$15:$M$22,MATCH($B3522,Übersicht!$A$15:$A$22,0))),0)),1,0),1))</f>
        <v/>
      </c>
    </row>
    <row r="3523">
      <c r="A3523" s="92" t="n"/>
      <c r="B3523" s="55" t="n"/>
      <c r="C3523" s="55" t="n"/>
      <c r="D3523" s="55" t="n"/>
      <c r="E3523" s="93" t="n"/>
      <c r="F3523" s="94" t="n"/>
      <c r="G3523" s="94" t="n"/>
      <c r="H3523" s="94" t="n"/>
      <c r="I3523" s="94" t="n"/>
      <c r="J3523" s="55" t="n"/>
      <c r="K3523" s="95" t="n"/>
      <c r="L3523" s="116">
        <f>IF($A3523="","",DATE(YEAR($A3523),MONTH($A3523)+IF(AND(IFERROR(N(INDEX(Übersicht!$M$15:$M$22,MATCH($B3523,Übersicht!$A$15:$A$22,0))),0)&gt;1,DAY($A3523)&gt;=IFERROR(N(INDEX(Übersicht!$M$15:$M$22,MATCH($B3523,Übersicht!$A$15:$A$22,0))),0)),1,0),1))</f>
        <v/>
      </c>
    </row>
    <row r="3524">
      <c r="A3524" s="92" t="n"/>
      <c r="B3524" s="55" t="n"/>
      <c r="C3524" s="55" t="n"/>
      <c r="D3524" s="55" t="n"/>
      <c r="E3524" s="93" t="n"/>
      <c r="F3524" s="94" t="n"/>
      <c r="G3524" s="94" t="n"/>
      <c r="H3524" s="94" t="n"/>
      <c r="I3524" s="94" t="n"/>
      <c r="J3524" s="55" t="n"/>
      <c r="K3524" s="95" t="n"/>
      <c r="L3524" s="116">
        <f>IF($A3524="","",DATE(YEAR($A3524),MONTH($A3524)+IF(AND(IFERROR(N(INDEX(Übersicht!$M$15:$M$22,MATCH($B3524,Übersicht!$A$15:$A$22,0))),0)&gt;1,DAY($A3524)&gt;=IFERROR(N(INDEX(Übersicht!$M$15:$M$22,MATCH($B3524,Übersicht!$A$15:$A$22,0))),0)),1,0),1))</f>
        <v/>
      </c>
    </row>
    <row r="3525">
      <c r="A3525" s="92" t="n"/>
      <c r="B3525" s="55" t="n"/>
      <c r="C3525" s="55" t="n"/>
      <c r="D3525" s="55" t="n"/>
      <c r="E3525" s="93" t="n"/>
      <c r="F3525" s="94" t="n"/>
      <c r="G3525" s="94" t="n"/>
      <c r="H3525" s="94" t="n"/>
      <c r="I3525" s="94" t="n"/>
      <c r="J3525" s="55" t="n"/>
      <c r="K3525" s="95" t="n"/>
      <c r="L3525" s="116">
        <f>IF($A3525="","",DATE(YEAR($A3525),MONTH($A3525)+IF(AND(IFERROR(N(INDEX(Übersicht!$M$15:$M$22,MATCH($B3525,Übersicht!$A$15:$A$22,0))),0)&gt;1,DAY($A3525)&gt;=IFERROR(N(INDEX(Übersicht!$M$15:$M$22,MATCH($B3525,Übersicht!$A$15:$A$22,0))),0)),1,0),1))</f>
        <v/>
      </c>
    </row>
    <row r="3526">
      <c r="A3526" s="92" t="n"/>
      <c r="B3526" s="55" t="n"/>
      <c r="C3526" s="55" t="n"/>
      <c r="D3526" s="55" t="n"/>
      <c r="E3526" s="93" t="n"/>
      <c r="F3526" s="94" t="n"/>
      <c r="G3526" s="94" t="n"/>
      <c r="H3526" s="94" t="n"/>
      <c r="I3526" s="94" t="n"/>
      <c r="J3526" s="55" t="n"/>
      <c r="K3526" s="95" t="n"/>
      <c r="L3526" s="116">
        <f>IF($A3526="","",DATE(YEAR($A3526),MONTH($A3526)+IF(AND(IFERROR(N(INDEX(Übersicht!$M$15:$M$22,MATCH($B3526,Übersicht!$A$15:$A$22,0))),0)&gt;1,DAY($A3526)&gt;=IFERROR(N(INDEX(Übersicht!$M$15:$M$22,MATCH($B3526,Übersicht!$A$15:$A$22,0))),0)),1,0),1))</f>
        <v/>
      </c>
    </row>
    <row r="3527">
      <c r="A3527" s="92" t="n"/>
      <c r="B3527" s="55" t="n"/>
      <c r="C3527" s="55" t="n"/>
      <c r="D3527" s="55" t="n"/>
      <c r="E3527" s="93" t="n"/>
      <c r="F3527" s="94" t="n"/>
      <c r="G3527" s="94" t="n"/>
      <c r="H3527" s="94" t="n"/>
      <c r="I3527" s="94" t="n"/>
      <c r="J3527" s="55" t="n"/>
      <c r="K3527" s="95" t="n"/>
      <c r="L3527" s="116">
        <f>IF($A3527="","",DATE(YEAR($A3527),MONTH($A3527)+IF(AND(IFERROR(N(INDEX(Übersicht!$M$15:$M$22,MATCH($B3527,Übersicht!$A$15:$A$22,0))),0)&gt;1,DAY($A3527)&gt;=IFERROR(N(INDEX(Übersicht!$M$15:$M$22,MATCH($B3527,Übersicht!$A$15:$A$22,0))),0)),1,0),1))</f>
        <v/>
      </c>
    </row>
    <row r="3528">
      <c r="A3528" s="92" t="n"/>
      <c r="B3528" s="55" t="n"/>
      <c r="C3528" s="55" t="n"/>
      <c r="D3528" s="55" t="n"/>
      <c r="E3528" s="93" t="n"/>
      <c r="F3528" s="94" t="n"/>
      <c r="G3528" s="94" t="n"/>
      <c r="H3528" s="94" t="n"/>
      <c r="I3528" s="94" t="n"/>
      <c r="J3528" s="55" t="n"/>
      <c r="K3528" s="95" t="n"/>
      <c r="L3528" s="116">
        <f>IF($A3528="","",DATE(YEAR($A3528),MONTH($A3528)+IF(AND(IFERROR(N(INDEX(Übersicht!$M$15:$M$22,MATCH($B3528,Übersicht!$A$15:$A$22,0))),0)&gt;1,DAY($A3528)&gt;=IFERROR(N(INDEX(Übersicht!$M$15:$M$22,MATCH($B3528,Übersicht!$A$15:$A$22,0))),0)),1,0),1))</f>
        <v/>
      </c>
    </row>
    <row r="3529">
      <c r="A3529" s="92" t="n"/>
      <c r="B3529" s="55" t="n"/>
      <c r="C3529" s="55" t="n"/>
      <c r="D3529" s="55" t="n"/>
      <c r="E3529" s="93" t="n"/>
      <c r="F3529" s="94" t="n"/>
      <c r="G3529" s="94" t="n"/>
      <c r="H3529" s="94" t="n"/>
      <c r="I3529" s="94" t="n"/>
      <c r="J3529" s="55" t="n"/>
      <c r="K3529" s="95" t="n"/>
      <c r="L3529" s="116">
        <f>IF($A3529="","",DATE(YEAR($A3529),MONTH($A3529)+IF(AND(IFERROR(N(INDEX(Übersicht!$M$15:$M$22,MATCH($B3529,Übersicht!$A$15:$A$22,0))),0)&gt;1,DAY($A3529)&gt;=IFERROR(N(INDEX(Übersicht!$M$15:$M$22,MATCH($B3529,Übersicht!$A$15:$A$22,0))),0)),1,0),1))</f>
        <v/>
      </c>
    </row>
    <row r="3530">
      <c r="A3530" s="92" t="n"/>
      <c r="B3530" s="55" t="n"/>
      <c r="C3530" s="55" t="n"/>
      <c r="D3530" s="55" t="n"/>
      <c r="E3530" s="93" t="n"/>
      <c r="F3530" s="94" t="n"/>
      <c r="G3530" s="94" t="n"/>
      <c r="H3530" s="94" t="n"/>
      <c r="I3530" s="94" t="n"/>
      <c r="J3530" s="55" t="n"/>
      <c r="K3530" s="95" t="n"/>
      <c r="L3530" s="116">
        <f>IF($A3530="","",DATE(YEAR($A3530),MONTH($A3530)+IF(AND(IFERROR(N(INDEX(Übersicht!$M$15:$M$22,MATCH($B3530,Übersicht!$A$15:$A$22,0))),0)&gt;1,DAY($A3530)&gt;=IFERROR(N(INDEX(Übersicht!$M$15:$M$22,MATCH($B3530,Übersicht!$A$15:$A$22,0))),0)),1,0),1))</f>
        <v/>
      </c>
    </row>
    <row r="3531">
      <c r="A3531" s="92" t="n"/>
      <c r="B3531" s="55" t="n"/>
      <c r="C3531" s="55" t="n"/>
      <c r="D3531" s="55" t="n"/>
      <c r="E3531" s="93" t="n"/>
      <c r="F3531" s="94" t="n"/>
      <c r="G3531" s="94" t="n"/>
      <c r="H3531" s="94" t="n"/>
      <c r="I3531" s="94" t="n"/>
      <c r="J3531" s="55" t="n"/>
      <c r="K3531" s="95" t="n"/>
      <c r="L3531" s="116">
        <f>IF($A3531="","",DATE(YEAR($A3531),MONTH($A3531)+IF(AND(IFERROR(N(INDEX(Übersicht!$M$15:$M$22,MATCH($B3531,Übersicht!$A$15:$A$22,0))),0)&gt;1,DAY($A3531)&gt;=IFERROR(N(INDEX(Übersicht!$M$15:$M$22,MATCH($B3531,Übersicht!$A$15:$A$22,0))),0)),1,0),1))</f>
        <v/>
      </c>
    </row>
    <row r="3532">
      <c r="A3532" s="92" t="n"/>
      <c r="B3532" s="55" t="n"/>
      <c r="C3532" s="55" t="n"/>
      <c r="D3532" s="55" t="n"/>
      <c r="E3532" s="93" t="n"/>
      <c r="F3532" s="94" t="n"/>
      <c r="G3532" s="94" t="n"/>
      <c r="H3532" s="94" t="n"/>
      <c r="I3532" s="94" t="n"/>
      <c r="J3532" s="55" t="n"/>
      <c r="K3532" s="95" t="n"/>
      <c r="L3532" s="116">
        <f>IF($A3532="","",DATE(YEAR($A3532),MONTH($A3532)+IF(AND(IFERROR(N(INDEX(Übersicht!$M$15:$M$22,MATCH($B3532,Übersicht!$A$15:$A$22,0))),0)&gt;1,DAY($A3532)&gt;=IFERROR(N(INDEX(Übersicht!$M$15:$M$22,MATCH($B3532,Übersicht!$A$15:$A$22,0))),0)),1,0),1))</f>
        <v/>
      </c>
    </row>
    <row r="3533">
      <c r="A3533" s="92" t="n"/>
      <c r="B3533" s="55" t="n"/>
      <c r="C3533" s="55" t="n"/>
      <c r="D3533" s="55" t="n"/>
      <c r="E3533" s="93" t="n"/>
      <c r="F3533" s="94" t="n"/>
      <c r="G3533" s="94" t="n"/>
      <c r="H3533" s="94" t="n"/>
      <c r="I3533" s="94" t="n"/>
      <c r="J3533" s="55" t="n"/>
      <c r="K3533" s="95" t="n"/>
      <c r="L3533" s="116">
        <f>IF($A3533="","",DATE(YEAR($A3533),MONTH($A3533)+IF(AND(IFERROR(N(INDEX(Übersicht!$M$15:$M$22,MATCH($B3533,Übersicht!$A$15:$A$22,0))),0)&gt;1,DAY($A3533)&gt;=IFERROR(N(INDEX(Übersicht!$M$15:$M$22,MATCH($B3533,Übersicht!$A$15:$A$22,0))),0)),1,0),1))</f>
        <v/>
      </c>
    </row>
    <row r="3534">
      <c r="A3534" s="92" t="n"/>
      <c r="B3534" s="55" t="n"/>
      <c r="C3534" s="55" t="n"/>
      <c r="D3534" s="55" t="n"/>
      <c r="E3534" s="93" t="n"/>
      <c r="F3534" s="94" t="n"/>
      <c r="G3534" s="94" t="n"/>
      <c r="H3534" s="94" t="n"/>
      <c r="I3534" s="94" t="n"/>
      <c r="J3534" s="55" t="n"/>
      <c r="K3534" s="95" t="n"/>
      <c r="L3534" s="116">
        <f>IF($A3534="","",DATE(YEAR($A3534),MONTH($A3534)+IF(AND(IFERROR(N(INDEX(Übersicht!$M$15:$M$22,MATCH($B3534,Übersicht!$A$15:$A$22,0))),0)&gt;1,DAY($A3534)&gt;=IFERROR(N(INDEX(Übersicht!$M$15:$M$22,MATCH($B3534,Übersicht!$A$15:$A$22,0))),0)),1,0),1))</f>
        <v/>
      </c>
    </row>
    <row r="3535">
      <c r="A3535" s="92" t="n"/>
      <c r="B3535" s="55" t="n"/>
      <c r="C3535" s="55" t="n"/>
      <c r="D3535" s="55" t="n"/>
      <c r="E3535" s="93" t="n"/>
      <c r="F3535" s="94" t="n"/>
      <c r="G3535" s="94" t="n"/>
      <c r="H3535" s="94" t="n"/>
      <c r="I3535" s="94" t="n"/>
      <c r="J3535" s="55" t="n"/>
      <c r="K3535" s="95" t="n"/>
      <c r="L3535" s="116">
        <f>IF($A3535="","",DATE(YEAR($A3535),MONTH($A3535)+IF(AND(IFERROR(N(INDEX(Übersicht!$M$15:$M$22,MATCH($B3535,Übersicht!$A$15:$A$22,0))),0)&gt;1,DAY($A3535)&gt;=IFERROR(N(INDEX(Übersicht!$M$15:$M$22,MATCH($B3535,Übersicht!$A$15:$A$22,0))),0)),1,0),1))</f>
        <v/>
      </c>
    </row>
    <row r="3536">
      <c r="A3536" s="92" t="n"/>
      <c r="B3536" s="55" t="n"/>
      <c r="C3536" s="55" t="n"/>
      <c r="D3536" s="55" t="n"/>
      <c r="E3536" s="93" t="n"/>
      <c r="F3536" s="94" t="n"/>
      <c r="G3536" s="94" t="n"/>
      <c r="H3536" s="94" t="n"/>
      <c r="I3536" s="94" t="n"/>
      <c r="J3536" s="55" t="n"/>
      <c r="K3536" s="95" t="n"/>
      <c r="L3536" s="116">
        <f>IF($A3536="","",DATE(YEAR($A3536),MONTH($A3536)+IF(AND(IFERROR(N(INDEX(Übersicht!$M$15:$M$22,MATCH($B3536,Übersicht!$A$15:$A$22,0))),0)&gt;1,DAY($A3536)&gt;=IFERROR(N(INDEX(Übersicht!$M$15:$M$22,MATCH($B3536,Übersicht!$A$15:$A$22,0))),0)),1,0),1))</f>
        <v/>
      </c>
    </row>
    <row r="3537">
      <c r="A3537" s="92" t="n"/>
      <c r="B3537" s="55" t="n"/>
      <c r="C3537" s="55" t="n"/>
      <c r="D3537" s="55" t="n"/>
      <c r="E3537" s="93" t="n"/>
      <c r="F3537" s="94" t="n"/>
      <c r="G3537" s="94" t="n"/>
      <c r="H3537" s="94" t="n"/>
      <c r="I3537" s="94" t="n"/>
      <c r="J3537" s="55" t="n"/>
      <c r="K3537" s="95" t="n"/>
      <c r="L3537" s="116">
        <f>IF($A3537="","",DATE(YEAR($A3537),MONTH($A3537)+IF(AND(IFERROR(N(INDEX(Übersicht!$M$15:$M$22,MATCH($B3537,Übersicht!$A$15:$A$22,0))),0)&gt;1,DAY($A3537)&gt;=IFERROR(N(INDEX(Übersicht!$M$15:$M$22,MATCH($B3537,Übersicht!$A$15:$A$22,0))),0)),1,0),1))</f>
        <v/>
      </c>
    </row>
    <row r="3538">
      <c r="A3538" s="92" t="n"/>
      <c r="B3538" s="55" t="n"/>
      <c r="C3538" s="55" t="n"/>
      <c r="D3538" s="55" t="n"/>
      <c r="E3538" s="93" t="n"/>
      <c r="F3538" s="94" t="n"/>
      <c r="G3538" s="94" t="n"/>
      <c r="H3538" s="94" t="n"/>
      <c r="I3538" s="94" t="n"/>
      <c r="J3538" s="55" t="n"/>
      <c r="K3538" s="95" t="n"/>
      <c r="L3538" s="116">
        <f>IF($A3538="","",DATE(YEAR($A3538),MONTH($A3538)+IF(AND(IFERROR(N(INDEX(Übersicht!$M$15:$M$22,MATCH($B3538,Übersicht!$A$15:$A$22,0))),0)&gt;1,DAY($A3538)&gt;=IFERROR(N(INDEX(Übersicht!$M$15:$M$22,MATCH($B3538,Übersicht!$A$15:$A$22,0))),0)),1,0),1))</f>
        <v/>
      </c>
    </row>
    <row r="3539">
      <c r="A3539" s="92" t="n"/>
      <c r="B3539" s="55" t="n"/>
      <c r="C3539" s="55" t="n"/>
      <c r="D3539" s="55" t="n"/>
      <c r="E3539" s="93" t="n"/>
      <c r="F3539" s="94" t="n"/>
      <c r="G3539" s="94" t="n"/>
      <c r="H3539" s="94" t="n"/>
      <c r="I3539" s="94" t="n"/>
      <c r="J3539" s="55" t="n"/>
      <c r="K3539" s="95" t="n"/>
      <c r="L3539" s="116">
        <f>IF($A3539="","",DATE(YEAR($A3539),MONTH($A3539)+IF(AND(IFERROR(N(INDEX(Übersicht!$M$15:$M$22,MATCH($B3539,Übersicht!$A$15:$A$22,0))),0)&gt;1,DAY($A3539)&gt;=IFERROR(N(INDEX(Übersicht!$M$15:$M$22,MATCH($B3539,Übersicht!$A$15:$A$22,0))),0)),1,0),1))</f>
        <v/>
      </c>
    </row>
    <row r="3540">
      <c r="A3540" s="92" t="n"/>
      <c r="B3540" s="55" t="n"/>
      <c r="C3540" s="55" t="n"/>
      <c r="D3540" s="55" t="n"/>
      <c r="E3540" s="93" t="n"/>
      <c r="F3540" s="94" t="n"/>
      <c r="G3540" s="94" t="n"/>
      <c r="H3540" s="94" t="n"/>
      <c r="I3540" s="94" t="n"/>
      <c r="J3540" s="55" t="n"/>
      <c r="K3540" s="95" t="n"/>
      <c r="L3540" s="116">
        <f>IF($A3540="","",DATE(YEAR($A3540),MONTH($A3540)+IF(AND(IFERROR(N(INDEX(Übersicht!$M$15:$M$22,MATCH($B3540,Übersicht!$A$15:$A$22,0))),0)&gt;1,DAY($A3540)&gt;=IFERROR(N(INDEX(Übersicht!$M$15:$M$22,MATCH($B3540,Übersicht!$A$15:$A$22,0))),0)),1,0),1))</f>
        <v/>
      </c>
    </row>
    <row r="3541">
      <c r="A3541" s="92" t="n"/>
      <c r="B3541" s="55" t="n"/>
      <c r="C3541" s="55" t="n"/>
      <c r="D3541" s="55" t="n"/>
      <c r="E3541" s="93" t="n"/>
      <c r="F3541" s="94" t="n"/>
      <c r="G3541" s="94" t="n"/>
      <c r="H3541" s="94" t="n"/>
      <c r="I3541" s="94" t="n"/>
      <c r="J3541" s="55" t="n"/>
      <c r="K3541" s="95" t="n"/>
      <c r="L3541" s="116">
        <f>IF($A3541="","",DATE(YEAR($A3541),MONTH($A3541)+IF(AND(IFERROR(N(INDEX(Übersicht!$M$15:$M$22,MATCH($B3541,Übersicht!$A$15:$A$22,0))),0)&gt;1,DAY($A3541)&gt;=IFERROR(N(INDEX(Übersicht!$M$15:$M$22,MATCH($B3541,Übersicht!$A$15:$A$22,0))),0)),1,0),1))</f>
        <v/>
      </c>
    </row>
    <row r="3542">
      <c r="A3542" s="92" t="n"/>
      <c r="B3542" s="55" t="n"/>
      <c r="C3542" s="55" t="n"/>
      <c r="D3542" s="55" t="n"/>
      <c r="E3542" s="93" t="n"/>
      <c r="F3542" s="94" t="n"/>
      <c r="G3542" s="94" t="n"/>
      <c r="H3542" s="94" t="n"/>
      <c r="I3542" s="94" t="n"/>
      <c r="J3542" s="55" t="n"/>
      <c r="K3542" s="95" t="n"/>
      <c r="L3542" s="116">
        <f>IF($A3542="","",DATE(YEAR($A3542),MONTH($A3542)+IF(AND(IFERROR(N(INDEX(Übersicht!$M$15:$M$22,MATCH($B3542,Übersicht!$A$15:$A$22,0))),0)&gt;1,DAY($A3542)&gt;=IFERROR(N(INDEX(Übersicht!$M$15:$M$22,MATCH($B3542,Übersicht!$A$15:$A$22,0))),0)),1,0),1))</f>
        <v/>
      </c>
    </row>
    <row r="3543">
      <c r="A3543" s="92" t="n"/>
      <c r="B3543" s="55" t="n"/>
      <c r="C3543" s="55" t="n"/>
      <c r="D3543" s="55" t="n"/>
      <c r="E3543" s="93" t="n"/>
      <c r="F3543" s="94" t="n"/>
      <c r="G3543" s="94" t="n"/>
      <c r="H3543" s="94" t="n"/>
      <c r="I3543" s="94" t="n"/>
      <c r="J3543" s="55" t="n"/>
      <c r="K3543" s="95" t="n"/>
      <c r="L3543" s="116">
        <f>IF($A3543="","",DATE(YEAR($A3543),MONTH($A3543)+IF(AND(IFERROR(N(INDEX(Übersicht!$M$15:$M$22,MATCH($B3543,Übersicht!$A$15:$A$22,0))),0)&gt;1,DAY($A3543)&gt;=IFERROR(N(INDEX(Übersicht!$M$15:$M$22,MATCH($B3543,Übersicht!$A$15:$A$22,0))),0)),1,0),1))</f>
        <v/>
      </c>
    </row>
    <row r="3544">
      <c r="A3544" s="92" t="n"/>
      <c r="B3544" s="55" t="n"/>
      <c r="C3544" s="55" t="n"/>
      <c r="D3544" s="55" t="n"/>
      <c r="E3544" s="93" t="n"/>
      <c r="F3544" s="94" t="n"/>
      <c r="G3544" s="94" t="n"/>
      <c r="H3544" s="94" t="n"/>
      <c r="I3544" s="94" t="n"/>
      <c r="J3544" s="55" t="n"/>
      <c r="K3544" s="95" t="n"/>
      <c r="L3544" s="116">
        <f>IF($A3544="","",DATE(YEAR($A3544),MONTH($A3544)+IF(AND(IFERROR(N(INDEX(Übersicht!$M$15:$M$22,MATCH($B3544,Übersicht!$A$15:$A$22,0))),0)&gt;1,DAY($A3544)&gt;=IFERROR(N(INDEX(Übersicht!$M$15:$M$22,MATCH($B3544,Übersicht!$A$15:$A$22,0))),0)),1,0),1))</f>
        <v/>
      </c>
    </row>
    <row r="3545">
      <c r="A3545" s="92" t="n"/>
      <c r="B3545" s="55" t="n"/>
      <c r="C3545" s="55" t="n"/>
      <c r="D3545" s="55" t="n"/>
      <c r="E3545" s="93" t="n"/>
      <c r="F3545" s="94" t="n"/>
      <c r="G3545" s="94" t="n"/>
      <c r="H3545" s="94" t="n"/>
      <c r="I3545" s="94" t="n"/>
      <c r="J3545" s="55" t="n"/>
      <c r="K3545" s="95" t="n"/>
      <c r="L3545" s="116">
        <f>IF($A3545="","",DATE(YEAR($A3545),MONTH($A3545)+IF(AND(IFERROR(N(INDEX(Übersicht!$M$15:$M$22,MATCH($B3545,Übersicht!$A$15:$A$22,0))),0)&gt;1,DAY($A3545)&gt;=IFERROR(N(INDEX(Übersicht!$M$15:$M$22,MATCH($B3545,Übersicht!$A$15:$A$22,0))),0)),1,0),1))</f>
        <v/>
      </c>
    </row>
    <row r="3546">
      <c r="A3546" s="92" t="n"/>
      <c r="B3546" s="55" t="n"/>
      <c r="C3546" s="55" t="n"/>
      <c r="D3546" s="55" t="n"/>
      <c r="E3546" s="93" t="n"/>
      <c r="F3546" s="94" t="n"/>
      <c r="G3546" s="94" t="n"/>
      <c r="H3546" s="94" t="n"/>
      <c r="I3546" s="94" t="n"/>
      <c r="J3546" s="55" t="n"/>
      <c r="K3546" s="95" t="n"/>
      <c r="L3546" s="116">
        <f>IF($A3546="","",DATE(YEAR($A3546),MONTH($A3546)+IF(AND(IFERROR(N(INDEX(Übersicht!$M$15:$M$22,MATCH($B3546,Übersicht!$A$15:$A$22,0))),0)&gt;1,DAY($A3546)&gt;=IFERROR(N(INDEX(Übersicht!$M$15:$M$22,MATCH($B3546,Übersicht!$A$15:$A$22,0))),0)),1,0),1))</f>
        <v/>
      </c>
    </row>
    <row r="3547">
      <c r="A3547" s="92" t="n"/>
      <c r="B3547" s="55" t="n"/>
      <c r="C3547" s="55" t="n"/>
      <c r="D3547" s="55" t="n"/>
      <c r="E3547" s="93" t="n"/>
      <c r="F3547" s="94" t="n"/>
      <c r="G3547" s="94" t="n"/>
      <c r="H3547" s="94" t="n"/>
      <c r="I3547" s="94" t="n"/>
      <c r="J3547" s="55" t="n"/>
      <c r="K3547" s="95" t="n"/>
      <c r="L3547" s="116">
        <f>IF($A3547="","",DATE(YEAR($A3547),MONTH($A3547)+IF(AND(IFERROR(N(INDEX(Übersicht!$M$15:$M$22,MATCH($B3547,Übersicht!$A$15:$A$22,0))),0)&gt;1,DAY($A3547)&gt;=IFERROR(N(INDEX(Übersicht!$M$15:$M$22,MATCH($B3547,Übersicht!$A$15:$A$22,0))),0)),1,0),1))</f>
        <v/>
      </c>
    </row>
    <row r="3548">
      <c r="A3548" s="92" t="n"/>
      <c r="B3548" s="55" t="n"/>
      <c r="C3548" s="55" t="n"/>
      <c r="D3548" s="55" t="n"/>
      <c r="E3548" s="93" t="n"/>
      <c r="F3548" s="94" t="n"/>
      <c r="G3548" s="94" t="n"/>
      <c r="H3548" s="94" t="n"/>
      <c r="I3548" s="94" t="n"/>
      <c r="J3548" s="55" t="n"/>
      <c r="K3548" s="95" t="n"/>
      <c r="L3548" s="116">
        <f>IF($A3548="","",DATE(YEAR($A3548),MONTH($A3548)+IF(AND(IFERROR(N(INDEX(Übersicht!$M$15:$M$22,MATCH($B3548,Übersicht!$A$15:$A$22,0))),0)&gt;1,DAY($A3548)&gt;=IFERROR(N(INDEX(Übersicht!$M$15:$M$22,MATCH($B3548,Übersicht!$A$15:$A$22,0))),0)),1,0),1))</f>
        <v/>
      </c>
    </row>
    <row r="3549">
      <c r="A3549" s="92" t="n"/>
      <c r="B3549" s="55" t="n"/>
      <c r="C3549" s="55" t="n"/>
      <c r="D3549" s="55" t="n"/>
      <c r="E3549" s="93" t="n"/>
      <c r="F3549" s="94" t="n"/>
      <c r="G3549" s="94" t="n"/>
      <c r="H3549" s="94" t="n"/>
      <c r="I3549" s="94" t="n"/>
      <c r="J3549" s="55" t="n"/>
      <c r="K3549" s="95" t="n"/>
      <c r="L3549" s="116">
        <f>IF($A3549="","",DATE(YEAR($A3549),MONTH($A3549)+IF(AND(IFERROR(N(INDEX(Übersicht!$M$15:$M$22,MATCH($B3549,Übersicht!$A$15:$A$22,0))),0)&gt;1,DAY($A3549)&gt;=IFERROR(N(INDEX(Übersicht!$M$15:$M$22,MATCH($B3549,Übersicht!$A$15:$A$22,0))),0)),1,0),1))</f>
        <v/>
      </c>
    </row>
    <row r="3550">
      <c r="A3550" s="92" t="n"/>
      <c r="B3550" s="55" t="n"/>
      <c r="C3550" s="55" t="n"/>
      <c r="D3550" s="55" t="n"/>
      <c r="E3550" s="93" t="n"/>
      <c r="F3550" s="94" t="n"/>
      <c r="G3550" s="94" t="n"/>
      <c r="H3550" s="94" t="n"/>
      <c r="I3550" s="94" t="n"/>
      <c r="J3550" s="55" t="n"/>
      <c r="K3550" s="95" t="n"/>
      <c r="L3550" s="116">
        <f>IF($A3550="","",DATE(YEAR($A3550),MONTH($A3550)+IF(AND(IFERROR(N(INDEX(Übersicht!$M$15:$M$22,MATCH($B3550,Übersicht!$A$15:$A$22,0))),0)&gt;1,DAY($A3550)&gt;=IFERROR(N(INDEX(Übersicht!$M$15:$M$22,MATCH($B3550,Übersicht!$A$15:$A$22,0))),0)),1,0),1))</f>
        <v/>
      </c>
    </row>
    <row r="3551">
      <c r="A3551" s="92" t="n"/>
      <c r="B3551" s="55" t="n"/>
      <c r="C3551" s="55" t="n"/>
      <c r="D3551" s="55" t="n"/>
      <c r="E3551" s="93" t="n"/>
      <c r="F3551" s="94" t="n"/>
      <c r="G3551" s="94" t="n"/>
      <c r="H3551" s="94" t="n"/>
      <c r="I3551" s="94" t="n"/>
      <c r="J3551" s="55" t="n"/>
      <c r="K3551" s="95" t="n"/>
      <c r="L3551" s="116">
        <f>IF($A3551="","",DATE(YEAR($A3551),MONTH($A3551)+IF(AND(IFERROR(N(INDEX(Übersicht!$M$15:$M$22,MATCH($B3551,Übersicht!$A$15:$A$22,0))),0)&gt;1,DAY($A3551)&gt;=IFERROR(N(INDEX(Übersicht!$M$15:$M$22,MATCH($B3551,Übersicht!$A$15:$A$22,0))),0)),1,0),1))</f>
        <v/>
      </c>
    </row>
    <row r="3552">
      <c r="A3552" s="92" t="n"/>
      <c r="B3552" s="55" t="n"/>
      <c r="C3552" s="55" t="n"/>
      <c r="D3552" s="55" t="n"/>
      <c r="E3552" s="93" t="n"/>
      <c r="F3552" s="94" t="n"/>
      <c r="G3552" s="94" t="n"/>
      <c r="H3552" s="94" t="n"/>
      <c r="I3552" s="94" t="n"/>
      <c r="J3552" s="55" t="n"/>
      <c r="K3552" s="95" t="n"/>
      <c r="L3552" s="116">
        <f>IF($A3552="","",DATE(YEAR($A3552),MONTH($A3552)+IF(AND(IFERROR(N(INDEX(Übersicht!$M$15:$M$22,MATCH($B3552,Übersicht!$A$15:$A$22,0))),0)&gt;1,DAY($A3552)&gt;=IFERROR(N(INDEX(Übersicht!$M$15:$M$22,MATCH($B3552,Übersicht!$A$15:$A$22,0))),0)),1,0),1))</f>
        <v/>
      </c>
    </row>
    <row r="3553">
      <c r="A3553" s="92" t="n"/>
      <c r="B3553" s="55" t="n"/>
      <c r="C3553" s="55" t="n"/>
      <c r="D3553" s="55" t="n"/>
      <c r="E3553" s="93" t="n"/>
      <c r="F3553" s="94" t="n"/>
      <c r="G3553" s="94" t="n"/>
      <c r="H3553" s="94" t="n"/>
      <c r="I3553" s="94" t="n"/>
      <c r="J3553" s="55" t="n"/>
      <c r="K3553" s="95" t="n"/>
      <c r="L3553" s="116">
        <f>IF($A3553="","",DATE(YEAR($A3553),MONTH($A3553)+IF(AND(IFERROR(N(INDEX(Übersicht!$M$15:$M$22,MATCH($B3553,Übersicht!$A$15:$A$22,0))),0)&gt;1,DAY($A3553)&gt;=IFERROR(N(INDEX(Übersicht!$M$15:$M$22,MATCH($B3553,Übersicht!$A$15:$A$22,0))),0)),1,0),1))</f>
        <v/>
      </c>
    </row>
    <row r="3554">
      <c r="A3554" s="92" t="n"/>
      <c r="B3554" s="55" t="n"/>
      <c r="C3554" s="55" t="n"/>
      <c r="D3554" s="55" t="n"/>
      <c r="E3554" s="93" t="n"/>
      <c r="F3554" s="94" t="n"/>
      <c r="G3554" s="94" t="n"/>
      <c r="H3554" s="94" t="n"/>
      <c r="I3554" s="94" t="n"/>
      <c r="J3554" s="55" t="n"/>
      <c r="K3554" s="95" t="n"/>
      <c r="L3554" s="116">
        <f>IF($A3554="","",DATE(YEAR($A3554),MONTH($A3554)+IF(AND(IFERROR(N(INDEX(Übersicht!$M$15:$M$22,MATCH($B3554,Übersicht!$A$15:$A$22,0))),0)&gt;1,DAY($A3554)&gt;=IFERROR(N(INDEX(Übersicht!$M$15:$M$22,MATCH($B3554,Übersicht!$A$15:$A$22,0))),0)),1,0),1))</f>
        <v/>
      </c>
    </row>
    <row r="3555">
      <c r="A3555" s="92" t="n"/>
      <c r="B3555" s="55" t="n"/>
      <c r="C3555" s="55" t="n"/>
      <c r="D3555" s="55" t="n"/>
      <c r="E3555" s="93" t="n"/>
      <c r="F3555" s="94" t="n"/>
      <c r="G3555" s="94" t="n"/>
      <c r="H3555" s="94" t="n"/>
      <c r="I3555" s="94" t="n"/>
      <c r="J3555" s="55" t="n"/>
      <c r="K3555" s="95" t="n"/>
      <c r="L3555" s="116">
        <f>IF($A3555="","",DATE(YEAR($A3555),MONTH($A3555)+IF(AND(IFERROR(N(INDEX(Übersicht!$M$15:$M$22,MATCH($B3555,Übersicht!$A$15:$A$22,0))),0)&gt;1,DAY($A3555)&gt;=IFERROR(N(INDEX(Übersicht!$M$15:$M$22,MATCH($B3555,Übersicht!$A$15:$A$22,0))),0)),1,0),1))</f>
        <v/>
      </c>
    </row>
    <row r="3556">
      <c r="A3556" s="92" t="n"/>
      <c r="B3556" s="55" t="n"/>
      <c r="C3556" s="55" t="n"/>
      <c r="D3556" s="55" t="n"/>
      <c r="E3556" s="93" t="n"/>
      <c r="F3556" s="94" t="n"/>
      <c r="G3556" s="94" t="n"/>
      <c r="H3556" s="94" t="n"/>
      <c r="I3556" s="94" t="n"/>
      <c r="J3556" s="55" t="n"/>
      <c r="K3556" s="95" t="n"/>
      <c r="L3556" s="116">
        <f>IF($A3556="","",DATE(YEAR($A3556),MONTH($A3556)+IF(AND(IFERROR(N(INDEX(Übersicht!$M$15:$M$22,MATCH($B3556,Übersicht!$A$15:$A$22,0))),0)&gt;1,DAY($A3556)&gt;=IFERROR(N(INDEX(Übersicht!$M$15:$M$22,MATCH($B3556,Übersicht!$A$15:$A$22,0))),0)),1,0),1))</f>
        <v/>
      </c>
    </row>
    <row r="3557">
      <c r="A3557" s="92" t="n"/>
      <c r="B3557" s="55" t="n"/>
      <c r="C3557" s="55" t="n"/>
      <c r="D3557" s="55" t="n"/>
      <c r="E3557" s="93" t="n"/>
      <c r="F3557" s="94" t="n"/>
      <c r="G3557" s="94" t="n"/>
      <c r="H3557" s="94" t="n"/>
      <c r="I3557" s="94" t="n"/>
      <c r="J3557" s="55" t="n"/>
      <c r="K3557" s="95" t="n"/>
      <c r="L3557" s="116">
        <f>IF($A3557="","",DATE(YEAR($A3557),MONTH($A3557)+IF(AND(IFERROR(N(INDEX(Übersicht!$M$15:$M$22,MATCH($B3557,Übersicht!$A$15:$A$22,0))),0)&gt;1,DAY($A3557)&gt;=IFERROR(N(INDEX(Übersicht!$M$15:$M$22,MATCH($B3557,Übersicht!$A$15:$A$22,0))),0)),1,0),1))</f>
        <v/>
      </c>
    </row>
    <row r="3558">
      <c r="A3558" s="92" t="n"/>
      <c r="B3558" s="55" t="n"/>
      <c r="C3558" s="55" t="n"/>
      <c r="D3558" s="55" t="n"/>
      <c r="E3558" s="93" t="n"/>
      <c r="F3558" s="94" t="n"/>
      <c r="G3558" s="94" t="n"/>
      <c r="H3558" s="94" t="n"/>
      <c r="I3558" s="94" t="n"/>
      <c r="J3558" s="55" t="n"/>
      <c r="K3558" s="95" t="n"/>
      <c r="L3558" s="116">
        <f>IF($A3558="","",DATE(YEAR($A3558),MONTH($A3558)+IF(AND(IFERROR(N(INDEX(Übersicht!$M$15:$M$22,MATCH($B3558,Übersicht!$A$15:$A$22,0))),0)&gt;1,DAY($A3558)&gt;=IFERROR(N(INDEX(Übersicht!$M$15:$M$22,MATCH($B3558,Übersicht!$A$15:$A$22,0))),0)),1,0),1))</f>
        <v/>
      </c>
    </row>
    <row r="3559">
      <c r="A3559" s="92" t="n"/>
      <c r="B3559" s="55" t="n"/>
      <c r="C3559" s="55" t="n"/>
      <c r="D3559" s="55" t="n"/>
      <c r="E3559" s="93" t="n"/>
      <c r="F3559" s="94" t="n"/>
      <c r="G3559" s="94" t="n"/>
      <c r="H3559" s="94" t="n"/>
      <c r="I3559" s="94" t="n"/>
      <c r="J3559" s="55" t="n"/>
      <c r="K3559" s="95" t="n"/>
      <c r="L3559" s="116">
        <f>IF($A3559="","",DATE(YEAR($A3559),MONTH($A3559)+IF(AND(IFERROR(N(INDEX(Übersicht!$M$15:$M$22,MATCH($B3559,Übersicht!$A$15:$A$22,0))),0)&gt;1,DAY($A3559)&gt;=IFERROR(N(INDEX(Übersicht!$M$15:$M$22,MATCH($B3559,Übersicht!$A$15:$A$22,0))),0)),1,0),1))</f>
        <v/>
      </c>
    </row>
    <row r="3560">
      <c r="A3560" s="92" t="n"/>
      <c r="B3560" s="55" t="n"/>
      <c r="C3560" s="55" t="n"/>
      <c r="D3560" s="55" t="n"/>
      <c r="E3560" s="93" t="n"/>
      <c r="F3560" s="94" t="n"/>
      <c r="G3560" s="94" t="n"/>
      <c r="H3560" s="94" t="n"/>
      <c r="I3560" s="94" t="n"/>
      <c r="J3560" s="55" t="n"/>
      <c r="K3560" s="95" t="n"/>
      <c r="L3560" s="116">
        <f>IF($A3560="","",DATE(YEAR($A3560),MONTH($A3560)+IF(AND(IFERROR(N(INDEX(Übersicht!$M$15:$M$22,MATCH($B3560,Übersicht!$A$15:$A$22,0))),0)&gt;1,DAY($A3560)&gt;=IFERROR(N(INDEX(Übersicht!$M$15:$M$22,MATCH($B3560,Übersicht!$A$15:$A$22,0))),0)),1,0),1))</f>
        <v/>
      </c>
    </row>
    <row r="3561">
      <c r="A3561" s="92" t="n"/>
      <c r="B3561" s="55" t="n"/>
      <c r="C3561" s="55" t="n"/>
      <c r="D3561" s="55" t="n"/>
      <c r="E3561" s="93" t="n"/>
      <c r="F3561" s="94" t="n"/>
      <c r="G3561" s="94" t="n"/>
      <c r="H3561" s="94" t="n"/>
      <c r="I3561" s="94" t="n"/>
      <c r="J3561" s="55" t="n"/>
      <c r="K3561" s="95" t="n"/>
      <c r="L3561" s="116">
        <f>IF($A3561="","",DATE(YEAR($A3561),MONTH($A3561)+IF(AND(IFERROR(N(INDEX(Übersicht!$M$15:$M$22,MATCH($B3561,Übersicht!$A$15:$A$22,0))),0)&gt;1,DAY($A3561)&gt;=IFERROR(N(INDEX(Übersicht!$M$15:$M$22,MATCH($B3561,Übersicht!$A$15:$A$22,0))),0)),1,0),1))</f>
        <v/>
      </c>
    </row>
    <row r="3562">
      <c r="A3562" s="92" t="n"/>
      <c r="B3562" s="55" t="n"/>
      <c r="C3562" s="55" t="n"/>
      <c r="D3562" s="55" t="n"/>
      <c r="E3562" s="93" t="n"/>
      <c r="F3562" s="94" t="n"/>
      <c r="G3562" s="94" t="n"/>
      <c r="H3562" s="94" t="n"/>
      <c r="I3562" s="94" t="n"/>
      <c r="J3562" s="55" t="n"/>
      <c r="K3562" s="95" t="n"/>
      <c r="L3562" s="116">
        <f>IF($A3562="","",DATE(YEAR($A3562),MONTH($A3562)+IF(AND(IFERROR(N(INDEX(Übersicht!$M$15:$M$22,MATCH($B3562,Übersicht!$A$15:$A$22,0))),0)&gt;1,DAY($A3562)&gt;=IFERROR(N(INDEX(Übersicht!$M$15:$M$22,MATCH($B3562,Übersicht!$A$15:$A$22,0))),0)),1,0),1))</f>
        <v/>
      </c>
    </row>
    <row r="3563">
      <c r="A3563" s="92" t="n"/>
      <c r="B3563" s="55" t="n"/>
      <c r="C3563" s="55" t="n"/>
      <c r="D3563" s="55" t="n"/>
      <c r="E3563" s="93" t="n"/>
      <c r="F3563" s="94" t="n"/>
      <c r="G3563" s="94" t="n"/>
      <c r="H3563" s="94" t="n"/>
      <c r="I3563" s="94" t="n"/>
      <c r="J3563" s="55" t="n"/>
      <c r="K3563" s="95" t="n"/>
      <c r="L3563" s="116">
        <f>IF($A3563="","",DATE(YEAR($A3563),MONTH($A3563)+IF(AND(IFERROR(N(INDEX(Übersicht!$M$15:$M$22,MATCH($B3563,Übersicht!$A$15:$A$22,0))),0)&gt;1,DAY($A3563)&gt;=IFERROR(N(INDEX(Übersicht!$M$15:$M$22,MATCH($B3563,Übersicht!$A$15:$A$22,0))),0)),1,0),1))</f>
        <v/>
      </c>
    </row>
    <row r="3564">
      <c r="A3564" s="92" t="n"/>
      <c r="B3564" s="55" t="n"/>
      <c r="C3564" s="55" t="n"/>
      <c r="D3564" s="55" t="n"/>
      <c r="E3564" s="93" t="n"/>
      <c r="F3564" s="94" t="n"/>
      <c r="G3564" s="94" t="n"/>
      <c r="H3564" s="94" t="n"/>
      <c r="I3564" s="94" t="n"/>
      <c r="J3564" s="55" t="n"/>
      <c r="K3564" s="95" t="n"/>
      <c r="L3564" s="116">
        <f>IF($A3564="","",DATE(YEAR($A3564),MONTH($A3564)+IF(AND(IFERROR(N(INDEX(Übersicht!$M$15:$M$22,MATCH($B3564,Übersicht!$A$15:$A$22,0))),0)&gt;1,DAY($A3564)&gt;=IFERROR(N(INDEX(Übersicht!$M$15:$M$22,MATCH($B3564,Übersicht!$A$15:$A$22,0))),0)),1,0),1))</f>
        <v/>
      </c>
    </row>
    <row r="3565">
      <c r="A3565" s="92" t="n"/>
      <c r="B3565" s="55" t="n"/>
      <c r="C3565" s="55" t="n"/>
      <c r="D3565" s="55" t="n"/>
      <c r="E3565" s="93" t="n"/>
      <c r="F3565" s="94" t="n"/>
      <c r="G3565" s="94" t="n"/>
      <c r="H3565" s="94" t="n"/>
      <c r="I3565" s="94" t="n"/>
      <c r="J3565" s="55" t="n"/>
      <c r="K3565" s="95" t="n"/>
      <c r="L3565" s="116">
        <f>IF($A3565="","",DATE(YEAR($A3565),MONTH($A3565)+IF(AND(IFERROR(N(INDEX(Übersicht!$M$15:$M$22,MATCH($B3565,Übersicht!$A$15:$A$22,0))),0)&gt;1,DAY($A3565)&gt;=IFERROR(N(INDEX(Übersicht!$M$15:$M$22,MATCH($B3565,Übersicht!$A$15:$A$22,0))),0)),1,0),1))</f>
        <v/>
      </c>
    </row>
    <row r="3566">
      <c r="A3566" s="92" t="n"/>
      <c r="B3566" s="55" t="n"/>
      <c r="C3566" s="55" t="n"/>
      <c r="D3566" s="55" t="n"/>
      <c r="E3566" s="93" t="n"/>
      <c r="F3566" s="94" t="n"/>
      <c r="G3566" s="94" t="n"/>
      <c r="H3566" s="94" t="n"/>
      <c r="I3566" s="94" t="n"/>
      <c r="J3566" s="55" t="n"/>
      <c r="K3566" s="95" t="n"/>
      <c r="L3566" s="116">
        <f>IF($A3566="","",DATE(YEAR($A3566),MONTH($A3566)+IF(AND(IFERROR(N(INDEX(Übersicht!$M$15:$M$22,MATCH($B3566,Übersicht!$A$15:$A$22,0))),0)&gt;1,DAY($A3566)&gt;=IFERROR(N(INDEX(Übersicht!$M$15:$M$22,MATCH($B3566,Übersicht!$A$15:$A$22,0))),0)),1,0),1))</f>
        <v/>
      </c>
    </row>
    <row r="3567">
      <c r="A3567" s="92" t="n"/>
      <c r="B3567" s="55" t="n"/>
      <c r="C3567" s="55" t="n"/>
      <c r="D3567" s="55" t="n"/>
      <c r="E3567" s="93" t="n"/>
      <c r="F3567" s="94" t="n"/>
      <c r="G3567" s="94" t="n"/>
      <c r="H3567" s="94" t="n"/>
      <c r="I3567" s="94" t="n"/>
      <c r="J3567" s="55" t="n"/>
      <c r="K3567" s="95" t="n"/>
      <c r="L3567" s="116">
        <f>IF($A3567="","",DATE(YEAR($A3567),MONTH($A3567)+IF(AND(IFERROR(N(INDEX(Übersicht!$M$15:$M$22,MATCH($B3567,Übersicht!$A$15:$A$22,0))),0)&gt;1,DAY($A3567)&gt;=IFERROR(N(INDEX(Übersicht!$M$15:$M$22,MATCH($B3567,Übersicht!$A$15:$A$22,0))),0)),1,0),1))</f>
        <v/>
      </c>
    </row>
    <row r="3568">
      <c r="A3568" s="92" t="n"/>
      <c r="B3568" s="55" t="n"/>
      <c r="C3568" s="55" t="n"/>
      <c r="D3568" s="55" t="n"/>
      <c r="E3568" s="93" t="n"/>
      <c r="F3568" s="94" t="n"/>
      <c r="G3568" s="94" t="n"/>
      <c r="H3568" s="94" t="n"/>
      <c r="I3568" s="94" t="n"/>
      <c r="J3568" s="55" t="n"/>
      <c r="K3568" s="95" t="n"/>
      <c r="L3568" s="116">
        <f>IF($A3568="","",DATE(YEAR($A3568),MONTH($A3568)+IF(AND(IFERROR(N(INDEX(Übersicht!$M$15:$M$22,MATCH($B3568,Übersicht!$A$15:$A$22,0))),0)&gt;1,DAY($A3568)&gt;=IFERROR(N(INDEX(Übersicht!$M$15:$M$22,MATCH($B3568,Übersicht!$A$15:$A$22,0))),0)),1,0),1))</f>
        <v/>
      </c>
    </row>
    <row r="3569">
      <c r="A3569" s="92" t="n"/>
      <c r="B3569" s="55" t="n"/>
      <c r="C3569" s="55" t="n"/>
      <c r="D3569" s="55" t="n"/>
      <c r="E3569" s="93" t="n"/>
      <c r="F3569" s="94" t="n"/>
      <c r="G3569" s="94" t="n"/>
      <c r="H3569" s="94" t="n"/>
      <c r="I3569" s="94" t="n"/>
      <c r="J3569" s="55" t="n"/>
      <c r="K3569" s="95" t="n"/>
      <c r="L3569" s="116">
        <f>IF($A3569="","",DATE(YEAR($A3569),MONTH($A3569)+IF(AND(IFERROR(N(INDEX(Übersicht!$M$15:$M$22,MATCH($B3569,Übersicht!$A$15:$A$22,0))),0)&gt;1,DAY($A3569)&gt;=IFERROR(N(INDEX(Übersicht!$M$15:$M$22,MATCH($B3569,Übersicht!$A$15:$A$22,0))),0)),1,0),1))</f>
        <v/>
      </c>
    </row>
    <row r="3570">
      <c r="A3570" s="92" t="n"/>
      <c r="B3570" s="55" t="n"/>
      <c r="C3570" s="55" t="n"/>
      <c r="D3570" s="55" t="n"/>
      <c r="E3570" s="93" t="n"/>
      <c r="F3570" s="94" t="n"/>
      <c r="G3570" s="94" t="n"/>
      <c r="H3570" s="94" t="n"/>
      <c r="I3570" s="94" t="n"/>
      <c r="J3570" s="55" t="n"/>
      <c r="K3570" s="95" t="n"/>
      <c r="L3570" s="116">
        <f>IF($A3570="","",DATE(YEAR($A3570),MONTH($A3570)+IF(AND(IFERROR(N(INDEX(Übersicht!$M$15:$M$22,MATCH($B3570,Übersicht!$A$15:$A$22,0))),0)&gt;1,DAY($A3570)&gt;=IFERROR(N(INDEX(Übersicht!$M$15:$M$22,MATCH($B3570,Übersicht!$A$15:$A$22,0))),0)),1,0),1))</f>
        <v/>
      </c>
    </row>
    <row r="3571">
      <c r="A3571" s="92" t="n"/>
      <c r="B3571" s="55" t="n"/>
      <c r="C3571" s="55" t="n"/>
      <c r="D3571" s="55" t="n"/>
      <c r="E3571" s="93" t="n"/>
      <c r="F3571" s="94" t="n"/>
      <c r="G3571" s="94" t="n"/>
      <c r="H3571" s="94" t="n"/>
      <c r="I3571" s="94" t="n"/>
      <c r="J3571" s="55" t="n"/>
      <c r="K3571" s="95" t="n"/>
      <c r="L3571" s="116">
        <f>IF($A3571="","",DATE(YEAR($A3571),MONTH($A3571)+IF(AND(IFERROR(N(INDEX(Übersicht!$M$15:$M$22,MATCH($B3571,Übersicht!$A$15:$A$22,0))),0)&gt;1,DAY($A3571)&gt;=IFERROR(N(INDEX(Übersicht!$M$15:$M$22,MATCH($B3571,Übersicht!$A$15:$A$22,0))),0)),1,0),1))</f>
        <v/>
      </c>
    </row>
    <row r="3572">
      <c r="A3572" s="92" t="n"/>
      <c r="B3572" s="55" t="n"/>
      <c r="C3572" s="55" t="n"/>
      <c r="D3572" s="55" t="n"/>
      <c r="E3572" s="93" t="n"/>
      <c r="F3572" s="94" t="n"/>
      <c r="G3572" s="94" t="n"/>
      <c r="H3572" s="94" t="n"/>
      <c r="I3572" s="94" t="n"/>
      <c r="J3572" s="55" t="n"/>
      <c r="K3572" s="95" t="n"/>
      <c r="L3572" s="116">
        <f>IF($A3572="","",DATE(YEAR($A3572),MONTH($A3572)+IF(AND(IFERROR(N(INDEX(Übersicht!$M$15:$M$22,MATCH($B3572,Übersicht!$A$15:$A$22,0))),0)&gt;1,DAY($A3572)&gt;=IFERROR(N(INDEX(Übersicht!$M$15:$M$22,MATCH($B3572,Übersicht!$A$15:$A$22,0))),0)),1,0),1))</f>
        <v/>
      </c>
    </row>
    <row r="3573">
      <c r="A3573" s="92" t="n"/>
      <c r="B3573" s="55" t="n"/>
      <c r="C3573" s="55" t="n"/>
      <c r="D3573" s="55" t="n"/>
      <c r="E3573" s="93" t="n"/>
      <c r="F3573" s="94" t="n"/>
      <c r="G3573" s="94" t="n"/>
      <c r="H3573" s="94" t="n"/>
      <c r="I3573" s="94" t="n"/>
      <c r="J3573" s="55" t="n"/>
      <c r="K3573" s="95" t="n"/>
      <c r="L3573" s="116">
        <f>IF($A3573="","",DATE(YEAR($A3573),MONTH($A3573)+IF(AND(IFERROR(N(INDEX(Übersicht!$M$15:$M$22,MATCH($B3573,Übersicht!$A$15:$A$22,0))),0)&gt;1,DAY($A3573)&gt;=IFERROR(N(INDEX(Übersicht!$M$15:$M$22,MATCH($B3573,Übersicht!$A$15:$A$22,0))),0)),1,0),1))</f>
        <v/>
      </c>
    </row>
    <row r="3574">
      <c r="A3574" s="92" t="n"/>
      <c r="B3574" s="55" t="n"/>
      <c r="C3574" s="55" t="n"/>
      <c r="D3574" s="55" t="n"/>
      <c r="E3574" s="93" t="n"/>
      <c r="F3574" s="94" t="n"/>
      <c r="G3574" s="94" t="n"/>
      <c r="H3574" s="94" t="n"/>
      <c r="I3574" s="94" t="n"/>
      <c r="J3574" s="55" t="n"/>
      <c r="K3574" s="95" t="n"/>
      <c r="L3574" s="116">
        <f>IF($A3574="","",DATE(YEAR($A3574),MONTH($A3574)+IF(AND(IFERROR(N(INDEX(Übersicht!$M$15:$M$22,MATCH($B3574,Übersicht!$A$15:$A$22,0))),0)&gt;1,DAY($A3574)&gt;=IFERROR(N(INDEX(Übersicht!$M$15:$M$22,MATCH($B3574,Übersicht!$A$15:$A$22,0))),0)),1,0),1))</f>
        <v/>
      </c>
    </row>
    <row r="3575">
      <c r="A3575" s="92" t="n"/>
      <c r="B3575" s="55" t="n"/>
      <c r="C3575" s="55" t="n"/>
      <c r="D3575" s="55" t="n"/>
      <c r="E3575" s="93" t="n"/>
      <c r="F3575" s="94" t="n"/>
      <c r="G3575" s="94" t="n"/>
      <c r="H3575" s="94" t="n"/>
      <c r="I3575" s="94" t="n"/>
      <c r="J3575" s="55" t="n"/>
      <c r="K3575" s="95" t="n"/>
      <c r="L3575" s="116">
        <f>IF($A3575="","",DATE(YEAR($A3575),MONTH($A3575)+IF(AND(IFERROR(N(INDEX(Übersicht!$M$15:$M$22,MATCH($B3575,Übersicht!$A$15:$A$22,0))),0)&gt;1,DAY($A3575)&gt;=IFERROR(N(INDEX(Übersicht!$M$15:$M$22,MATCH($B3575,Übersicht!$A$15:$A$22,0))),0)),1,0),1))</f>
        <v/>
      </c>
    </row>
    <row r="3576">
      <c r="A3576" s="92" t="n"/>
      <c r="B3576" s="55" t="n"/>
      <c r="C3576" s="55" t="n"/>
      <c r="D3576" s="55" t="n"/>
      <c r="E3576" s="93" t="n"/>
      <c r="F3576" s="94" t="n"/>
      <c r="G3576" s="94" t="n"/>
      <c r="H3576" s="94" t="n"/>
      <c r="I3576" s="94" t="n"/>
      <c r="J3576" s="55" t="n"/>
      <c r="K3576" s="95" t="n"/>
      <c r="L3576" s="116">
        <f>IF($A3576="","",DATE(YEAR($A3576),MONTH($A3576)+IF(AND(IFERROR(N(INDEX(Übersicht!$M$15:$M$22,MATCH($B3576,Übersicht!$A$15:$A$22,0))),0)&gt;1,DAY($A3576)&gt;=IFERROR(N(INDEX(Übersicht!$M$15:$M$22,MATCH($B3576,Übersicht!$A$15:$A$22,0))),0)),1,0),1))</f>
        <v/>
      </c>
    </row>
    <row r="3577">
      <c r="A3577" s="92" t="n"/>
      <c r="B3577" s="55" t="n"/>
      <c r="C3577" s="55" t="n"/>
      <c r="D3577" s="55" t="n"/>
      <c r="E3577" s="93" t="n"/>
      <c r="F3577" s="94" t="n"/>
      <c r="G3577" s="94" t="n"/>
      <c r="H3577" s="94" t="n"/>
      <c r="I3577" s="94" t="n"/>
      <c r="J3577" s="55" t="n"/>
      <c r="K3577" s="95" t="n"/>
      <c r="L3577" s="116">
        <f>IF($A3577="","",DATE(YEAR($A3577),MONTH($A3577)+IF(AND(IFERROR(N(INDEX(Übersicht!$M$15:$M$22,MATCH($B3577,Übersicht!$A$15:$A$22,0))),0)&gt;1,DAY($A3577)&gt;=IFERROR(N(INDEX(Übersicht!$M$15:$M$22,MATCH($B3577,Übersicht!$A$15:$A$22,0))),0)),1,0),1))</f>
        <v/>
      </c>
    </row>
    <row r="3578">
      <c r="A3578" s="92" t="n"/>
      <c r="B3578" s="55" t="n"/>
      <c r="C3578" s="55" t="n"/>
      <c r="D3578" s="55" t="n"/>
      <c r="E3578" s="93" t="n"/>
      <c r="F3578" s="94" t="n"/>
      <c r="G3578" s="94" t="n"/>
      <c r="H3578" s="94" t="n"/>
      <c r="I3578" s="94" t="n"/>
      <c r="J3578" s="55" t="n"/>
      <c r="K3578" s="95" t="n"/>
      <c r="L3578" s="116">
        <f>IF($A3578="","",DATE(YEAR($A3578),MONTH($A3578)+IF(AND(IFERROR(N(INDEX(Übersicht!$M$15:$M$22,MATCH($B3578,Übersicht!$A$15:$A$22,0))),0)&gt;1,DAY($A3578)&gt;=IFERROR(N(INDEX(Übersicht!$M$15:$M$22,MATCH($B3578,Übersicht!$A$15:$A$22,0))),0)),1,0),1))</f>
        <v/>
      </c>
    </row>
    <row r="3579">
      <c r="A3579" s="92" t="n"/>
      <c r="B3579" s="55" t="n"/>
      <c r="C3579" s="55" t="n"/>
      <c r="D3579" s="55" t="n"/>
      <c r="E3579" s="93" t="n"/>
      <c r="F3579" s="94" t="n"/>
      <c r="G3579" s="94" t="n"/>
      <c r="H3579" s="94" t="n"/>
      <c r="I3579" s="94" t="n"/>
      <c r="J3579" s="55" t="n"/>
      <c r="K3579" s="95" t="n"/>
      <c r="L3579" s="116">
        <f>IF($A3579="","",DATE(YEAR($A3579),MONTH($A3579)+IF(AND(IFERROR(N(INDEX(Übersicht!$M$15:$M$22,MATCH($B3579,Übersicht!$A$15:$A$22,0))),0)&gt;1,DAY($A3579)&gt;=IFERROR(N(INDEX(Übersicht!$M$15:$M$22,MATCH($B3579,Übersicht!$A$15:$A$22,0))),0)),1,0),1))</f>
        <v/>
      </c>
    </row>
    <row r="3580">
      <c r="A3580" s="92" t="n"/>
      <c r="B3580" s="55" t="n"/>
      <c r="C3580" s="55" t="n"/>
      <c r="D3580" s="55" t="n"/>
      <c r="E3580" s="93" t="n"/>
      <c r="F3580" s="94" t="n"/>
      <c r="G3580" s="94" t="n"/>
      <c r="H3580" s="94" t="n"/>
      <c r="I3580" s="94" t="n"/>
      <c r="J3580" s="55" t="n"/>
      <c r="K3580" s="95" t="n"/>
      <c r="L3580" s="116">
        <f>IF($A3580="","",DATE(YEAR($A3580),MONTH($A3580)+IF(AND(IFERROR(N(INDEX(Übersicht!$M$15:$M$22,MATCH($B3580,Übersicht!$A$15:$A$22,0))),0)&gt;1,DAY($A3580)&gt;=IFERROR(N(INDEX(Übersicht!$M$15:$M$22,MATCH($B3580,Übersicht!$A$15:$A$22,0))),0)),1,0),1))</f>
        <v/>
      </c>
    </row>
    <row r="3581">
      <c r="A3581" s="92" t="n"/>
      <c r="B3581" s="55" t="n"/>
      <c r="C3581" s="55" t="n"/>
      <c r="D3581" s="55" t="n"/>
      <c r="E3581" s="93" t="n"/>
      <c r="F3581" s="94" t="n"/>
      <c r="G3581" s="94" t="n"/>
      <c r="H3581" s="94" t="n"/>
      <c r="I3581" s="94" t="n"/>
      <c r="J3581" s="55" t="n"/>
      <c r="K3581" s="95" t="n"/>
      <c r="L3581" s="116">
        <f>IF($A3581="","",DATE(YEAR($A3581),MONTH($A3581)+IF(AND(IFERROR(N(INDEX(Übersicht!$M$15:$M$22,MATCH($B3581,Übersicht!$A$15:$A$22,0))),0)&gt;1,DAY($A3581)&gt;=IFERROR(N(INDEX(Übersicht!$M$15:$M$22,MATCH($B3581,Übersicht!$A$15:$A$22,0))),0)),1,0),1))</f>
        <v/>
      </c>
    </row>
    <row r="3582">
      <c r="A3582" s="92" t="n"/>
      <c r="B3582" s="55" t="n"/>
      <c r="C3582" s="55" t="n"/>
      <c r="D3582" s="55" t="n"/>
      <c r="E3582" s="93" t="n"/>
      <c r="F3582" s="94" t="n"/>
      <c r="G3582" s="94" t="n"/>
      <c r="H3582" s="94" t="n"/>
      <c r="I3582" s="94" t="n"/>
      <c r="J3582" s="55" t="n"/>
      <c r="K3582" s="95" t="n"/>
      <c r="L3582" s="116">
        <f>IF($A3582="","",DATE(YEAR($A3582),MONTH($A3582)+IF(AND(IFERROR(N(INDEX(Übersicht!$M$15:$M$22,MATCH($B3582,Übersicht!$A$15:$A$22,0))),0)&gt;1,DAY($A3582)&gt;=IFERROR(N(INDEX(Übersicht!$M$15:$M$22,MATCH($B3582,Übersicht!$A$15:$A$22,0))),0)),1,0),1))</f>
        <v/>
      </c>
    </row>
    <row r="3583">
      <c r="A3583" s="92" t="n"/>
      <c r="B3583" s="55" t="n"/>
      <c r="C3583" s="55" t="n"/>
      <c r="D3583" s="55" t="n"/>
      <c r="E3583" s="93" t="n"/>
      <c r="F3583" s="94" t="n"/>
      <c r="G3583" s="94" t="n"/>
      <c r="H3583" s="94" t="n"/>
      <c r="I3583" s="94" t="n"/>
      <c r="J3583" s="55" t="n"/>
      <c r="K3583" s="95" t="n"/>
      <c r="L3583" s="116">
        <f>IF($A3583="","",DATE(YEAR($A3583),MONTH($A3583)+IF(AND(IFERROR(N(INDEX(Übersicht!$M$15:$M$22,MATCH($B3583,Übersicht!$A$15:$A$22,0))),0)&gt;1,DAY($A3583)&gt;=IFERROR(N(INDEX(Übersicht!$M$15:$M$22,MATCH($B3583,Übersicht!$A$15:$A$22,0))),0)),1,0),1))</f>
        <v/>
      </c>
    </row>
    <row r="3584">
      <c r="A3584" s="92" t="n"/>
      <c r="B3584" s="55" t="n"/>
      <c r="C3584" s="55" t="n"/>
      <c r="D3584" s="55" t="n"/>
      <c r="E3584" s="93" t="n"/>
      <c r="F3584" s="94" t="n"/>
      <c r="G3584" s="94" t="n"/>
      <c r="H3584" s="94" t="n"/>
      <c r="I3584" s="94" t="n"/>
      <c r="J3584" s="55" t="n"/>
      <c r="K3584" s="95" t="n"/>
      <c r="L3584" s="116">
        <f>IF($A3584="","",DATE(YEAR($A3584),MONTH($A3584)+IF(AND(IFERROR(N(INDEX(Übersicht!$M$15:$M$22,MATCH($B3584,Übersicht!$A$15:$A$22,0))),0)&gt;1,DAY($A3584)&gt;=IFERROR(N(INDEX(Übersicht!$M$15:$M$22,MATCH($B3584,Übersicht!$A$15:$A$22,0))),0)),1,0),1))</f>
        <v/>
      </c>
    </row>
    <row r="3585">
      <c r="A3585" s="92" t="n"/>
      <c r="B3585" s="55" t="n"/>
      <c r="C3585" s="55" t="n"/>
      <c r="D3585" s="55" t="n"/>
      <c r="E3585" s="93" t="n"/>
      <c r="F3585" s="94" t="n"/>
      <c r="G3585" s="94" t="n"/>
      <c r="H3585" s="94" t="n"/>
      <c r="I3585" s="94" t="n"/>
      <c r="J3585" s="55" t="n"/>
      <c r="K3585" s="95" t="n"/>
      <c r="L3585" s="116">
        <f>IF($A3585="","",DATE(YEAR($A3585),MONTH($A3585)+IF(AND(IFERROR(N(INDEX(Übersicht!$M$15:$M$22,MATCH($B3585,Übersicht!$A$15:$A$22,0))),0)&gt;1,DAY($A3585)&gt;=IFERROR(N(INDEX(Übersicht!$M$15:$M$22,MATCH($B3585,Übersicht!$A$15:$A$22,0))),0)),1,0),1))</f>
        <v/>
      </c>
    </row>
    <row r="3586">
      <c r="A3586" s="92" t="n"/>
      <c r="B3586" s="55" t="n"/>
      <c r="C3586" s="55" t="n"/>
      <c r="D3586" s="55" t="n"/>
      <c r="E3586" s="93" t="n"/>
      <c r="F3586" s="94" t="n"/>
      <c r="G3586" s="94" t="n"/>
      <c r="H3586" s="94" t="n"/>
      <c r="I3586" s="94" t="n"/>
      <c r="J3586" s="55" t="n"/>
      <c r="K3586" s="95" t="n"/>
      <c r="L3586" s="116">
        <f>IF($A3586="","",DATE(YEAR($A3586),MONTH($A3586)+IF(AND(IFERROR(N(INDEX(Übersicht!$M$15:$M$22,MATCH($B3586,Übersicht!$A$15:$A$22,0))),0)&gt;1,DAY($A3586)&gt;=IFERROR(N(INDEX(Übersicht!$M$15:$M$22,MATCH($B3586,Übersicht!$A$15:$A$22,0))),0)),1,0),1))</f>
        <v/>
      </c>
    </row>
    <row r="3587">
      <c r="A3587" s="92" t="n"/>
      <c r="B3587" s="55" t="n"/>
      <c r="C3587" s="55" t="n"/>
      <c r="D3587" s="55" t="n"/>
      <c r="E3587" s="93" t="n"/>
      <c r="F3587" s="94" t="n"/>
      <c r="G3587" s="94" t="n"/>
      <c r="H3587" s="94" t="n"/>
      <c r="I3587" s="94" t="n"/>
      <c r="J3587" s="55" t="n"/>
      <c r="K3587" s="95" t="n"/>
      <c r="L3587" s="116">
        <f>IF($A3587="","",DATE(YEAR($A3587),MONTH($A3587)+IF(AND(IFERROR(N(INDEX(Übersicht!$M$15:$M$22,MATCH($B3587,Übersicht!$A$15:$A$22,0))),0)&gt;1,DAY($A3587)&gt;=IFERROR(N(INDEX(Übersicht!$M$15:$M$22,MATCH($B3587,Übersicht!$A$15:$A$22,0))),0)),1,0),1))</f>
        <v/>
      </c>
    </row>
    <row r="3588">
      <c r="A3588" s="92" t="n"/>
      <c r="B3588" s="55" t="n"/>
      <c r="C3588" s="55" t="n"/>
      <c r="D3588" s="55" t="n"/>
      <c r="E3588" s="93" t="n"/>
      <c r="F3588" s="94" t="n"/>
      <c r="G3588" s="94" t="n"/>
      <c r="H3588" s="94" t="n"/>
      <c r="I3588" s="94" t="n"/>
      <c r="J3588" s="55" t="n"/>
      <c r="K3588" s="95" t="n"/>
      <c r="L3588" s="116">
        <f>IF($A3588="","",DATE(YEAR($A3588),MONTH($A3588)+IF(AND(IFERROR(N(INDEX(Übersicht!$M$15:$M$22,MATCH($B3588,Übersicht!$A$15:$A$22,0))),0)&gt;1,DAY($A3588)&gt;=IFERROR(N(INDEX(Übersicht!$M$15:$M$22,MATCH($B3588,Übersicht!$A$15:$A$22,0))),0)),1,0),1))</f>
        <v/>
      </c>
    </row>
    <row r="3589">
      <c r="A3589" s="92" t="n"/>
      <c r="B3589" s="55" t="n"/>
      <c r="C3589" s="55" t="n"/>
      <c r="D3589" s="55" t="n"/>
      <c r="E3589" s="93" t="n"/>
      <c r="F3589" s="94" t="n"/>
      <c r="G3589" s="94" t="n"/>
      <c r="H3589" s="94" t="n"/>
      <c r="I3589" s="94" t="n"/>
      <c r="J3589" s="55" t="n"/>
      <c r="K3589" s="95" t="n"/>
      <c r="L3589" s="116">
        <f>IF($A3589="","",DATE(YEAR($A3589),MONTH($A3589)+IF(AND(IFERROR(N(INDEX(Übersicht!$M$15:$M$22,MATCH($B3589,Übersicht!$A$15:$A$22,0))),0)&gt;1,DAY($A3589)&gt;=IFERROR(N(INDEX(Übersicht!$M$15:$M$22,MATCH($B3589,Übersicht!$A$15:$A$22,0))),0)),1,0),1))</f>
        <v/>
      </c>
    </row>
    <row r="3590">
      <c r="A3590" s="92" t="n"/>
      <c r="B3590" s="55" t="n"/>
      <c r="C3590" s="55" t="n"/>
      <c r="D3590" s="55" t="n"/>
      <c r="E3590" s="93" t="n"/>
      <c r="F3590" s="94" t="n"/>
      <c r="G3590" s="94" t="n"/>
      <c r="H3590" s="94" t="n"/>
      <c r="I3590" s="94" t="n"/>
      <c r="J3590" s="55" t="n"/>
      <c r="K3590" s="95" t="n"/>
      <c r="L3590" s="116">
        <f>IF($A3590="","",DATE(YEAR($A3590),MONTH($A3590)+IF(AND(IFERROR(N(INDEX(Übersicht!$M$15:$M$22,MATCH($B3590,Übersicht!$A$15:$A$22,0))),0)&gt;1,DAY($A3590)&gt;=IFERROR(N(INDEX(Übersicht!$M$15:$M$22,MATCH($B3590,Übersicht!$A$15:$A$22,0))),0)),1,0),1))</f>
        <v/>
      </c>
    </row>
    <row r="3591">
      <c r="A3591" s="92" t="n"/>
      <c r="B3591" s="55" t="n"/>
      <c r="C3591" s="55" t="n"/>
      <c r="D3591" s="55" t="n"/>
      <c r="E3591" s="93" t="n"/>
      <c r="F3591" s="94" t="n"/>
      <c r="G3591" s="94" t="n"/>
      <c r="H3591" s="94" t="n"/>
      <c r="I3591" s="94" t="n"/>
      <c r="J3591" s="55" t="n"/>
      <c r="K3591" s="95" t="n"/>
      <c r="L3591" s="116">
        <f>IF($A3591="","",DATE(YEAR($A3591),MONTH($A3591)+IF(AND(IFERROR(N(INDEX(Übersicht!$M$15:$M$22,MATCH($B3591,Übersicht!$A$15:$A$22,0))),0)&gt;1,DAY($A3591)&gt;=IFERROR(N(INDEX(Übersicht!$M$15:$M$22,MATCH($B3591,Übersicht!$A$15:$A$22,0))),0)),1,0),1))</f>
        <v/>
      </c>
    </row>
    <row r="3592">
      <c r="A3592" s="92" t="n"/>
      <c r="B3592" s="55" t="n"/>
      <c r="C3592" s="55" t="n"/>
      <c r="D3592" s="55" t="n"/>
      <c r="E3592" s="93" t="n"/>
      <c r="F3592" s="94" t="n"/>
      <c r="G3592" s="94" t="n"/>
      <c r="H3592" s="94" t="n"/>
      <c r="I3592" s="94" t="n"/>
      <c r="J3592" s="55" t="n"/>
      <c r="K3592" s="95" t="n"/>
      <c r="L3592" s="116">
        <f>IF($A3592="","",DATE(YEAR($A3592),MONTH($A3592)+IF(AND(IFERROR(N(INDEX(Übersicht!$M$15:$M$22,MATCH($B3592,Übersicht!$A$15:$A$22,0))),0)&gt;1,DAY($A3592)&gt;=IFERROR(N(INDEX(Übersicht!$M$15:$M$22,MATCH($B3592,Übersicht!$A$15:$A$22,0))),0)),1,0),1))</f>
        <v/>
      </c>
    </row>
    <row r="3593">
      <c r="A3593" s="92" t="n"/>
      <c r="B3593" s="55" t="n"/>
      <c r="C3593" s="55" t="n"/>
      <c r="D3593" s="55" t="n"/>
      <c r="E3593" s="93" t="n"/>
      <c r="F3593" s="94" t="n"/>
      <c r="G3593" s="94" t="n"/>
      <c r="H3593" s="94" t="n"/>
      <c r="I3593" s="94" t="n"/>
      <c r="J3593" s="55" t="n"/>
      <c r="K3593" s="95" t="n"/>
      <c r="L3593" s="116">
        <f>IF($A3593="","",DATE(YEAR($A3593),MONTH($A3593)+IF(AND(IFERROR(N(INDEX(Übersicht!$M$15:$M$22,MATCH($B3593,Übersicht!$A$15:$A$22,0))),0)&gt;1,DAY($A3593)&gt;=IFERROR(N(INDEX(Übersicht!$M$15:$M$22,MATCH($B3593,Übersicht!$A$15:$A$22,0))),0)),1,0),1))</f>
        <v/>
      </c>
    </row>
    <row r="3594">
      <c r="A3594" s="92" t="n"/>
      <c r="B3594" s="55" t="n"/>
      <c r="C3594" s="55" t="n"/>
      <c r="D3594" s="55" t="n"/>
      <c r="E3594" s="93" t="n"/>
      <c r="F3594" s="94" t="n"/>
      <c r="G3594" s="94" t="n"/>
      <c r="H3594" s="94" t="n"/>
      <c r="I3594" s="94" t="n"/>
      <c r="J3594" s="55" t="n"/>
      <c r="K3594" s="95" t="n"/>
      <c r="L3594" s="116">
        <f>IF($A3594="","",DATE(YEAR($A3594),MONTH($A3594)+IF(AND(IFERROR(N(INDEX(Übersicht!$M$15:$M$22,MATCH($B3594,Übersicht!$A$15:$A$22,0))),0)&gt;1,DAY($A3594)&gt;=IFERROR(N(INDEX(Übersicht!$M$15:$M$22,MATCH($B3594,Übersicht!$A$15:$A$22,0))),0)),1,0),1))</f>
        <v/>
      </c>
    </row>
    <row r="3595">
      <c r="A3595" s="92" t="n"/>
      <c r="B3595" s="55" t="n"/>
      <c r="C3595" s="55" t="n"/>
      <c r="D3595" s="55" t="n"/>
      <c r="E3595" s="93" t="n"/>
      <c r="F3595" s="94" t="n"/>
      <c r="G3595" s="94" t="n"/>
      <c r="H3595" s="94" t="n"/>
      <c r="I3595" s="94" t="n"/>
      <c r="J3595" s="55" t="n"/>
      <c r="K3595" s="95" t="n"/>
      <c r="L3595" s="116">
        <f>IF($A3595="","",DATE(YEAR($A3595),MONTH($A3595)+IF(AND(IFERROR(N(INDEX(Übersicht!$M$15:$M$22,MATCH($B3595,Übersicht!$A$15:$A$22,0))),0)&gt;1,DAY($A3595)&gt;=IFERROR(N(INDEX(Übersicht!$M$15:$M$22,MATCH($B3595,Übersicht!$A$15:$A$22,0))),0)),1,0),1))</f>
        <v/>
      </c>
    </row>
    <row r="3596">
      <c r="A3596" s="92" t="n"/>
      <c r="B3596" s="55" t="n"/>
      <c r="C3596" s="55" t="n"/>
      <c r="D3596" s="55" t="n"/>
      <c r="E3596" s="93" t="n"/>
      <c r="F3596" s="94" t="n"/>
      <c r="G3596" s="94" t="n"/>
      <c r="H3596" s="94" t="n"/>
      <c r="I3596" s="94" t="n"/>
      <c r="J3596" s="55" t="n"/>
      <c r="K3596" s="95" t="n"/>
      <c r="L3596" s="116">
        <f>IF($A3596="","",DATE(YEAR($A3596),MONTH($A3596)+IF(AND(IFERROR(N(INDEX(Übersicht!$M$15:$M$22,MATCH($B3596,Übersicht!$A$15:$A$22,0))),0)&gt;1,DAY($A3596)&gt;=IFERROR(N(INDEX(Übersicht!$M$15:$M$22,MATCH($B3596,Übersicht!$A$15:$A$22,0))),0)),1,0),1))</f>
        <v/>
      </c>
    </row>
    <row r="3597">
      <c r="A3597" s="92" t="n"/>
      <c r="B3597" s="55" t="n"/>
      <c r="C3597" s="55" t="n"/>
      <c r="D3597" s="55" t="n"/>
      <c r="E3597" s="93" t="n"/>
      <c r="F3597" s="94" t="n"/>
      <c r="G3597" s="94" t="n"/>
      <c r="H3597" s="94" t="n"/>
      <c r="I3597" s="94" t="n"/>
      <c r="J3597" s="55" t="n"/>
      <c r="K3597" s="95" t="n"/>
      <c r="L3597" s="116">
        <f>IF($A3597="","",DATE(YEAR($A3597),MONTH($A3597)+IF(AND(IFERROR(N(INDEX(Übersicht!$M$15:$M$22,MATCH($B3597,Übersicht!$A$15:$A$22,0))),0)&gt;1,DAY($A3597)&gt;=IFERROR(N(INDEX(Übersicht!$M$15:$M$22,MATCH($B3597,Übersicht!$A$15:$A$22,0))),0)),1,0),1))</f>
        <v/>
      </c>
    </row>
    <row r="3598">
      <c r="A3598" s="92" t="n"/>
      <c r="B3598" s="55" t="n"/>
      <c r="C3598" s="55" t="n"/>
      <c r="D3598" s="55" t="n"/>
      <c r="E3598" s="93" t="n"/>
      <c r="F3598" s="94" t="n"/>
      <c r="G3598" s="94" t="n"/>
      <c r="H3598" s="94" t="n"/>
      <c r="I3598" s="94" t="n"/>
      <c r="J3598" s="55" t="n"/>
      <c r="K3598" s="95" t="n"/>
      <c r="L3598" s="116">
        <f>IF($A3598="","",DATE(YEAR($A3598),MONTH($A3598)+IF(AND(IFERROR(N(INDEX(Übersicht!$M$15:$M$22,MATCH($B3598,Übersicht!$A$15:$A$22,0))),0)&gt;1,DAY($A3598)&gt;=IFERROR(N(INDEX(Übersicht!$M$15:$M$22,MATCH($B3598,Übersicht!$A$15:$A$22,0))),0)),1,0),1))</f>
        <v/>
      </c>
    </row>
    <row r="3599">
      <c r="A3599" s="92" t="n"/>
      <c r="B3599" s="55" t="n"/>
      <c r="C3599" s="55" t="n"/>
      <c r="D3599" s="55" t="n"/>
      <c r="E3599" s="93" t="n"/>
      <c r="F3599" s="94" t="n"/>
      <c r="G3599" s="94" t="n"/>
      <c r="H3599" s="94" t="n"/>
      <c r="I3599" s="94" t="n"/>
      <c r="J3599" s="55" t="n"/>
      <c r="K3599" s="95" t="n"/>
      <c r="L3599" s="116">
        <f>IF($A3599="","",DATE(YEAR($A3599),MONTH($A3599)+IF(AND(IFERROR(N(INDEX(Übersicht!$M$15:$M$22,MATCH($B3599,Übersicht!$A$15:$A$22,0))),0)&gt;1,DAY($A3599)&gt;=IFERROR(N(INDEX(Übersicht!$M$15:$M$22,MATCH($B3599,Übersicht!$A$15:$A$22,0))),0)),1,0),1))</f>
        <v/>
      </c>
    </row>
    <row r="3600">
      <c r="A3600" s="92" t="n"/>
      <c r="B3600" s="55" t="n"/>
      <c r="C3600" s="55" t="n"/>
      <c r="D3600" s="55" t="n"/>
      <c r="E3600" s="93" t="n"/>
      <c r="F3600" s="94" t="n"/>
      <c r="G3600" s="94" t="n"/>
      <c r="H3600" s="94" t="n"/>
      <c r="I3600" s="94" t="n"/>
      <c r="J3600" s="55" t="n"/>
      <c r="K3600" s="95" t="n"/>
      <c r="L3600" s="116">
        <f>IF($A3600="","",DATE(YEAR($A3600),MONTH($A3600)+IF(AND(IFERROR(N(INDEX(Übersicht!$M$15:$M$22,MATCH($B3600,Übersicht!$A$15:$A$22,0))),0)&gt;1,DAY($A3600)&gt;=IFERROR(N(INDEX(Übersicht!$M$15:$M$22,MATCH($B3600,Übersicht!$A$15:$A$22,0))),0)),1,0),1))</f>
        <v/>
      </c>
    </row>
    <row r="3601">
      <c r="A3601" s="92" t="n"/>
      <c r="B3601" s="55" t="n"/>
      <c r="C3601" s="55" t="n"/>
      <c r="D3601" s="55" t="n"/>
      <c r="E3601" s="93" t="n"/>
      <c r="F3601" s="94" t="n"/>
      <c r="G3601" s="94" t="n"/>
      <c r="H3601" s="94" t="n"/>
      <c r="I3601" s="94" t="n"/>
      <c r="J3601" s="55" t="n"/>
      <c r="K3601" s="95" t="n"/>
      <c r="L3601" s="116">
        <f>IF($A3601="","",DATE(YEAR($A3601),MONTH($A3601)+IF(AND(IFERROR(N(INDEX(Übersicht!$M$15:$M$22,MATCH($B3601,Übersicht!$A$15:$A$22,0))),0)&gt;1,DAY($A3601)&gt;=IFERROR(N(INDEX(Übersicht!$M$15:$M$22,MATCH($B3601,Übersicht!$A$15:$A$22,0))),0)),1,0),1))</f>
        <v/>
      </c>
    </row>
    <row r="3602">
      <c r="A3602" s="92" t="n"/>
      <c r="B3602" s="55" t="n"/>
      <c r="C3602" s="55" t="n"/>
      <c r="D3602" s="55" t="n"/>
      <c r="E3602" s="93" t="n"/>
      <c r="F3602" s="94" t="n"/>
      <c r="G3602" s="94" t="n"/>
      <c r="H3602" s="94" t="n"/>
      <c r="I3602" s="94" t="n"/>
      <c r="J3602" s="55" t="n"/>
      <c r="K3602" s="95" t="n"/>
      <c r="L3602" s="116">
        <f>IF($A3602="","",DATE(YEAR($A3602),MONTH($A3602)+IF(AND(IFERROR(N(INDEX(Übersicht!$M$15:$M$22,MATCH($B3602,Übersicht!$A$15:$A$22,0))),0)&gt;1,DAY($A3602)&gt;=IFERROR(N(INDEX(Übersicht!$M$15:$M$22,MATCH($B3602,Übersicht!$A$15:$A$22,0))),0)),1,0),1))</f>
        <v/>
      </c>
    </row>
    <row r="3603">
      <c r="A3603" s="92" t="n"/>
      <c r="B3603" s="55" t="n"/>
      <c r="C3603" s="55" t="n"/>
      <c r="D3603" s="55" t="n"/>
      <c r="E3603" s="93" t="n"/>
      <c r="F3603" s="94" t="n"/>
      <c r="G3603" s="94" t="n"/>
      <c r="H3603" s="94" t="n"/>
      <c r="I3603" s="94" t="n"/>
      <c r="J3603" s="55" t="n"/>
      <c r="K3603" s="95" t="n"/>
      <c r="L3603" s="116">
        <f>IF($A3603="","",DATE(YEAR($A3603),MONTH($A3603)+IF(AND(IFERROR(N(INDEX(Übersicht!$M$15:$M$22,MATCH($B3603,Übersicht!$A$15:$A$22,0))),0)&gt;1,DAY($A3603)&gt;=IFERROR(N(INDEX(Übersicht!$M$15:$M$22,MATCH($B3603,Übersicht!$A$15:$A$22,0))),0)),1,0),1))</f>
        <v/>
      </c>
    </row>
    <row r="3604">
      <c r="A3604" s="92" t="n"/>
      <c r="B3604" s="55" t="n"/>
      <c r="C3604" s="55" t="n"/>
      <c r="D3604" s="55" t="n"/>
      <c r="E3604" s="93" t="n"/>
      <c r="F3604" s="94" t="n"/>
      <c r="G3604" s="94" t="n"/>
      <c r="H3604" s="94" t="n"/>
      <c r="I3604" s="94" t="n"/>
      <c r="J3604" s="55" t="n"/>
      <c r="K3604" s="95" t="n"/>
      <c r="L3604" s="116">
        <f>IF($A3604="","",DATE(YEAR($A3604),MONTH($A3604)+IF(AND(IFERROR(N(INDEX(Übersicht!$M$15:$M$22,MATCH($B3604,Übersicht!$A$15:$A$22,0))),0)&gt;1,DAY($A3604)&gt;=IFERROR(N(INDEX(Übersicht!$M$15:$M$22,MATCH($B3604,Übersicht!$A$15:$A$22,0))),0)),1,0),1))</f>
        <v/>
      </c>
    </row>
    <row r="3605">
      <c r="A3605" s="92" t="n"/>
      <c r="B3605" s="55" t="n"/>
      <c r="C3605" s="55" t="n"/>
      <c r="D3605" s="55" t="n"/>
      <c r="E3605" s="93" t="n"/>
      <c r="F3605" s="94" t="n"/>
      <c r="G3605" s="94" t="n"/>
      <c r="H3605" s="94" t="n"/>
      <c r="I3605" s="94" t="n"/>
      <c r="J3605" s="55" t="n"/>
      <c r="K3605" s="95" t="n"/>
      <c r="L3605" s="116">
        <f>IF($A3605="","",DATE(YEAR($A3605),MONTH($A3605)+IF(AND(IFERROR(N(INDEX(Übersicht!$M$15:$M$22,MATCH($B3605,Übersicht!$A$15:$A$22,0))),0)&gt;1,DAY($A3605)&gt;=IFERROR(N(INDEX(Übersicht!$M$15:$M$22,MATCH($B3605,Übersicht!$A$15:$A$22,0))),0)),1,0),1))</f>
        <v/>
      </c>
    </row>
    <row r="3606">
      <c r="A3606" s="92" t="n"/>
      <c r="B3606" s="55" t="n"/>
      <c r="C3606" s="55" t="n"/>
      <c r="D3606" s="55" t="n"/>
      <c r="E3606" s="93" t="n"/>
      <c r="F3606" s="94" t="n"/>
      <c r="G3606" s="94" t="n"/>
      <c r="H3606" s="94" t="n"/>
      <c r="I3606" s="94" t="n"/>
      <c r="J3606" s="55" t="n"/>
      <c r="K3606" s="95" t="n"/>
      <c r="L3606" s="116">
        <f>IF($A3606="","",DATE(YEAR($A3606),MONTH($A3606)+IF(AND(IFERROR(N(INDEX(Übersicht!$M$15:$M$22,MATCH($B3606,Übersicht!$A$15:$A$22,0))),0)&gt;1,DAY($A3606)&gt;=IFERROR(N(INDEX(Übersicht!$M$15:$M$22,MATCH($B3606,Übersicht!$A$15:$A$22,0))),0)),1,0),1))</f>
        <v/>
      </c>
    </row>
    <row r="3607">
      <c r="A3607" s="92" t="n"/>
      <c r="B3607" s="55" t="n"/>
      <c r="C3607" s="55" t="n"/>
      <c r="D3607" s="55" t="n"/>
      <c r="E3607" s="93" t="n"/>
      <c r="F3607" s="94" t="n"/>
      <c r="G3607" s="94" t="n"/>
      <c r="H3607" s="94" t="n"/>
      <c r="I3607" s="94" t="n"/>
      <c r="J3607" s="55" t="n"/>
      <c r="K3607" s="95" t="n"/>
      <c r="L3607" s="116">
        <f>IF($A3607="","",DATE(YEAR($A3607),MONTH($A3607)+IF(AND(IFERROR(N(INDEX(Übersicht!$M$15:$M$22,MATCH($B3607,Übersicht!$A$15:$A$22,0))),0)&gt;1,DAY($A3607)&gt;=IFERROR(N(INDEX(Übersicht!$M$15:$M$22,MATCH($B3607,Übersicht!$A$15:$A$22,0))),0)),1,0),1))</f>
        <v/>
      </c>
    </row>
    <row r="3608">
      <c r="A3608" s="92" t="n"/>
      <c r="B3608" s="55" t="n"/>
      <c r="C3608" s="55" t="n"/>
      <c r="D3608" s="55" t="n"/>
      <c r="E3608" s="93" t="n"/>
      <c r="F3608" s="94" t="n"/>
      <c r="G3608" s="94" t="n"/>
      <c r="H3608" s="94" t="n"/>
      <c r="I3608" s="94" t="n"/>
      <c r="J3608" s="55" t="n"/>
      <c r="K3608" s="95" t="n"/>
      <c r="L3608" s="116">
        <f>IF($A3608="","",DATE(YEAR($A3608),MONTH($A3608)+IF(AND(IFERROR(N(INDEX(Übersicht!$M$15:$M$22,MATCH($B3608,Übersicht!$A$15:$A$22,0))),0)&gt;1,DAY($A3608)&gt;=IFERROR(N(INDEX(Übersicht!$M$15:$M$22,MATCH($B3608,Übersicht!$A$15:$A$22,0))),0)),1,0),1))</f>
        <v/>
      </c>
    </row>
    <row r="3609">
      <c r="A3609" s="92" t="n"/>
      <c r="B3609" s="55" t="n"/>
      <c r="C3609" s="55" t="n"/>
      <c r="D3609" s="55" t="n"/>
      <c r="E3609" s="93" t="n"/>
      <c r="F3609" s="94" t="n"/>
      <c r="G3609" s="94" t="n"/>
      <c r="H3609" s="94" t="n"/>
      <c r="I3609" s="94" t="n"/>
      <c r="J3609" s="55" t="n"/>
      <c r="K3609" s="95" t="n"/>
      <c r="L3609" s="116">
        <f>IF($A3609="","",DATE(YEAR($A3609),MONTH($A3609)+IF(AND(IFERROR(N(INDEX(Übersicht!$M$15:$M$22,MATCH($B3609,Übersicht!$A$15:$A$22,0))),0)&gt;1,DAY($A3609)&gt;=IFERROR(N(INDEX(Übersicht!$M$15:$M$22,MATCH($B3609,Übersicht!$A$15:$A$22,0))),0)),1,0),1))</f>
        <v/>
      </c>
    </row>
    <row r="3610">
      <c r="A3610" s="92" t="n"/>
      <c r="B3610" s="55" t="n"/>
      <c r="C3610" s="55" t="n"/>
      <c r="D3610" s="55" t="n"/>
      <c r="E3610" s="93" t="n"/>
      <c r="F3610" s="94" t="n"/>
      <c r="G3610" s="94" t="n"/>
      <c r="H3610" s="94" t="n"/>
      <c r="I3610" s="94" t="n"/>
      <c r="J3610" s="55" t="n"/>
      <c r="K3610" s="95" t="n"/>
      <c r="L3610" s="116">
        <f>IF($A3610="","",DATE(YEAR($A3610),MONTH($A3610)+IF(AND(IFERROR(N(INDEX(Übersicht!$M$15:$M$22,MATCH($B3610,Übersicht!$A$15:$A$22,0))),0)&gt;1,DAY($A3610)&gt;=IFERROR(N(INDEX(Übersicht!$M$15:$M$22,MATCH($B3610,Übersicht!$A$15:$A$22,0))),0)),1,0),1))</f>
        <v/>
      </c>
    </row>
    <row r="3611">
      <c r="A3611" s="92" t="n"/>
      <c r="B3611" s="55" t="n"/>
      <c r="C3611" s="55" t="n"/>
      <c r="D3611" s="55" t="n"/>
      <c r="E3611" s="93" t="n"/>
      <c r="F3611" s="94" t="n"/>
      <c r="G3611" s="94" t="n"/>
      <c r="H3611" s="94" t="n"/>
      <c r="I3611" s="94" t="n"/>
      <c r="J3611" s="55" t="n"/>
      <c r="K3611" s="95" t="n"/>
      <c r="L3611" s="116">
        <f>IF($A3611="","",DATE(YEAR($A3611),MONTH($A3611)+IF(AND(IFERROR(N(INDEX(Übersicht!$M$15:$M$22,MATCH($B3611,Übersicht!$A$15:$A$22,0))),0)&gt;1,DAY($A3611)&gt;=IFERROR(N(INDEX(Übersicht!$M$15:$M$22,MATCH($B3611,Übersicht!$A$15:$A$22,0))),0)),1,0),1))</f>
        <v/>
      </c>
    </row>
    <row r="3612">
      <c r="A3612" s="92" t="n"/>
      <c r="B3612" s="55" t="n"/>
      <c r="C3612" s="55" t="n"/>
      <c r="D3612" s="55" t="n"/>
      <c r="E3612" s="93" t="n"/>
      <c r="F3612" s="94" t="n"/>
      <c r="G3612" s="94" t="n"/>
      <c r="H3612" s="94" t="n"/>
      <c r="I3612" s="94" t="n"/>
      <c r="J3612" s="55" t="n"/>
      <c r="K3612" s="95" t="n"/>
      <c r="L3612" s="116">
        <f>IF($A3612="","",DATE(YEAR($A3612),MONTH($A3612)+IF(AND(IFERROR(N(INDEX(Übersicht!$M$15:$M$22,MATCH($B3612,Übersicht!$A$15:$A$22,0))),0)&gt;1,DAY($A3612)&gt;=IFERROR(N(INDEX(Übersicht!$M$15:$M$22,MATCH($B3612,Übersicht!$A$15:$A$22,0))),0)),1,0),1))</f>
        <v/>
      </c>
    </row>
    <row r="3613">
      <c r="A3613" s="92" t="n"/>
      <c r="B3613" s="55" t="n"/>
      <c r="C3613" s="55" t="n"/>
      <c r="D3613" s="55" t="n"/>
      <c r="E3613" s="93" t="n"/>
      <c r="F3613" s="94" t="n"/>
      <c r="G3613" s="94" t="n"/>
      <c r="H3613" s="94" t="n"/>
      <c r="I3613" s="94" t="n"/>
      <c r="J3613" s="55" t="n"/>
      <c r="K3613" s="95" t="n"/>
      <c r="L3613" s="116">
        <f>IF($A3613="","",DATE(YEAR($A3613),MONTH($A3613)+IF(AND(IFERROR(N(INDEX(Übersicht!$M$15:$M$22,MATCH($B3613,Übersicht!$A$15:$A$22,0))),0)&gt;1,DAY($A3613)&gt;=IFERROR(N(INDEX(Übersicht!$M$15:$M$22,MATCH($B3613,Übersicht!$A$15:$A$22,0))),0)),1,0),1))</f>
        <v/>
      </c>
    </row>
    <row r="3614">
      <c r="A3614" s="92" t="n"/>
      <c r="B3614" s="55" t="n"/>
      <c r="C3614" s="55" t="n"/>
      <c r="D3614" s="55" t="n"/>
      <c r="E3614" s="93" t="n"/>
      <c r="F3614" s="94" t="n"/>
      <c r="G3614" s="94" t="n"/>
      <c r="H3614" s="94" t="n"/>
      <c r="I3614" s="94" t="n"/>
      <c r="J3614" s="55" t="n"/>
      <c r="K3614" s="95" t="n"/>
      <c r="L3614" s="116">
        <f>IF($A3614="","",DATE(YEAR($A3614),MONTH($A3614)+IF(AND(IFERROR(N(INDEX(Übersicht!$M$15:$M$22,MATCH($B3614,Übersicht!$A$15:$A$22,0))),0)&gt;1,DAY($A3614)&gt;=IFERROR(N(INDEX(Übersicht!$M$15:$M$22,MATCH($B3614,Übersicht!$A$15:$A$22,0))),0)),1,0),1))</f>
        <v/>
      </c>
    </row>
    <row r="3615">
      <c r="A3615" s="92" t="n"/>
      <c r="B3615" s="55" t="n"/>
      <c r="C3615" s="55" t="n"/>
      <c r="D3615" s="55" t="n"/>
      <c r="E3615" s="93" t="n"/>
      <c r="F3615" s="94" t="n"/>
      <c r="G3615" s="94" t="n"/>
      <c r="H3615" s="94" t="n"/>
      <c r="I3615" s="94" t="n"/>
      <c r="J3615" s="55" t="n"/>
      <c r="K3615" s="95" t="n"/>
      <c r="L3615" s="116">
        <f>IF($A3615="","",DATE(YEAR($A3615),MONTH($A3615)+IF(AND(IFERROR(N(INDEX(Übersicht!$M$15:$M$22,MATCH($B3615,Übersicht!$A$15:$A$22,0))),0)&gt;1,DAY($A3615)&gt;=IFERROR(N(INDEX(Übersicht!$M$15:$M$22,MATCH($B3615,Übersicht!$A$15:$A$22,0))),0)),1,0),1))</f>
        <v/>
      </c>
    </row>
    <row r="3616">
      <c r="A3616" s="92" t="n"/>
      <c r="B3616" s="55" t="n"/>
      <c r="C3616" s="55" t="n"/>
      <c r="D3616" s="55" t="n"/>
      <c r="E3616" s="93" t="n"/>
      <c r="F3616" s="94" t="n"/>
      <c r="G3616" s="94" t="n"/>
      <c r="H3616" s="94" t="n"/>
      <c r="I3616" s="94" t="n"/>
      <c r="J3616" s="55" t="n"/>
      <c r="K3616" s="95" t="n"/>
      <c r="L3616" s="116">
        <f>IF($A3616="","",DATE(YEAR($A3616),MONTH($A3616)+IF(AND(IFERROR(N(INDEX(Übersicht!$M$15:$M$22,MATCH($B3616,Übersicht!$A$15:$A$22,0))),0)&gt;1,DAY($A3616)&gt;=IFERROR(N(INDEX(Übersicht!$M$15:$M$22,MATCH($B3616,Übersicht!$A$15:$A$22,0))),0)),1,0),1))</f>
        <v/>
      </c>
    </row>
    <row r="3617">
      <c r="A3617" s="92" t="n"/>
      <c r="B3617" s="55" t="n"/>
      <c r="C3617" s="55" t="n"/>
      <c r="D3617" s="55" t="n"/>
      <c r="E3617" s="93" t="n"/>
      <c r="F3617" s="94" t="n"/>
      <c r="G3617" s="94" t="n"/>
      <c r="H3617" s="94" t="n"/>
      <c r="I3617" s="94" t="n"/>
      <c r="J3617" s="55" t="n"/>
      <c r="K3617" s="95" t="n"/>
      <c r="L3617" s="116">
        <f>IF($A3617="","",DATE(YEAR($A3617),MONTH($A3617)+IF(AND(IFERROR(N(INDEX(Übersicht!$M$15:$M$22,MATCH($B3617,Übersicht!$A$15:$A$22,0))),0)&gt;1,DAY($A3617)&gt;=IFERROR(N(INDEX(Übersicht!$M$15:$M$22,MATCH($B3617,Übersicht!$A$15:$A$22,0))),0)),1,0),1))</f>
        <v/>
      </c>
    </row>
    <row r="3618">
      <c r="A3618" s="92" t="n"/>
      <c r="B3618" s="55" t="n"/>
      <c r="C3618" s="55" t="n"/>
      <c r="D3618" s="55" t="n"/>
      <c r="E3618" s="93" t="n"/>
      <c r="F3618" s="94" t="n"/>
      <c r="G3618" s="94" t="n"/>
      <c r="H3618" s="94" t="n"/>
      <c r="I3618" s="94" t="n"/>
      <c r="J3618" s="55" t="n"/>
      <c r="K3618" s="95" t="n"/>
      <c r="L3618" s="116">
        <f>IF($A3618="","",DATE(YEAR($A3618),MONTH($A3618)+IF(AND(IFERROR(N(INDEX(Übersicht!$M$15:$M$22,MATCH($B3618,Übersicht!$A$15:$A$22,0))),0)&gt;1,DAY($A3618)&gt;=IFERROR(N(INDEX(Übersicht!$M$15:$M$22,MATCH($B3618,Übersicht!$A$15:$A$22,0))),0)),1,0),1))</f>
        <v/>
      </c>
    </row>
    <row r="3619">
      <c r="A3619" s="92" t="n"/>
      <c r="B3619" s="55" t="n"/>
      <c r="C3619" s="55" t="n"/>
      <c r="D3619" s="55" t="n"/>
      <c r="E3619" s="93" t="n"/>
      <c r="F3619" s="94" t="n"/>
      <c r="G3619" s="94" t="n"/>
      <c r="H3619" s="94" t="n"/>
      <c r="I3619" s="94" t="n"/>
      <c r="J3619" s="55" t="n"/>
      <c r="K3619" s="95" t="n"/>
      <c r="L3619" s="116">
        <f>IF($A3619="","",DATE(YEAR($A3619),MONTH($A3619)+IF(AND(IFERROR(N(INDEX(Übersicht!$M$15:$M$22,MATCH($B3619,Übersicht!$A$15:$A$22,0))),0)&gt;1,DAY($A3619)&gt;=IFERROR(N(INDEX(Übersicht!$M$15:$M$22,MATCH($B3619,Übersicht!$A$15:$A$22,0))),0)),1,0),1))</f>
        <v/>
      </c>
    </row>
    <row r="3620">
      <c r="A3620" s="92" t="n"/>
      <c r="B3620" s="55" t="n"/>
      <c r="C3620" s="55" t="n"/>
      <c r="D3620" s="55" t="n"/>
      <c r="E3620" s="93" t="n"/>
      <c r="F3620" s="94" t="n"/>
      <c r="G3620" s="94" t="n"/>
      <c r="H3620" s="94" t="n"/>
      <c r="I3620" s="94" t="n"/>
      <c r="J3620" s="55" t="n"/>
      <c r="K3620" s="95" t="n"/>
      <c r="L3620" s="116">
        <f>IF($A3620="","",DATE(YEAR($A3620),MONTH($A3620)+IF(AND(IFERROR(N(INDEX(Übersicht!$M$15:$M$22,MATCH($B3620,Übersicht!$A$15:$A$22,0))),0)&gt;1,DAY($A3620)&gt;=IFERROR(N(INDEX(Übersicht!$M$15:$M$22,MATCH($B3620,Übersicht!$A$15:$A$22,0))),0)),1,0),1))</f>
        <v/>
      </c>
    </row>
    <row r="3621">
      <c r="A3621" s="92" t="n"/>
      <c r="B3621" s="55" t="n"/>
      <c r="C3621" s="55" t="n"/>
      <c r="D3621" s="55" t="n"/>
      <c r="E3621" s="93" t="n"/>
      <c r="F3621" s="94" t="n"/>
      <c r="G3621" s="94" t="n"/>
      <c r="H3621" s="94" t="n"/>
      <c r="I3621" s="94" t="n"/>
      <c r="J3621" s="55" t="n"/>
      <c r="K3621" s="95" t="n"/>
      <c r="L3621" s="116">
        <f>IF($A3621="","",DATE(YEAR($A3621),MONTH($A3621)+IF(AND(IFERROR(N(INDEX(Übersicht!$M$15:$M$22,MATCH($B3621,Übersicht!$A$15:$A$22,0))),0)&gt;1,DAY($A3621)&gt;=IFERROR(N(INDEX(Übersicht!$M$15:$M$22,MATCH($B3621,Übersicht!$A$15:$A$22,0))),0)),1,0),1))</f>
        <v/>
      </c>
    </row>
    <row r="3622">
      <c r="A3622" s="92" t="n"/>
      <c r="B3622" s="55" t="n"/>
      <c r="C3622" s="55" t="n"/>
      <c r="D3622" s="55" t="n"/>
      <c r="E3622" s="93" t="n"/>
      <c r="F3622" s="94" t="n"/>
      <c r="G3622" s="94" t="n"/>
      <c r="H3622" s="94" t="n"/>
      <c r="I3622" s="94" t="n"/>
      <c r="J3622" s="55" t="n"/>
      <c r="K3622" s="95" t="n"/>
      <c r="L3622" s="116">
        <f>IF($A3622="","",DATE(YEAR($A3622),MONTH($A3622)+IF(AND(IFERROR(N(INDEX(Übersicht!$M$15:$M$22,MATCH($B3622,Übersicht!$A$15:$A$22,0))),0)&gt;1,DAY($A3622)&gt;=IFERROR(N(INDEX(Übersicht!$M$15:$M$22,MATCH($B3622,Übersicht!$A$15:$A$22,0))),0)),1,0),1))</f>
        <v/>
      </c>
    </row>
    <row r="3623">
      <c r="A3623" s="92" t="n"/>
      <c r="B3623" s="55" t="n"/>
      <c r="C3623" s="55" t="n"/>
      <c r="D3623" s="55" t="n"/>
      <c r="E3623" s="93" t="n"/>
      <c r="F3623" s="94" t="n"/>
      <c r="G3623" s="94" t="n"/>
      <c r="H3623" s="94" t="n"/>
      <c r="I3623" s="94" t="n"/>
      <c r="J3623" s="55" t="n"/>
      <c r="K3623" s="95" t="n"/>
      <c r="L3623" s="116">
        <f>IF($A3623="","",DATE(YEAR($A3623),MONTH($A3623)+IF(AND(IFERROR(N(INDEX(Übersicht!$M$15:$M$22,MATCH($B3623,Übersicht!$A$15:$A$22,0))),0)&gt;1,DAY($A3623)&gt;=IFERROR(N(INDEX(Übersicht!$M$15:$M$22,MATCH($B3623,Übersicht!$A$15:$A$22,0))),0)),1,0),1))</f>
        <v/>
      </c>
    </row>
    <row r="3624">
      <c r="A3624" s="92" t="n"/>
      <c r="B3624" s="55" t="n"/>
      <c r="C3624" s="55" t="n"/>
      <c r="D3624" s="55" t="n"/>
      <c r="E3624" s="93" t="n"/>
      <c r="F3624" s="94" t="n"/>
      <c r="G3624" s="94" t="n"/>
      <c r="H3624" s="94" t="n"/>
      <c r="I3624" s="94" t="n"/>
      <c r="J3624" s="55" t="n"/>
      <c r="K3624" s="95" t="n"/>
      <c r="L3624" s="116">
        <f>IF($A3624="","",DATE(YEAR($A3624),MONTH($A3624)+IF(AND(IFERROR(N(INDEX(Übersicht!$M$15:$M$22,MATCH($B3624,Übersicht!$A$15:$A$22,0))),0)&gt;1,DAY($A3624)&gt;=IFERROR(N(INDEX(Übersicht!$M$15:$M$22,MATCH($B3624,Übersicht!$A$15:$A$22,0))),0)),1,0),1))</f>
        <v/>
      </c>
    </row>
    <row r="3625">
      <c r="A3625" s="92" t="n"/>
      <c r="B3625" s="55" t="n"/>
      <c r="C3625" s="55" t="n"/>
      <c r="D3625" s="55" t="n"/>
      <c r="E3625" s="93" t="n"/>
      <c r="F3625" s="94" t="n"/>
      <c r="G3625" s="94" t="n"/>
      <c r="H3625" s="94" t="n"/>
      <c r="I3625" s="94" t="n"/>
      <c r="J3625" s="55" t="n"/>
      <c r="K3625" s="95" t="n"/>
      <c r="L3625" s="116">
        <f>IF($A3625="","",DATE(YEAR($A3625),MONTH($A3625)+IF(AND(IFERROR(N(INDEX(Übersicht!$M$15:$M$22,MATCH($B3625,Übersicht!$A$15:$A$22,0))),0)&gt;1,DAY($A3625)&gt;=IFERROR(N(INDEX(Übersicht!$M$15:$M$22,MATCH($B3625,Übersicht!$A$15:$A$22,0))),0)),1,0),1))</f>
        <v/>
      </c>
    </row>
    <row r="3626">
      <c r="A3626" s="92" t="n"/>
      <c r="B3626" s="55" t="n"/>
      <c r="C3626" s="55" t="n"/>
      <c r="D3626" s="55" t="n"/>
      <c r="E3626" s="93" t="n"/>
      <c r="F3626" s="94" t="n"/>
      <c r="G3626" s="94" t="n"/>
      <c r="H3626" s="94" t="n"/>
      <c r="I3626" s="94" t="n"/>
      <c r="J3626" s="55" t="n"/>
      <c r="K3626" s="95" t="n"/>
      <c r="L3626" s="116">
        <f>IF($A3626="","",DATE(YEAR($A3626),MONTH($A3626)+IF(AND(IFERROR(N(INDEX(Übersicht!$M$15:$M$22,MATCH($B3626,Übersicht!$A$15:$A$22,0))),0)&gt;1,DAY($A3626)&gt;=IFERROR(N(INDEX(Übersicht!$M$15:$M$22,MATCH($B3626,Übersicht!$A$15:$A$22,0))),0)),1,0),1))</f>
        <v/>
      </c>
    </row>
    <row r="3627">
      <c r="A3627" s="92" t="n"/>
      <c r="B3627" s="55" t="n"/>
      <c r="C3627" s="55" t="n"/>
      <c r="D3627" s="55" t="n"/>
      <c r="E3627" s="93" t="n"/>
      <c r="F3627" s="94" t="n"/>
      <c r="G3627" s="94" t="n"/>
      <c r="H3627" s="94" t="n"/>
      <c r="I3627" s="94" t="n"/>
      <c r="J3627" s="55" t="n"/>
      <c r="K3627" s="95" t="n"/>
      <c r="L3627" s="116">
        <f>IF($A3627="","",DATE(YEAR($A3627),MONTH($A3627)+IF(AND(IFERROR(N(INDEX(Übersicht!$M$15:$M$22,MATCH($B3627,Übersicht!$A$15:$A$22,0))),0)&gt;1,DAY($A3627)&gt;=IFERROR(N(INDEX(Übersicht!$M$15:$M$22,MATCH($B3627,Übersicht!$A$15:$A$22,0))),0)),1,0),1))</f>
        <v/>
      </c>
    </row>
    <row r="3628">
      <c r="A3628" s="92" t="n"/>
      <c r="B3628" s="55" t="n"/>
      <c r="C3628" s="55" t="n"/>
      <c r="D3628" s="55" t="n"/>
      <c r="E3628" s="93" t="n"/>
      <c r="F3628" s="94" t="n"/>
      <c r="G3628" s="94" t="n"/>
      <c r="H3628" s="94" t="n"/>
      <c r="I3628" s="94" t="n"/>
      <c r="J3628" s="55" t="n"/>
      <c r="K3628" s="95" t="n"/>
      <c r="L3628" s="116">
        <f>IF($A3628="","",DATE(YEAR($A3628),MONTH($A3628)+IF(AND(IFERROR(N(INDEX(Übersicht!$M$15:$M$22,MATCH($B3628,Übersicht!$A$15:$A$22,0))),0)&gt;1,DAY($A3628)&gt;=IFERROR(N(INDEX(Übersicht!$M$15:$M$22,MATCH($B3628,Übersicht!$A$15:$A$22,0))),0)),1,0),1))</f>
        <v/>
      </c>
    </row>
    <row r="3629">
      <c r="A3629" s="92" t="n"/>
      <c r="B3629" s="55" t="n"/>
      <c r="C3629" s="55" t="n"/>
      <c r="D3629" s="55" t="n"/>
      <c r="E3629" s="93" t="n"/>
      <c r="F3629" s="94" t="n"/>
      <c r="G3629" s="94" t="n"/>
      <c r="H3629" s="94" t="n"/>
      <c r="I3629" s="94" t="n"/>
      <c r="J3629" s="55" t="n"/>
      <c r="K3629" s="95" t="n"/>
      <c r="L3629" s="116">
        <f>IF($A3629="","",DATE(YEAR($A3629),MONTH($A3629)+IF(AND(IFERROR(N(INDEX(Übersicht!$M$15:$M$22,MATCH($B3629,Übersicht!$A$15:$A$22,0))),0)&gt;1,DAY($A3629)&gt;=IFERROR(N(INDEX(Übersicht!$M$15:$M$22,MATCH($B3629,Übersicht!$A$15:$A$22,0))),0)),1,0),1))</f>
        <v/>
      </c>
    </row>
    <row r="3630">
      <c r="A3630" s="92" t="n"/>
      <c r="B3630" s="55" t="n"/>
      <c r="C3630" s="55" t="n"/>
      <c r="D3630" s="55" t="n"/>
      <c r="E3630" s="93" t="n"/>
      <c r="F3630" s="94" t="n"/>
      <c r="G3630" s="94" t="n"/>
      <c r="H3630" s="94" t="n"/>
      <c r="I3630" s="94" t="n"/>
      <c r="J3630" s="55" t="n"/>
      <c r="K3630" s="95" t="n"/>
      <c r="L3630" s="116">
        <f>IF($A3630="","",DATE(YEAR($A3630),MONTH($A3630)+IF(AND(IFERROR(N(INDEX(Übersicht!$M$15:$M$22,MATCH($B3630,Übersicht!$A$15:$A$22,0))),0)&gt;1,DAY($A3630)&gt;=IFERROR(N(INDEX(Übersicht!$M$15:$M$22,MATCH($B3630,Übersicht!$A$15:$A$22,0))),0)),1,0),1))</f>
        <v/>
      </c>
    </row>
    <row r="3631">
      <c r="A3631" s="92" t="n"/>
      <c r="B3631" s="55" t="n"/>
      <c r="C3631" s="55" t="n"/>
      <c r="D3631" s="55" t="n"/>
      <c r="E3631" s="93" t="n"/>
      <c r="F3631" s="94" t="n"/>
      <c r="G3631" s="94" t="n"/>
      <c r="H3631" s="94" t="n"/>
      <c r="I3631" s="94" t="n"/>
      <c r="J3631" s="55" t="n"/>
      <c r="K3631" s="95" t="n"/>
      <c r="L3631" s="116">
        <f>IF($A3631="","",DATE(YEAR($A3631),MONTH($A3631)+IF(AND(IFERROR(N(INDEX(Übersicht!$M$15:$M$22,MATCH($B3631,Übersicht!$A$15:$A$22,0))),0)&gt;1,DAY($A3631)&gt;=IFERROR(N(INDEX(Übersicht!$M$15:$M$22,MATCH($B3631,Übersicht!$A$15:$A$22,0))),0)),1,0),1))</f>
        <v/>
      </c>
    </row>
    <row r="3632">
      <c r="A3632" s="92" t="n"/>
      <c r="B3632" s="55" t="n"/>
      <c r="C3632" s="55" t="n"/>
      <c r="D3632" s="55" t="n"/>
      <c r="E3632" s="93" t="n"/>
      <c r="F3632" s="94" t="n"/>
      <c r="G3632" s="94" t="n"/>
      <c r="H3632" s="94" t="n"/>
      <c r="I3632" s="94" t="n"/>
      <c r="J3632" s="55" t="n"/>
      <c r="K3632" s="95" t="n"/>
      <c r="L3632" s="116">
        <f>IF($A3632="","",DATE(YEAR($A3632),MONTH($A3632)+IF(AND(IFERROR(N(INDEX(Übersicht!$M$15:$M$22,MATCH($B3632,Übersicht!$A$15:$A$22,0))),0)&gt;1,DAY($A3632)&gt;=IFERROR(N(INDEX(Übersicht!$M$15:$M$22,MATCH($B3632,Übersicht!$A$15:$A$22,0))),0)),1,0),1))</f>
        <v/>
      </c>
    </row>
    <row r="3633">
      <c r="A3633" s="92" t="n"/>
      <c r="B3633" s="55" t="n"/>
      <c r="C3633" s="55" t="n"/>
      <c r="D3633" s="55" t="n"/>
      <c r="E3633" s="93" t="n"/>
      <c r="F3633" s="94" t="n"/>
      <c r="G3633" s="94" t="n"/>
      <c r="H3633" s="94" t="n"/>
      <c r="I3633" s="94" t="n"/>
      <c r="J3633" s="55" t="n"/>
      <c r="K3633" s="95" t="n"/>
      <c r="L3633" s="116">
        <f>IF($A3633="","",DATE(YEAR($A3633),MONTH($A3633)+IF(AND(IFERROR(N(INDEX(Übersicht!$M$15:$M$22,MATCH($B3633,Übersicht!$A$15:$A$22,0))),0)&gt;1,DAY($A3633)&gt;=IFERROR(N(INDEX(Übersicht!$M$15:$M$22,MATCH($B3633,Übersicht!$A$15:$A$22,0))),0)),1,0),1))</f>
        <v/>
      </c>
    </row>
    <row r="3634">
      <c r="A3634" s="92" t="n"/>
      <c r="B3634" s="55" t="n"/>
      <c r="C3634" s="55" t="n"/>
      <c r="D3634" s="55" t="n"/>
      <c r="E3634" s="93" t="n"/>
      <c r="F3634" s="94" t="n"/>
      <c r="G3634" s="94" t="n"/>
      <c r="H3634" s="94" t="n"/>
      <c r="I3634" s="94" t="n"/>
      <c r="J3634" s="55" t="n"/>
      <c r="K3634" s="95" t="n"/>
      <c r="L3634" s="116">
        <f>IF($A3634="","",DATE(YEAR($A3634),MONTH($A3634)+IF(AND(IFERROR(N(INDEX(Übersicht!$M$15:$M$22,MATCH($B3634,Übersicht!$A$15:$A$22,0))),0)&gt;1,DAY($A3634)&gt;=IFERROR(N(INDEX(Übersicht!$M$15:$M$22,MATCH($B3634,Übersicht!$A$15:$A$22,0))),0)),1,0),1))</f>
        <v/>
      </c>
    </row>
    <row r="3635">
      <c r="A3635" s="92" t="n"/>
      <c r="B3635" s="55" t="n"/>
      <c r="C3635" s="55" t="n"/>
      <c r="D3635" s="55" t="n"/>
      <c r="E3635" s="93" t="n"/>
      <c r="F3635" s="94" t="n"/>
      <c r="G3635" s="94" t="n"/>
      <c r="H3635" s="94" t="n"/>
      <c r="I3635" s="94" t="n"/>
      <c r="J3635" s="55" t="n"/>
      <c r="K3635" s="95" t="n"/>
      <c r="L3635" s="116">
        <f>IF($A3635="","",DATE(YEAR($A3635),MONTH($A3635)+IF(AND(IFERROR(N(INDEX(Übersicht!$M$15:$M$22,MATCH($B3635,Übersicht!$A$15:$A$22,0))),0)&gt;1,DAY($A3635)&gt;=IFERROR(N(INDEX(Übersicht!$M$15:$M$22,MATCH($B3635,Übersicht!$A$15:$A$22,0))),0)),1,0),1))</f>
        <v/>
      </c>
    </row>
    <row r="3636">
      <c r="A3636" s="92" t="n"/>
      <c r="B3636" s="55" t="n"/>
      <c r="C3636" s="55" t="n"/>
      <c r="D3636" s="55" t="n"/>
      <c r="E3636" s="93" t="n"/>
      <c r="F3636" s="94" t="n"/>
      <c r="G3636" s="94" t="n"/>
      <c r="H3636" s="94" t="n"/>
      <c r="I3636" s="94" t="n"/>
      <c r="J3636" s="55" t="n"/>
      <c r="K3636" s="95" t="n"/>
      <c r="L3636" s="116">
        <f>IF($A3636="","",DATE(YEAR($A3636),MONTH($A3636)+IF(AND(IFERROR(N(INDEX(Übersicht!$M$15:$M$22,MATCH($B3636,Übersicht!$A$15:$A$22,0))),0)&gt;1,DAY($A3636)&gt;=IFERROR(N(INDEX(Übersicht!$M$15:$M$22,MATCH($B3636,Übersicht!$A$15:$A$22,0))),0)),1,0),1))</f>
        <v/>
      </c>
    </row>
    <row r="3637">
      <c r="A3637" s="92" t="n"/>
      <c r="B3637" s="55" t="n"/>
      <c r="C3637" s="55" t="n"/>
      <c r="D3637" s="55" t="n"/>
      <c r="E3637" s="93" t="n"/>
      <c r="F3637" s="94" t="n"/>
      <c r="G3637" s="94" t="n"/>
      <c r="H3637" s="94" t="n"/>
      <c r="I3637" s="94" t="n"/>
      <c r="J3637" s="55" t="n"/>
      <c r="K3637" s="95" t="n"/>
      <c r="L3637" s="116">
        <f>IF($A3637="","",DATE(YEAR($A3637),MONTH($A3637)+IF(AND(IFERROR(N(INDEX(Übersicht!$M$15:$M$22,MATCH($B3637,Übersicht!$A$15:$A$22,0))),0)&gt;1,DAY($A3637)&gt;=IFERROR(N(INDEX(Übersicht!$M$15:$M$22,MATCH($B3637,Übersicht!$A$15:$A$22,0))),0)),1,0),1))</f>
        <v/>
      </c>
    </row>
    <row r="3638">
      <c r="A3638" s="92" t="n"/>
      <c r="B3638" s="55" t="n"/>
      <c r="C3638" s="55" t="n"/>
      <c r="D3638" s="55" t="n"/>
      <c r="E3638" s="93" t="n"/>
      <c r="F3638" s="94" t="n"/>
      <c r="G3638" s="94" t="n"/>
      <c r="H3638" s="94" t="n"/>
      <c r="I3638" s="94" t="n"/>
      <c r="J3638" s="55" t="n"/>
      <c r="K3638" s="95" t="n"/>
      <c r="L3638" s="116">
        <f>IF($A3638="","",DATE(YEAR($A3638),MONTH($A3638)+IF(AND(IFERROR(N(INDEX(Übersicht!$M$15:$M$22,MATCH($B3638,Übersicht!$A$15:$A$22,0))),0)&gt;1,DAY($A3638)&gt;=IFERROR(N(INDEX(Übersicht!$M$15:$M$22,MATCH($B3638,Übersicht!$A$15:$A$22,0))),0)),1,0),1))</f>
        <v/>
      </c>
    </row>
    <row r="3639">
      <c r="A3639" s="92" t="n"/>
      <c r="B3639" s="55" t="n"/>
      <c r="C3639" s="55" t="n"/>
      <c r="D3639" s="55" t="n"/>
      <c r="E3639" s="93" t="n"/>
      <c r="F3639" s="94" t="n"/>
      <c r="G3639" s="94" t="n"/>
      <c r="H3639" s="94" t="n"/>
      <c r="I3639" s="94" t="n"/>
      <c r="J3639" s="55" t="n"/>
      <c r="K3639" s="95" t="n"/>
      <c r="L3639" s="116">
        <f>IF($A3639="","",DATE(YEAR($A3639),MONTH($A3639)+IF(AND(IFERROR(N(INDEX(Übersicht!$M$15:$M$22,MATCH($B3639,Übersicht!$A$15:$A$22,0))),0)&gt;1,DAY($A3639)&gt;=IFERROR(N(INDEX(Übersicht!$M$15:$M$22,MATCH($B3639,Übersicht!$A$15:$A$22,0))),0)),1,0),1))</f>
        <v/>
      </c>
    </row>
    <row r="3640">
      <c r="A3640" s="92" t="n"/>
      <c r="B3640" s="55" t="n"/>
      <c r="C3640" s="55" t="n"/>
      <c r="D3640" s="55" t="n"/>
      <c r="E3640" s="93" t="n"/>
      <c r="F3640" s="94" t="n"/>
      <c r="G3640" s="94" t="n"/>
      <c r="H3640" s="94" t="n"/>
      <c r="I3640" s="94" t="n"/>
      <c r="J3640" s="55" t="n"/>
      <c r="K3640" s="95" t="n"/>
      <c r="L3640" s="116">
        <f>IF($A3640="","",DATE(YEAR($A3640),MONTH($A3640)+IF(AND(IFERROR(N(INDEX(Übersicht!$M$15:$M$22,MATCH($B3640,Übersicht!$A$15:$A$22,0))),0)&gt;1,DAY($A3640)&gt;=IFERROR(N(INDEX(Übersicht!$M$15:$M$22,MATCH($B3640,Übersicht!$A$15:$A$22,0))),0)),1,0),1))</f>
        <v/>
      </c>
    </row>
    <row r="3641">
      <c r="A3641" s="92" t="n"/>
      <c r="B3641" s="55" t="n"/>
      <c r="C3641" s="55" t="n"/>
      <c r="D3641" s="55" t="n"/>
      <c r="E3641" s="93" t="n"/>
      <c r="F3641" s="94" t="n"/>
      <c r="G3641" s="94" t="n"/>
      <c r="H3641" s="94" t="n"/>
      <c r="I3641" s="94" t="n"/>
      <c r="J3641" s="55" t="n"/>
      <c r="K3641" s="95" t="n"/>
      <c r="L3641" s="116">
        <f>IF($A3641="","",DATE(YEAR($A3641),MONTH($A3641)+IF(AND(IFERROR(N(INDEX(Übersicht!$M$15:$M$22,MATCH($B3641,Übersicht!$A$15:$A$22,0))),0)&gt;1,DAY($A3641)&gt;=IFERROR(N(INDEX(Übersicht!$M$15:$M$22,MATCH($B3641,Übersicht!$A$15:$A$22,0))),0)),1,0),1))</f>
        <v/>
      </c>
    </row>
    <row r="3642">
      <c r="A3642" s="92" t="n"/>
      <c r="B3642" s="55" t="n"/>
      <c r="C3642" s="55" t="n"/>
      <c r="D3642" s="55" t="n"/>
      <c r="E3642" s="93" t="n"/>
      <c r="F3642" s="94" t="n"/>
      <c r="G3642" s="94" t="n"/>
      <c r="H3642" s="94" t="n"/>
      <c r="I3642" s="94" t="n"/>
      <c r="J3642" s="55" t="n"/>
      <c r="K3642" s="95" t="n"/>
      <c r="L3642" s="116">
        <f>IF($A3642="","",DATE(YEAR($A3642),MONTH($A3642)+IF(AND(IFERROR(N(INDEX(Übersicht!$M$15:$M$22,MATCH($B3642,Übersicht!$A$15:$A$22,0))),0)&gt;1,DAY($A3642)&gt;=IFERROR(N(INDEX(Übersicht!$M$15:$M$22,MATCH($B3642,Übersicht!$A$15:$A$22,0))),0)),1,0),1))</f>
        <v/>
      </c>
    </row>
    <row r="3643">
      <c r="A3643" s="92" t="n"/>
      <c r="B3643" s="55" t="n"/>
      <c r="C3643" s="55" t="n"/>
      <c r="D3643" s="55" t="n"/>
      <c r="E3643" s="93" t="n"/>
      <c r="F3643" s="94" t="n"/>
      <c r="G3643" s="94" t="n"/>
      <c r="H3643" s="94" t="n"/>
      <c r="I3643" s="94" t="n"/>
      <c r="J3643" s="55" t="n"/>
      <c r="K3643" s="95" t="n"/>
      <c r="L3643" s="116">
        <f>IF($A3643="","",DATE(YEAR($A3643),MONTH($A3643)+IF(AND(IFERROR(N(INDEX(Übersicht!$M$15:$M$22,MATCH($B3643,Übersicht!$A$15:$A$22,0))),0)&gt;1,DAY($A3643)&gt;=IFERROR(N(INDEX(Übersicht!$M$15:$M$22,MATCH($B3643,Übersicht!$A$15:$A$22,0))),0)),1,0),1))</f>
        <v/>
      </c>
    </row>
    <row r="3644">
      <c r="A3644" s="92" t="n"/>
      <c r="B3644" s="55" t="n"/>
      <c r="C3644" s="55" t="n"/>
      <c r="D3644" s="55" t="n"/>
      <c r="E3644" s="93" t="n"/>
      <c r="F3644" s="94" t="n"/>
      <c r="G3644" s="94" t="n"/>
      <c r="H3644" s="94" t="n"/>
      <c r="I3644" s="94" t="n"/>
      <c r="J3644" s="55" t="n"/>
      <c r="K3644" s="95" t="n"/>
      <c r="L3644" s="116">
        <f>IF($A3644="","",DATE(YEAR($A3644),MONTH($A3644)+IF(AND(IFERROR(N(INDEX(Übersicht!$M$15:$M$22,MATCH($B3644,Übersicht!$A$15:$A$22,0))),0)&gt;1,DAY($A3644)&gt;=IFERROR(N(INDEX(Übersicht!$M$15:$M$22,MATCH($B3644,Übersicht!$A$15:$A$22,0))),0)),1,0),1))</f>
        <v/>
      </c>
    </row>
    <row r="3645">
      <c r="A3645" s="92" t="n"/>
      <c r="B3645" s="55" t="n"/>
      <c r="C3645" s="55" t="n"/>
      <c r="D3645" s="55" t="n"/>
      <c r="E3645" s="93" t="n"/>
      <c r="F3645" s="94" t="n"/>
      <c r="G3645" s="94" t="n"/>
      <c r="H3645" s="94" t="n"/>
      <c r="I3645" s="94" t="n"/>
      <c r="J3645" s="55" t="n"/>
      <c r="K3645" s="95" t="n"/>
      <c r="L3645" s="116">
        <f>IF($A3645="","",DATE(YEAR($A3645),MONTH($A3645)+IF(AND(IFERROR(N(INDEX(Übersicht!$M$15:$M$22,MATCH($B3645,Übersicht!$A$15:$A$22,0))),0)&gt;1,DAY($A3645)&gt;=IFERROR(N(INDEX(Übersicht!$M$15:$M$22,MATCH($B3645,Übersicht!$A$15:$A$22,0))),0)),1,0),1))</f>
        <v/>
      </c>
    </row>
    <row r="3646">
      <c r="A3646" s="92" t="n"/>
      <c r="B3646" s="55" t="n"/>
      <c r="C3646" s="55" t="n"/>
      <c r="D3646" s="55" t="n"/>
      <c r="E3646" s="93" t="n"/>
      <c r="F3646" s="94" t="n"/>
      <c r="G3646" s="94" t="n"/>
      <c r="H3646" s="94" t="n"/>
      <c r="I3646" s="94" t="n"/>
      <c r="J3646" s="55" t="n"/>
      <c r="K3646" s="95" t="n"/>
      <c r="L3646" s="116">
        <f>IF($A3646="","",DATE(YEAR($A3646),MONTH($A3646)+IF(AND(IFERROR(N(INDEX(Übersicht!$M$15:$M$22,MATCH($B3646,Übersicht!$A$15:$A$22,0))),0)&gt;1,DAY($A3646)&gt;=IFERROR(N(INDEX(Übersicht!$M$15:$M$22,MATCH($B3646,Übersicht!$A$15:$A$22,0))),0)),1,0),1))</f>
        <v/>
      </c>
    </row>
    <row r="3647">
      <c r="A3647" s="92" t="n"/>
      <c r="B3647" s="55" t="n"/>
      <c r="C3647" s="55" t="n"/>
      <c r="D3647" s="55" t="n"/>
      <c r="E3647" s="93" t="n"/>
      <c r="F3647" s="94" t="n"/>
      <c r="G3647" s="94" t="n"/>
      <c r="H3647" s="94" t="n"/>
      <c r="I3647" s="94" t="n"/>
      <c r="J3647" s="55" t="n"/>
      <c r="K3647" s="95" t="n"/>
      <c r="L3647" s="116">
        <f>IF($A3647="","",DATE(YEAR($A3647),MONTH($A3647)+IF(AND(IFERROR(N(INDEX(Übersicht!$M$15:$M$22,MATCH($B3647,Übersicht!$A$15:$A$22,0))),0)&gt;1,DAY($A3647)&gt;=IFERROR(N(INDEX(Übersicht!$M$15:$M$22,MATCH($B3647,Übersicht!$A$15:$A$22,0))),0)),1,0),1))</f>
        <v/>
      </c>
    </row>
    <row r="3648">
      <c r="A3648" s="92" t="n"/>
      <c r="B3648" s="55" t="n"/>
      <c r="C3648" s="55" t="n"/>
      <c r="D3648" s="55" t="n"/>
      <c r="E3648" s="93" t="n"/>
      <c r="F3648" s="94" t="n"/>
      <c r="G3648" s="94" t="n"/>
      <c r="H3648" s="94" t="n"/>
      <c r="I3648" s="94" t="n"/>
      <c r="J3648" s="55" t="n"/>
      <c r="K3648" s="95" t="n"/>
      <c r="L3648" s="116">
        <f>IF($A3648="","",DATE(YEAR($A3648),MONTH($A3648)+IF(AND(IFERROR(N(INDEX(Übersicht!$M$15:$M$22,MATCH($B3648,Übersicht!$A$15:$A$22,0))),0)&gt;1,DAY($A3648)&gt;=IFERROR(N(INDEX(Übersicht!$M$15:$M$22,MATCH($B3648,Übersicht!$A$15:$A$22,0))),0)),1,0),1))</f>
        <v/>
      </c>
    </row>
    <row r="3649">
      <c r="A3649" s="92" t="n"/>
      <c r="B3649" s="55" t="n"/>
      <c r="C3649" s="55" t="n"/>
      <c r="D3649" s="55" t="n"/>
      <c r="E3649" s="93" t="n"/>
      <c r="F3649" s="94" t="n"/>
      <c r="G3649" s="94" t="n"/>
      <c r="H3649" s="94" t="n"/>
      <c r="I3649" s="94" t="n"/>
      <c r="J3649" s="55" t="n"/>
      <c r="K3649" s="95" t="n"/>
      <c r="L3649" s="116">
        <f>IF($A3649="","",DATE(YEAR($A3649),MONTH($A3649)+IF(AND(IFERROR(N(INDEX(Übersicht!$M$15:$M$22,MATCH($B3649,Übersicht!$A$15:$A$22,0))),0)&gt;1,DAY($A3649)&gt;=IFERROR(N(INDEX(Übersicht!$M$15:$M$22,MATCH($B3649,Übersicht!$A$15:$A$22,0))),0)),1,0),1))</f>
        <v/>
      </c>
    </row>
    <row r="3650">
      <c r="A3650" s="92" t="n"/>
      <c r="B3650" s="55" t="n"/>
      <c r="C3650" s="55" t="n"/>
      <c r="D3650" s="55" t="n"/>
      <c r="E3650" s="93" t="n"/>
      <c r="F3650" s="94" t="n"/>
      <c r="G3650" s="94" t="n"/>
      <c r="H3650" s="94" t="n"/>
      <c r="I3650" s="94" t="n"/>
      <c r="J3650" s="55" t="n"/>
      <c r="K3650" s="95" t="n"/>
      <c r="L3650" s="116">
        <f>IF($A3650="","",DATE(YEAR($A3650),MONTH($A3650)+IF(AND(IFERROR(N(INDEX(Übersicht!$M$15:$M$22,MATCH($B3650,Übersicht!$A$15:$A$22,0))),0)&gt;1,DAY($A3650)&gt;=IFERROR(N(INDEX(Übersicht!$M$15:$M$22,MATCH($B3650,Übersicht!$A$15:$A$22,0))),0)),1,0),1))</f>
        <v/>
      </c>
    </row>
    <row r="3651">
      <c r="A3651" s="92" t="n"/>
      <c r="B3651" s="55" t="n"/>
      <c r="C3651" s="55" t="n"/>
      <c r="D3651" s="55" t="n"/>
      <c r="E3651" s="93" t="n"/>
      <c r="F3651" s="94" t="n"/>
      <c r="G3651" s="94" t="n"/>
      <c r="H3651" s="94" t="n"/>
      <c r="I3651" s="94" t="n"/>
      <c r="J3651" s="55" t="n"/>
      <c r="K3651" s="95" t="n"/>
      <c r="L3651" s="116">
        <f>IF($A3651="","",DATE(YEAR($A3651),MONTH($A3651)+IF(AND(IFERROR(N(INDEX(Übersicht!$M$15:$M$22,MATCH($B3651,Übersicht!$A$15:$A$22,0))),0)&gt;1,DAY($A3651)&gt;=IFERROR(N(INDEX(Übersicht!$M$15:$M$22,MATCH($B3651,Übersicht!$A$15:$A$22,0))),0)),1,0),1))</f>
        <v/>
      </c>
    </row>
    <row r="3652">
      <c r="A3652" s="92" t="n"/>
      <c r="B3652" s="55" t="n"/>
      <c r="C3652" s="55" t="n"/>
      <c r="D3652" s="55" t="n"/>
      <c r="E3652" s="93" t="n"/>
      <c r="F3652" s="94" t="n"/>
      <c r="G3652" s="94" t="n"/>
      <c r="H3652" s="94" t="n"/>
      <c r="I3652" s="94" t="n"/>
      <c r="J3652" s="55" t="n"/>
      <c r="K3652" s="95" t="n"/>
      <c r="L3652" s="116">
        <f>IF($A3652="","",DATE(YEAR($A3652),MONTH($A3652)+IF(AND(IFERROR(N(INDEX(Übersicht!$M$15:$M$22,MATCH($B3652,Übersicht!$A$15:$A$22,0))),0)&gt;1,DAY($A3652)&gt;=IFERROR(N(INDEX(Übersicht!$M$15:$M$22,MATCH($B3652,Übersicht!$A$15:$A$22,0))),0)),1,0),1))</f>
        <v/>
      </c>
    </row>
    <row r="3653">
      <c r="A3653" s="92" t="n"/>
      <c r="B3653" s="55" t="n"/>
      <c r="C3653" s="55" t="n"/>
      <c r="D3653" s="55" t="n"/>
      <c r="E3653" s="93" t="n"/>
      <c r="F3653" s="94" t="n"/>
      <c r="G3653" s="94" t="n"/>
      <c r="H3653" s="94" t="n"/>
      <c r="I3653" s="94" t="n"/>
      <c r="J3653" s="55" t="n"/>
      <c r="K3653" s="95" t="n"/>
      <c r="L3653" s="116">
        <f>IF($A3653="","",DATE(YEAR($A3653),MONTH($A3653)+IF(AND(IFERROR(N(INDEX(Übersicht!$M$15:$M$22,MATCH($B3653,Übersicht!$A$15:$A$22,0))),0)&gt;1,DAY($A3653)&gt;=IFERROR(N(INDEX(Übersicht!$M$15:$M$22,MATCH($B3653,Übersicht!$A$15:$A$22,0))),0)),1,0),1))</f>
        <v/>
      </c>
    </row>
    <row r="3654">
      <c r="A3654" s="92" t="n"/>
      <c r="B3654" s="55" t="n"/>
      <c r="C3654" s="55" t="n"/>
      <c r="D3654" s="55" t="n"/>
      <c r="E3654" s="93" t="n"/>
      <c r="F3654" s="94" t="n"/>
      <c r="G3654" s="94" t="n"/>
      <c r="H3654" s="94" t="n"/>
      <c r="I3654" s="94" t="n"/>
      <c r="J3654" s="55" t="n"/>
      <c r="K3654" s="95" t="n"/>
      <c r="L3654" s="116">
        <f>IF($A3654="","",DATE(YEAR($A3654),MONTH($A3654)+IF(AND(IFERROR(N(INDEX(Übersicht!$M$15:$M$22,MATCH($B3654,Übersicht!$A$15:$A$22,0))),0)&gt;1,DAY($A3654)&gt;=IFERROR(N(INDEX(Übersicht!$M$15:$M$22,MATCH($B3654,Übersicht!$A$15:$A$22,0))),0)),1,0),1))</f>
        <v/>
      </c>
    </row>
    <row r="3655">
      <c r="A3655" s="92" t="n"/>
      <c r="B3655" s="55" t="n"/>
      <c r="C3655" s="55" t="n"/>
      <c r="D3655" s="55" t="n"/>
      <c r="E3655" s="93" t="n"/>
      <c r="F3655" s="94" t="n"/>
      <c r="G3655" s="94" t="n"/>
      <c r="H3655" s="94" t="n"/>
      <c r="I3655" s="94" t="n"/>
      <c r="J3655" s="55" t="n"/>
      <c r="K3655" s="95" t="n"/>
      <c r="L3655" s="116">
        <f>IF($A3655="","",DATE(YEAR($A3655),MONTH($A3655)+IF(AND(IFERROR(N(INDEX(Übersicht!$M$15:$M$22,MATCH($B3655,Übersicht!$A$15:$A$22,0))),0)&gt;1,DAY($A3655)&gt;=IFERROR(N(INDEX(Übersicht!$M$15:$M$22,MATCH($B3655,Übersicht!$A$15:$A$22,0))),0)),1,0),1))</f>
        <v/>
      </c>
    </row>
    <row r="3656">
      <c r="A3656" s="92" t="n"/>
      <c r="B3656" s="55" t="n"/>
      <c r="C3656" s="55" t="n"/>
      <c r="D3656" s="55" t="n"/>
      <c r="E3656" s="93" t="n"/>
      <c r="F3656" s="94" t="n"/>
      <c r="G3656" s="94" t="n"/>
      <c r="H3656" s="94" t="n"/>
      <c r="I3656" s="94" t="n"/>
      <c r="J3656" s="55" t="n"/>
      <c r="K3656" s="95" t="n"/>
      <c r="L3656" s="116">
        <f>IF($A3656="","",DATE(YEAR($A3656),MONTH($A3656)+IF(AND(IFERROR(N(INDEX(Übersicht!$M$15:$M$22,MATCH($B3656,Übersicht!$A$15:$A$22,0))),0)&gt;1,DAY($A3656)&gt;=IFERROR(N(INDEX(Übersicht!$M$15:$M$22,MATCH($B3656,Übersicht!$A$15:$A$22,0))),0)),1,0),1))</f>
        <v/>
      </c>
    </row>
    <row r="3657">
      <c r="A3657" s="92" t="n"/>
      <c r="B3657" s="55" t="n"/>
      <c r="C3657" s="55" t="n"/>
      <c r="D3657" s="55" t="n"/>
      <c r="E3657" s="93" t="n"/>
      <c r="F3657" s="94" t="n"/>
      <c r="G3657" s="94" t="n"/>
      <c r="H3657" s="94" t="n"/>
      <c r="I3657" s="94" t="n"/>
      <c r="J3657" s="55" t="n"/>
      <c r="K3657" s="95" t="n"/>
      <c r="L3657" s="116">
        <f>IF($A3657="","",DATE(YEAR($A3657),MONTH($A3657)+IF(AND(IFERROR(N(INDEX(Übersicht!$M$15:$M$22,MATCH($B3657,Übersicht!$A$15:$A$22,0))),0)&gt;1,DAY($A3657)&gt;=IFERROR(N(INDEX(Übersicht!$M$15:$M$22,MATCH($B3657,Übersicht!$A$15:$A$22,0))),0)),1,0),1))</f>
        <v/>
      </c>
    </row>
    <row r="3658">
      <c r="A3658" s="92" t="n"/>
      <c r="B3658" s="55" t="n"/>
      <c r="C3658" s="55" t="n"/>
      <c r="D3658" s="55" t="n"/>
      <c r="E3658" s="93" t="n"/>
      <c r="F3658" s="94" t="n"/>
      <c r="G3658" s="94" t="n"/>
      <c r="H3658" s="94" t="n"/>
      <c r="I3658" s="94" t="n"/>
      <c r="J3658" s="55" t="n"/>
      <c r="K3658" s="95" t="n"/>
      <c r="L3658" s="116">
        <f>IF($A3658="","",DATE(YEAR($A3658),MONTH($A3658)+IF(AND(IFERROR(N(INDEX(Übersicht!$M$15:$M$22,MATCH($B3658,Übersicht!$A$15:$A$22,0))),0)&gt;1,DAY($A3658)&gt;=IFERROR(N(INDEX(Übersicht!$M$15:$M$22,MATCH($B3658,Übersicht!$A$15:$A$22,0))),0)),1,0),1))</f>
        <v/>
      </c>
    </row>
    <row r="3659">
      <c r="A3659" s="92" t="n"/>
      <c r="B3659" s="55" t="n"/>
      <c r="C3659" s="55" t="n"/>
      <c r="D3659" s="55" t="n"/>
      <c r="E3659" s="93" t="n"/>
      <c r="F3659" s="94" t="n"/>
      <c r="G3659" s="94" t="n"/>
      <c r="H3659" s="94" t="n"/>
      <c r="I3659" s="94" t="n"/>
      <c r="J3659" s="55" t="n"/>
      <c r="K3659" s="95" t="n"/>
      <c r="L3659" s="116">
        <f>IF($A3659="","",DATE(YEAR($A3659),MONTH($A3659)+IF(AND(IFERROR(N(INDEX(Übersicht!$M$15:$M$22,MATCH($B3659,Übersicht!$A$15:$A$22,0))),0)&gt;1,DAY($A3659)&gt;=IFERROR(N(INDEX(Übersicht!$M$15:$M$22,MATCH($B3659,Übersicht!$A$15:$A$22,0))),0)),1,0),1))</f>
        <v/>
      </c>
    </row>
    <row r="3660">
      <c r="A3660" s="92" t="n"/>
      <c r="B3660" s="55" t="n"/>
      <c r="C3660" s="55" t="n"/>
      <c r="D3660" s="55" t="n"/>
      <c r="E3660" s="93" t="n"/>
      <c r="F3660" s="94" t="n"/>
      <c r="G3660" s="94" t="n"/>
      <c r="H3660" s="94" t="n"/>
      <c r="I3660" s="94" t="n"/>
      <c r="J3660" s="55" t="n"/>
      <c r="K3660" s="95" t="n"/>
      <c r="L3660" s="116">
        <f>IF($A3660="","",DATE(YEAR($A3660),MONTH($A3660)+IF(AND(IFERROR(N(INDEX(Übersicht!$M$15:$M$22,MATCH($B3660,Übersicht!$A$15:$A$22,0))),0)&gt;1,DAY($A3660)&gt;=IFERROR(N(INDEX(Übersicht!$M$15:$M$22,MATCH($B3660,Übersicht!$A$15:$A$22,0))),0)),1,0),1))</f>
        <v/>
      </c>
    </row>
    <row r="3661">
      <c r="A3661" s="92" t="n"/>
      <c r="B3661" s="55" t="n"/>
      <c r="C3661" s="55" t="n"/>
      <c r="D3661" s="55" t="n"/>
      <c r="E3661" s="93" t="n"/>
      <c r="F3661" s="94" t="n"/>
      <c r="G3661" s="94" t="n"/>
      <c r="H3661" s="94" t="n"/>
      <c r="I3661" s="94" t="n"/>
      <c r="J3661" s="55" t="n"/>
      <c r="K3661" s="95" t="n"/>
      <c r="L3661" s="116">
        <f>IF($A3661="","",DATE(YEAR($A3661),MONTH($A3661)+IF(AND(IFERROR(N(INDEX(Übersicht!$M$15:$M$22,MATCH($B3661,Übersicht!$A$15:$A$22,0))),0)&gt;1,DAY($A3661)&gt;=IFERROR(N(INDEX(Übersicht!$M$15:$M$22,MATCH($B3661,Übersicht!$A$15:$A$22,0))),0)),1,0),1))</f>
        <v/>
      </c>
    </row>
    <row r="3662">
      <c r="A3662" s="92" t="n"/>
      <c r="B3662" s="55" t="n"/>
      <c r="C3662" s="55" t="n"/>
      <c r="D3662" s="55" t="n"/>
      <c r="E3662" s="93" t="n"/>
      <c r="F3662" s="94" t="n"/>
      <c r="G3662" s="94" t="n"/>
      <c r="H3662" s="94" t="n"/>
      <c r="I3662" s="94" t="n"/>
      <c r="J3662" s="55" t="n"/>
      <c r="K3662" s="95" t="n"/>
      <c r="L3662" s="116">
        <f>IF($A3662="","",DATE(YEAR($A3662),MONTH($A3662)+IF(AND(IFERROR(N(INDEX(Übersicht!$M$15:$M$22,MATCH($B3662,Übersicht!$A$15:$A$22,0))),0)&gt;1,DAY($A3662)&gt;=IFERROR(N(INDEX(Übersicht!$M$15:$M$22,MATCH($B3662,Übersicht!$A$15:$A$22,0))),0)),1,0),1))</f>
        <v/>
      </c>
    </row>
    <row r="3663">
      <c r="A3663" s="92" t="n"/>
      <c r="B3663" s="55" t="n"/>
      <c r="C3663" s="55" t="n"/>
      <c r="D3663" s="55" t="n"/>
      <c r="E3663" s="93" t="n"/>
      <c r="F3663" s="94" t="n"/>
      <c r="G3663" s="94" t="n"/>
      <c r="H3663" s="94" t="n"/>
      <c r="I3663" s="94" t="n"/>
      <c r="J3663" s="55" t="n"/>
      <c r="K3663" s="95" t="n"/>
      <c r="L3663" s="116">
        <f>IF($A3663="","",DATE(YEAR($A3663),MONTH($A3663)+IF(AND(IFERROR(N(INDEX(Übersicht!$M$15:$M$22,MATCH($B3663,Übersicht!$A$15:$A$22,0))),0)&gt;1,DAY($A3663)&gt;=IFERROR(N(INDEX(Übersicht!$M$15:$M$22,MATCH($B3663,Übersicht!$A$15:$A$22,0))),0)),1,0),1))</f>
        <v/>
      </c>
    </row>
    <row r="3664">
      <c r="A3664" s="92" t="n"/>
      <c r="B3664" s="55" t="n"/>
      <c r="C3664" s="55" t="n"/>
      <c r="D3664" s="55" t="n"/>
      <c r="E3664" s="93" t="n"/>
      <c r="F3664" s="94" t="n"/>
      <c r="G3664" s="94" t="n"/>
      <c r="H3664" s="94" t="n"/>
      <c r="I3664" s="94" t="n"/>
      <c r="J3664" s="55" t="n"/>
      <c r="K3664" s="95" t="n"/>
      <c r="L3664" s="116">
        <f>IF($A3664="","",DATE(YEAR($A3664),MONTH($A3664)+IF(AND(IFERROR(N(INDEX(Übersicht!$M$15:$M$22,MATCH($B3664,Übersicht!$A$15:$A$22,0))),0)&gt;1,DAY($A3664)&gt;=IFERROR(N(INDEX(Übersicht!$M$15:$M$22,MATCH($B3664,Übersicht!$A$15:$A$22,0))),0)),1,0),1))</f>
        <v/>
      </c>
    </row>
    <row r="3665">
      <c r="A3665" s="92" t="n"/>
      <c r="B3665" s="55" t="n"/>
      <c r="C3665" s="55" t="n"/>
      <c r="D3665" s="55" t="n"/>
      <c r="E3665" s="93" t="n"/>
      <c r="F3665" s="94" t="n"/>
      <c r="G3665" s="94" t="n"/>
      <c r="H3665" s="94" t="n"/>
      <c r="I3665" s="94" t="n"/>
      <c r="J3665" s="55" t="n"/>
      <c r="K3665" s="95" t="n"/>
      <c r="L3665" s="116">
        <f>IF($A3665="","",DATE(YEAR($A3665),MONTH($A3665)+IF(AND(IFERROR(N(INDEX(Übersicht!$M$15:$M$22,MATCH($B3665,Übersicht!$A$15:$A$22,0))),0)&gt;1,DAY($A3665)&gt;=IFERROR(N(INDEX(Übersicht!$M$15:$M$22,MATCH($B3665,Übersicht!$A$15:$A$22,0))),0)),1,0),1))</f>
        <v/>
      </c>
    </row>
    <row r="3666">
      <c r="A3666" s="92" t="n"/>
      <c r="B3666" s="55" t="n"/>
      <c r="C3666" s="55" t="n"/>
      <c r="D3666" s="55" t="n"/>
      <c r="E3666" s="93" t="n"/>
      <c r="F3666" s="94" t="n"/>
      <c r="G3666" s="94" t="n"/>
      <c r="H3666" s="94" t="n"/>
      <c r="I3666" s="94" t="n"/>
      <c r="J3666" s="55" t="n"/>
      <c r="K3666" s="95" t="n"/>
      <c r="L3666" s="116">
        <f>IF($A3666="","",DATE(YEAR($A3666),MONTH($A3666)+IF(AND(IFERROR(N(INDEX(Übersicht!$M$15:$M$22,MATCH($B3666,Übersicht!$A$15:$A$22,0))),0)&gt;1,DAY($A3666)&gt;=IFERROR(N(INDEX(Übersicht!$M$15:$M$22,MATCH($B3666,Übersicht!$A$15:$A$22,0))),0)),1,0),1))</f>
        <v/>
      </c>
    </row>
    <row r="3667">
      <c r="A3667" s="92" t="n"/>
      <c r="B3667" s="55" t="n"/>
      <c r="C3667" s="55" t="n"/>
      <c r="D3667" s="55" t="n"/>
      <c r="E3667" s="93" t="n"/>
      <c r="F3667" s="94" t="n"/>
      <c r="G3667" s="94" t="n"/>
      <c r="H3667" s="94" t="n"/>
      <c r="I3667" s="94" t="n"/>
      <c r="J3667" s="55" t="n"/>
      <c r="K3667" s="95" t="n"/>
      <c r="L3667" s="116">
        <f>IF($A3667="","",DATE(YEAR($A3667),MONTH($A3667)+IF(AND(IFERROR(N(INDEX(Übersicht!$M$15:$M$22,MATCH($B3667,Übersicht!$A$15:$A$22,0))),0)&gt;1,DAY($A3667)&gt;=IFERROR(N(INDEX(Übersicht!$M$15:$M$22,MATCH($B3667,Übersicht!$A$15:$A$22,0))),0)),1,0),1))</f>
        <v/>
      </c>
    </row>
    <row r="3668">
      <c r="A3668" s="92" t="n"/>
      <c r="B3668" s="55" t="n"/>
      <c r="C3668" s="55" t="n"/>
      <c r="D3668" s="55" t="n"/>
      <c r="E3668" s="93" t="n"/>
      <c r="F3668" s="94" t="n"/>
      <c r="G3668" s="94" t="n"/>
      <c r="H3668" s="94" t="n"/>
      <c r="I3668" s="94" t="n"/>
      <c r="J3668" s="55" t="n"/>
      <c r="K3668" s="95" t="n"/>
      <c r="L3668" s="116">
        <f>IF($A3668="","",DATE(YEAR($A3668),MONTH($A3668)+IF(AND(IFERROR(N(INDEX(Übersicht!$M$15:$M$22,MATCH($B3668,Übersicht!$A$15:$A$22,0))),0)&gt;1,DAY($A3668)&gt;=IFERROR(N(INDEX(Übersicht!$M$15:$M$22,MATCH($B3668,Übersicht!$A$15:$A$22,0))),0)),1,0),1))</f>
        <v/>
      </c>
    </row>
    <row r="3669">
      <c r="A3669" s="92" t="n"/>
      <c r="B3669" s="55" t="n"/>
      <c r="C3669" s="55" t="n"/>
      <c r="D3669" s="55" t="n"/>
      <c r="E3669" s="93" t="n"/>
      <c r="F3669" s="94" t="n"/>
      <c r="G3669" s="94" t="n"/>
      <c r="H3669" s="94" t="n"/>
      <c r="I3669" s="94" t="n"/>
      <c r="J3669" s="55" t="n"/>
      <c r="K3669" s="95" t="n"/>
      <c r="L3669" s="116">
        <f>IF($A3669="","",DATE(YEAR($A3669),MONTH($A3669)+IF(AND(IFERROR(N(INDEX(Übersicht!$M$15:$M$22,MATCH($B3669,Übersicht!$A$15:$A$22,0))),0)&gt;1,DAY($A3669)&gt;=IFERROR(N(INDEX(Übersicht!$M$15:$M$22,MATCH($B3669,Übersicht!$A$15:$A$22,0))),0)),1,0),1))</f>
        <v/>
      </c>
    </row>
    <row r="3670">
      <c r="A3670" s="92" t="n"/>
      <c r="B3670" s="55" t="n"/>
      <c r="C3670" s="55" t="n"/>
      <c r="D3670" s="55" t="n"/>
      <c r="E3670" s="93" t="n"/>
      <c r="F3670" s="94" t="n"/>
      <c r="G3670" s="94" t="n"/>
      <c r="H3670" s="94" t="n"/>
      <c r="I3670" s="94" t="n"/>
      <c r="J3670" s="55" t="n"/>
      <c r="K3670" s="95" t="n"/>
      <c r="L3670" s="116">
        <f>IF($A3670="","",DATE(YEAR($A3670),MONTH($A3670)+IF(AND(IFERROR(N(INDEX(Übersicht!$M$15:$M$22,MATCH($B3670,Übersicht!$A$15:$A$22,0))),0)&gt;1,DAY($A3670)&gt;=IFERROR(N(INDEX(Übersicht!$M$15:$M$22,MATCH($B3670,Übersicht!$A$15:$A$22,0))),0)),1,0),1))</f>
        <v/>
      </c>
    </row>
    <row r="3671">
      <c r="A3671" s="92" t="n"/>
      <c r="B3671" s="55" t="n"/>
      <c r="C3671" s="55" t="n"/>
      <c r="D3671" s="55" t="n"/>
      <c r="E3671" s="93" t="n"/>
      <c r="F3671" s="94" t="n"/>
      <c r="G3671" s="94" t="n"/>
      <c r="H3671" s="94" t="n"/>
      <c r="I3671" s="94" t="n"/>
      <c r="J3671" s="55" t="n"/>
      <c r="K3671" s="95" t="n"/>
      <c r="L3671" s="116">
        <f>IF($A3671="","",DATE(YEAR($A3671),MONTH($A3671)+IF(AND(IFERROR(N(INDEX(Übersicht!$M$15:$M$22,MATCH($B3671,Übersicht!$A$15:$A$22,0))),0)&gt;1,DAY($A3671)&gt;=IFERROR(N(INDEX(Übersicht!$M$15:$M$22,MATCH($B3671,Übersicht!$A$15:$A$22,0))),0)),1,0),1))</f>
        <v/>
      </c>
    </row>
    <row r="3672">
      <c r="A3672" s="92" t="n"/>
      <c r="B3672" s="55" t="n"/>
      <c r="C3672" s="55" t="n"/>
      <c r="D3672" s="55" t="n"/>
      <c r="E3672" s="93" t="n"/>
      <c r="F3672" s="94" t="n"/>
      <c r="G3672" s="94" t="n"/>
      <c r="H3672" s="94" t="n"/>
      <c r="I3672" s="94" t="n"/>
      <c r="J3672" s="55" t="n"/>
      <c r="K3672" s="95" t="n"/>
      <c r="L3672" s="116">
        <f>IF($A3672="","",DATE(YEAR($A3672),MONTH($A3672)+IF(AND(IFERROR(N(INDEX(Übersicht!$M$15:$M$22,MATCH($B3672,Übersicht!$A$15:$A$22,0))),0)&gt;1,DAY($A3672)&gt;=IFERROR(N(INDEX(Übersicht!$M$15:$M$22,MATCH($B3672,Übersicht!$A$15:$A$22,0))),0)),1,0),1))</f>
        <v/>
      </c>
    </row>
    <row r="3673">
      <c r="A3673" s="92" t="n"/>
      <c r="B3673" s="55" t="n"/>
      <c r="C3673" s="55" t="n"/>
      <c r="D3673" s="55" t="n"/>
      <c r="E3673" s="93" t="n"/>
      <c r="F3673" s="94" t="n"/>
      <c r="G3673" s="94" t="n"/>
      <c r="H3673" s="94" t="n"/>
      <c r="I3673" s="94" t="n"/>
      <c r="J3673" s="55" t="n"/>
      <c r="K3673" s="95" t="n"/>
      <c r="L3673" s="116">
        <f>IF($A3673="","",DATE(YEAR($A3673),MONTH($A3673)+IF(AND(IFERROR(N(INDEX(Übersicht!$M$15:$M$22,MATCH($B3673,Übersicht!$A$15:$A$22,0))),0)&gt;1,DAY($A3673)&gt;=IFERROR(N(INDEX(Übersicht!$M$15:$M$22,MATCH($B3673,Übersicht!$A$15:$A$22,0))),0)),1,0),1))</f>
        <v/>
      </c>
    </row>
    <row r="3674">
      <c r="A3674" s="92" t="n"/>
      <c r="B3674" s="55" t="n"/>
      <c r="C3674" s="55" t="n"/>
      <c r="D3674" s="55" t="n"/>
      <c r="E3674" s="93" t="n"/>
      <c r="F3674" s="94" t="n"/>
      <c r="G3674" s="94" t="n"/>
      <c r="H3674" s="94" t="n"/>
      <c r="I3674" s="94" t="n"/>
      <c r="J3674" s="55" t="n"/>
      <c r="K3674" s="95" t="n"/>
      <c r="L3674" s="116">
        <f>IF($A3674="","",DATE(YEAR($A3674),MONTH($A3674)+IF(AND(IFERROR(N(INDEX(Übersicht!$M$15:$M$22,MATCH($B3674,Übersicht!$A$15:$A$22,0))),0)&gt;1,DAY($A3674)&gt;=IFERROR(N(INDEX(Übersicht!$M$15:$M$22,MATCH($B3674,Übersicht!$A$15:$A$22,0))),0)),1,0),1))</f>
        <v/>
      </c>
    </row>
    <row r="3675">
      <c r="A3675" s="92" t="n"/>
      <c r="B3675" s="55" t="n"/>
      <c r="C3675" s="55" t="n"/>
      <c r="D3675" s="55" t="n"/>
      <c r="E3675" s="93" t="n"/>
      <c r="F3675" s="94" t="n"/>
      <c r="G3675" s="94" t="n"/>
      <c r="H3675" s="94" t="n"/>
      <c r="I3675" s="94" t="n"/>
      <c r="J3675" s="55" t="n"/>
      <c r="K3675" s="95" t="n"/>
      <c r="L3675" s="116">
        <f>IF($A3675="","",DATE(YEAR($A3675),MONTH($A3675)+IF(AND(IFERROR(N(INDEX(Übersicht!$M$15:$M$22,MATCH($B3675,Übersicht!$A$15:$A$22,0))),0)&gt;1,DAY($A3675)&gt;=IFERROR(N(INDEX(Übersicht!$M$15:$M$22,MATCH($B3675,Übersicht!$A$15:$A$22,0))),0)),1,0),1))</f>
        <v/>
      </c>
    </row>
    <row r="3676">
      <c r="A3676" s="92" t="n"/>
      <c r="B3676" s="55" t="n"/>
      <c r="C3676" s="55" t="n"/>
      <c r="D3676" s="55" t="n"/>
      <c r="E3676" s="93" t="n"/>
      <c r="F3676" s="94" t="n"/>
      <c r="G3676" s="94" t="n"/>
      <c r="H3676" s="94" t="n"/>
      <c r="I3676" s="94" t="n"/>
      <c r="J3676" s="55" t="n"/>
      <c r="K3676" s="95" t="n"/>
      <c r="L3676" s="116">
        <f>IF($A3676="","",DATE(YEAR($A3676),MONTH($A3676)+IF(AND(IFERROR(N(INDEX(Übersicht!$M$15:$M$22,MATCH($B3676,Übersicht!$A$15:$A$22,0))),0)&gt;1,DAY($A3676)&gt;=IFERROR(N(INDEX(Übersicht!$M$15:$M$22,MATCH($B3676,Übersicht!$A$15:$A$22,0))),0)),1,0),1))</f>
        <v/>
      </c>
    </row>
    <row r="3677">
      <c r="A3677" s="92" t="n"/>
      <c r="B3677" s="55" t="n"/>
      <c r="C3677" s="55" t="n"/>
      <c r="D3677" s="55" t="n"/>
      <c r="E3677" s="93" t="n"/>
      <c r="F3677" s="94" t="n"/>
      <c r="G3677" s="94" t="n"/>
      <c r="H3677" s="94" t="n"/>
      <c r="I3677" s="94" t="n"/>
      <c r="J3677" s="55" t="n"/>
      <c r="K3677" s="95" t="n"/>
      <c r="L3677" s="116">
        <f>IF($A3677="","",DATE(YEAR($A3677),MONTH($A3677)+IF(AND(IFERROR(N(INDEX(Übersicht!$M$15:$M$22,MATCH($B3677,Übersicht!$A$15:$A$22,0))),0)&gt;1,DAY($A3677)&gt;=IFERROR(N(INDEX(Übersicht!$M$15:$M$22,MATCH($B3677,Übersicht!$A$15:$A$22,0))),0)),1,0),1))</f>
        <v/>
      </c>
    </row>
    <row r="3678">
      <c r="A3678" s="92" t="n"/>
      <c r="B3678" s="55" t="n"/>
      <c r="C3678" s="55" t="n"/>
      <c r="D3678" s="55" t="n"/>
      <c r="E3678" s="93" t="n"/>
      <c r="F3678" s="94" t="n"/>
      <c r="G3678" s="94" t="n"/>
      <c r="H3678" s="94" t="n"/>
      <c r="I3678" s="94" t="n"/>
      <c r="J3678" s="55" t="n"/>
      <c r="K3678" s="95" t="n"/>
      <c r="L3678" s="116">
        <f>IF($A3678="","",DATE(YEAR($A3678),MONTH($A3678)+IF(AND(IFERROR(N(INDEX(Übersicht!$M$15:$M$22,MATCH($B3678,Übersicht!$A$15:$A$22,0))),0)&gt;1,DAY($A3678)&gt;=IFERROR(N(INDEX(Übersicht!$M$15:$M$22,MATCH($B3678,Übersicht!$A$15:$A$22,0))),0)),1,0),1))</f>
        <v/>
      </c>
    </row>
    <row r="3679">
      <c r="A3679" s="92" t="n"/>
      <c r="B3679" s="55" t="n"/>
      <c r="C3679" s="55" t="n"/>
      <c r="D3679" s="55" t="n"/>
      <c r="E3679" s="93" t="n"/>
      <c r="F3679" s="94" t="n"/>
      <c r="G3679" s="94" t="n"/>
      <c r="H3679" s="94" t="n"/>
      <c r="I3679" s="94" t="n"/>
      <c r="J3679" s="55" t="n"/>
      <c r="K3679" s="95" t="n"/>
      <c r="L3679" s="116">
        <f>IF($A3679="","",DATE(YEAR($A3679),MONTH($A3679)+IF(AND(IFERROR(N(INDEX(Übersicht!$M$15:$M$22,MATCH($B3679,Übersicht!$A$15:$A$22,0))),0)&gt;1,DAY($A3679)&gt;=IFERROR(N(INDEX(Übersicht!$M$15:$M$22,MATCH($B3679,Übersicht!$A$15:$A$22,0))),0)),1,0),1))</f>
        <v/>
      </c>
    </row>
    <row r="3680">
      <c r="A3680" s="92" t="n"/>
      <c r="B3680" s="55" t="n"/>
      <c r="C3680" s="55" t="n"/>
      <c r="D3680" s="55" t="n"/>
      <c r="E3680" s="93" t="n"/>
      <c r="F3680" s="94" t="n"/>
      <c r="G3680" s="94" t="n"/>
      <c r="H3680" s="94" t="n"/>
      <c r="I3680" s="94" t="n"/>
      <c r="J3680" s="55" t="n"/>
      <c r="K3680" s="95" t="n"/>
      <c r="L3680" s="116">
        <f>IF($A3680="","",DATE(YEAR($A3680),MONTH($A3680)+IF(AND(IFERROR(N(INDEX(Übersicht!$M$15:$M$22,MATCH($B3680,Übersicht!$A$15:$A$22,0))),0)&gt;1,DAY($A3680)&gt;=IFERROR(N(INDEX(Übersicht!$M$15:$M$22,MATCH($B3680,Übersicht!$A$15:$A$22,0))),0)),1,0),1))</f>
        <v/>
      </c>
    </row>
    <row r="3681">
      <c r="A3681" s="92" t="n"/>
      <c r="B3681" s="55" t="n"/>
      <c r="C3681" s="55" t="n"/>
      <c r="D3681" s="55" t="n"/>
      <c r="E3681" s="93" t="n"/>
      <c r="F3681" s="94" t="n"/>
      <c r="G3681" s="94" t="n"/>
      <c r="H3681" s="94" t="n"/>
      <c r="I3681" s="94" t="n"/>
      <c r="J3681" s="55" t="n"/>
      <c r="K3681" s="95" t="n"/>
      <c r="L3681" s="116">
        <f>IF($A3681="","",DATE(YEAR($A3681),MONTH($A3681)+IF(AND(IFERROR(N(INDEX(Übersicht!$M$15:$M$22,MATCH($B3681,Übersicht!$A$15:$A$22,0))),0)&gt;1,DAY($A3681)&gt;=IFERROR(N(INDEX(Übersicht!$M$15:$M$22,MATCH($B3681,Übersicht!$A$15:$A$22,0))),0)),1,0),1))</f>
        <v/>
      </c>
    </row>
    <row r="3682">
      <c r="A3682" s="92" t="n"/>
      <c r="B3682" s="55" t="n"/>
      <c r="C3682" s="55" t="n"/>
      <c r="D3682" s="55" t="n"/>
      <c r="E3682" s="93" t="n"/>
      <c r="F3682" s="94" t="n"/>
      <c r="G3682" s="94" t="n"/>
      <c r="H3682" s="94" t="n"/>
      <c r="I3682" s="94" t="n"/>
      <c r="J3682" s="55" t="n"/>
      <c r="K3682" s="95" t="n"/>
      <c r="L3682" s="116">
        <f>IF($A3682="","",DATE(YEAR($A3682),MONTH($A3682)+IF(AND(IFERROR(N(INDEX(Übersicht!$M$15:$M$22,MATCH($B3682,Übersicht!$A$15:$A$22,0))),0)&gt;1,DAY($A3682)&gt;=IFERROR(N(INDEX(Übersicht!$M$15:$M$22,MATCH($B3682,Übersicht!$A$15:$A$22,0))),0)),1,0),1))</f>
        <v/>
      </c>
    </row>
    <row r="3683">
      <c r="A3683" s="92" t="n"/>
      <c r="B3683" s="55" t="n"/>
      <c r="C3683" s="55" t="n"/>
      <c r="D3683" s="55" t="n"/>
      <c r="E3683" s="93" t="n"/>
      <c r="F3683" s="94" t="n"/>
      <c r="G3683" s="94" t="n"/>
      <c r="H3683" s="94" t="n"/>
      <c r="I3683" s="94" t="n"/>
      <c r="J3683" s="55" t="n"/>
      <c r="K3683" s="95" t="n"/>
      <c r="L3683" s="116">
        <f>IF($A3683="","",DATE(YEAR($A3683),MONTH($A3683)+IF(AND(IFERROR(N(INDEX(Übersicht!$M$15:$M$22,MATCH($B3683,Übersicht!$A$15:$A$22,0))),0)&gt;1,DAY($A3683)&gt;=IFERROR(N(INDEX(Übersicht!$M$15:$M$22,MATCH($B3683,Übersicht!$A$15:$A$22,0))),0)),1,0),1))</f>
        <v/>
      </c>
    </row>
    <row r="3684">
      <c r="A3684" s="92" t="n"/>
      <c r="B3684" s="55" t="n"/>
      <c r="C3684" s="55" t="n"/>
      <c r="D3684" s="55" t="n"/>
      <c r="E3684" s="93" t="n"/>
      <c r="F3684" s="94" t="n"/>
      <c r="G3684" s="94" t="n"/>
      <c r="H3684" s="94" t="n"/>
      <c r="I3684" s="94" t="n"/>
      <c r="J3684" s="55" t="n"/>
      <c r="K3684" s="95" t="n"/>
      <c r="L3684" s="116">
        <f>IF($A3684="","",DATE(YEAR($A3684),MONTH($A3684)+IF(AND(IFERROR(N(INDEX(Übersicht!$M$15:$M$22,MATCH($B3684,Übersicht!$A$15:$A$22,0))),0)&gt;1,DAY($A3684)&gt;=IFERROR(N(INDEX(Übersicht!$M$15:$M$22,MATCH($B3684,Übersicht!$A$15:$A$22,0))),0)),1,0),1))</f>
        <v/>
      </c>
    </row>
    <row r="3685">
      <c r="A3685" s="92" t="n"/>
      <c r="B3685" s="55" t="n"/>
      <c r="C3685" s="55" t="n"/>
      <c r="D3685" s="55" t="n"/>
      <c r="E3685" s="93" t="n"/>
      <c r="F3685" s="94" t="n"/>
      <c r="G3685" s="94" t="n"/>
      <c r="H3685" s="94" t="n"/>
      <c r="I3685" s="94" t="n"/>
      <c r="J3685" s="55" t="n"/>
      <c r="K3685" s="95" t="n"/>
      <c r="L3685" s="116">
        <f>IF($A3685="","",DATE(YEAR($A3685),MONTH($A3685)+IF(AND(IFERROR(N(INDEX(Übersicht!$M$15:$M$22,MATCH($B3685,Übersicht!$A$15:$A$22,0))),0)&gt;1,DAY($A3685)&gt;=IFERROR(N(INDEX(Übersicht!$M$15:$M$22,MATCH($B3685,Übersicht!$A$15:$A$22,0))),0)),1,0),1))</f>
        <v/>
      </c>
    </row>
    <row r="3686">
      <c r="A3686" s="92" t="n"/>
      <c r="B3686" s="55" t="n"/>
      <c r="C3686" s="55" t="n"/>
      <c r="D3686" s="55" t="n"/>
      <c r="E3686" s="93" t="n"/>
      <c r="F3686" s="94" t="n"/>
      <c r="G3686" s="94" t="n"/>
      <c r="H3686" s="94" t="n"/>
      <c r="I3686" s="94" t="n"/>
      <c r="J3686" s="55" t="n"/>
      <c r="K3686" s="95" t="n"/>
      <c r="L3686" s="116">
        <f>IF($A3686="","",DATE(YEAR($A3686),MONTH($A3686)+IF(AND(IFERROR(N(INDEX(Übersicht!$M$15:$M$22,MATCH($B3686,Übersicht!$A$15:$A$22,0))),0)&gt;1,DAY($A3686)&gt;=IFERROR(N(INDEX(Übersicht!$M$15:$M$22,MATCH($B3686,Übersicht!$A$15:$A$22,0))),0)),1,0),1))</f>
        <v/>
      </c>
    </row>
    <row r="3687">
      <c r="A3687" s="92" t="n"/>
      <c r="B3687" s="55" t="n"/>
      <c r="C3687" s="55" t="n"/>
      <c r="D3687" s="55" t="n"/>
      <c r="E3687" s="93" t="n"/>
      <c r="F3687" s="94" t="n"/>
      <c r="G3687" s="94" t="n"/>
      <c r="H3687" s="94" t="n"/>
      <c r="I3687" s="94" t="n"/>
      <c r="J3687" s="55" t="n"/>
      <c r="K3687" s="95" t="n"/>
      <c r="L3687" s="116">
        <f>IF($A3687="","",DATE(YEAR($A3687),MONTH($A3687)+IF(AND(IFERROR(N(INDEX(Übersicht!$M$15:$M$22,MATCH($B3687,Übersicht!$A$15:$A$22,0))),0)&gt;1,DAY($A3687)&gt;=IFERROR(N(INDEX(Übersicht!$M$15:$M$22,MATCH($B3687,Übersicht!$A$15:$A$22,0))),0)),1,0),1))</f>
        <v/>
      </c>
    </row>
    <row r="3688">
      <c r="A3688" s="92" t="n"/>
      <c r="B3688" s="55" t="n"/>
      <c r="C3688" s="55" t="n"/>
      <c r="D3688" s="55" t="n"/>
      <c r="E3688" s="93" t="n"/>
      <c r="F3688" s="94" t="n"/>
      <c r="G3688" s="94" t="n"/>
      <c r="H3688" s="94" t="n"/>
      <c r="I3688" s="94" t="n"/>
      <c r="J3688" s="55" t="n"/>
      <c r="K3688" s="95" t="n"/>
      <c r="L3688" s="116">
        <f>IF($A3688="","",DATE(YEAR($A3688),MONTH($A3688)+IF(AND(IFERROR(N(INDEX(Übersicht!$M$15:$M$22,MATCH($B3688,Übersicht!$A$15:$A$22,0))),0)&gt;1,DAY($A3688)&gt;=IFERROR(N(INDEX(Übersicht!$M$15:$M$22,MATCH($B3688,Übersicht!$A$15:$A$22,0))),0)),1,0),1))</f>
        <v/>
      </c>
    </row>
    <row r="3689">
      <c r="A3689" s="92" t="n"/>
      <c r="B3689" s="55" t="n"/>
      <c r="C3689" s="55" t="n"/>
      <c r="D3689" s="55" t="n"/>
      <c r="E3689" s="93" t="n"/>
      <c r="F3689" s="94" t="n"/>
      <c r="G3689" s="94" t="n"/>
      <c r="H3689" s="94" t="n"/>
      <c r="I3689" s="94" t="n"/>
      <c r="J3689" s="55" t="n"/>
      <c r="K3689" s="95" t="n"/>
      <c r="L3689" s="116">
        <f>IF($A3689="","",DATE(YEAR($A3689),MONTH($A3689)+IF(AND(IFERROR(N(INDEX(Übersicht!$M$15:$M$22,MATCH($B3689,Übersicht!$A$15:$A$22,0))),0)&gt;1,DAY($A3689)&gt;=IFERROR(N(INDEX(Übersicht!$M$15:$M$22,MATCH($B3689,Übersicht!$A$15:$A$22,0))),0)),1,0),1))</f>
        <v/>
      </c>
    </row>
    <row r="3690">
      <c r="A3690" s="92" t="n"/>
      <c r="B3690" s="55" t="n"/>
      <c r="C3690" s="55" t="n"/>
      <c r="D3690" s="55" t="n"/>
      <c r="E3690" s="93" t="n"/>
      <c r="F3690" s="94" t="n"/>
      <c r="G3690" s="94" t="n"/>
      <c r="H3690" s="94" t="n"/>
      <c r="I3690" s="94" t="n"/>
      <c r="J3690" s="55" t="n"/>
      <c r="K3690" s="95" t="n"/>
      <c r="L3690" s="116">
        <f>IF($A3690="","",DATE(YEAR($A3690),MONTH($A3690)+IF(AND(IFERROR(N(INDEX(Übersicht!$M$15:$M$22,MATCH($B3690,Übersicht!$A$15:$A$22,0))),0)&gt;1,DAY($A3690)&gt;=IFERROR(N(INDEX(Übersicht!$M$15:$M$22,MATCH($B3690,Übersicht!$A$15:$A$22,0))),0)),1,0),1))</f>
        <v/>
      </c>
    </row>
    <row r="3691">
      <c r="A3691" s="92" t="n"/>
      <c r="B3691" s="55" t="n"/>
      <c r="C3691" s="55" t="n"/>
      <c r="D3691" s="55" t="n"/>
      <c r="E3691" s="93" t="n"/>
      <c r="F3691" s="94" t="n"/>
      <c r="G3691" s="94" t="n"/>
      <c r="H3691" s="94" t="n"/>
      <c r="I3691" s="94" t="n"/>
      <c r="J3691" s="55" t="n"/>
      <c r="K3691" s="95" t="n"/>
      <c r="L3691" s="116">
        <f>IF($A3691="","",DATE(YEAR($A3691),MONTH($A3691)+IF(AND(IFERROR(N(INDEX(Übersicht!$M$15:$M$22,MATCH($B3691,Übersicht!$A$15:$A$22,0))),0)&gt;1,DAY($A3691)&gt;=IFERROR(N(INDEX(Übersicht!$M$15:$M$22,MATCH($B3691,Übersicht!$A$15:$A$22,0))),0)),1,0),1))</f>
        <v/>
      </c>
    </row>
    <row r="3692">
      <c r="A3692" s="92" t="n"/>
      <c r="B3692" s="55" t="n"/>
      <c r="C3692" s="55" t="n"/>
      <c r="D3692" s="55" t="n"/>
      <c r="E3692" s="93" t="n"/>
      <c r="F3692" s="94" t="n"/>
      <c r="G3692" s="94" t="n"/>
      <c r="H3692" s="94" t="n"/>
      <c r="I3692" s="94" t="n"/>
      <c r="J3692" s="55" t="n"/>
      <c r="K3692" s="95" t="n"/>
      <c r="L3692" s="116">
        <f>IF($A3692="","",DATE(YEAR($A3692),MONTH($A3692)+IF(AND(IFERROR(N(INDEX(Übersicht!$M$15:$M$22,MATCH($B3692,Übersicht!$A$15:$A$22,0))),0)&gt;1,DAY($A3692)&gt;=IFERROR(N(INDEX(Übersicht!$M$15:$M$22,MATCH($B3692,Übersicht!$A$15:$A$22,0))),0)),1,0),1))</f>
        <v/>
      </c>
    </row>
    <row r="3693">
      <c r="A3693" s="92" t="n"/>
      <c r="B3693" s="55" t="n"/>
      <c r="C3693" s="55" t="n"/>
      <c r="D3693" s="55" t="n"/>
      <c r="E3693" s="93" t="n"/>
      <c r="F3693" s="94" t="n"/>
      <c r="G3693" s="94" t="n"/>
      <c r="H3693" s="94" t="n"/>
      <c r="I3693" s="94" t="n"/>
      <c r="J3693" s="55" t="n"/>
      <c r="K3693" s="95" t="n"/>
      <c r="L3693" s="116">
        <f>IF($A3693="","",DATE(YEAR($A3693),MONTH($A3693)+IF(AND(IFERROR(N(INDEX(Übersicht!$M$15:$M$22,MATCH($B3693,Übersicht!$A$15:$A$22,0))),0)&gt;1,DAY($A3693)&gt;=IFERROR(N(INDEX(Übersicht!$M$15:$M$22,MATCH($B3693,Übersicht!$A$15:$A$22,0))),0)),1,0),1))</f>
        <v/>
      </c>
    </row>
    <row r="3694">
      <c r="A3694" s="92" t="n"/>
      <c r="B3694" s="55" t="n"/>
      <c r="C3694" s="55" t="n"/>
      <c r="D3694" s="55" t="n"/>
      <c r="E3694" s="93" t="n"/>
      <c r="F3694" s="94" t="n"/>
      <c r="G3694" s="94" t="n"/>
      <c r="H3694" s="94" t="n"/>
      <c r="I3694" s="94" t="n"/>
      <c r="J3694" s="55" t="n"/>
      <c r="K3694" s="95" t="n"/>
      <c r="L3694" s="116">
        <f>IF($A3694="","",DATE(YEAR($A3694),MONTH($A3694)+IF(AND(IFERROR(N(INDEX(Übersicht!$M$15:$M$22,MATCH($B3694,Übersicht!$A$15:$A$22,0))),0)&gt;1,DAY($A3694)&gt;=IFERROR(N(INDEX(Übersicht!$M$15:$M$22,MATCH($B3694,Übersicht!$A$15:$A$22,0))),0)),1,0),1))</f>
        <v/>
      </c>
    </row>
    <row r="3695">
      <c r="A3695" s="92" t="n"/>
      <c r="B3695" s="55" t="n"/>
      <c r="C3695" s="55" t="n"/>
      <c r="D3695" s="55" t="n"/>
      <c r="E3695" s="93" t="n"/>
      <c r="F3695" s="94" t="n"/>
      <c r="G3695" s="94" t="n"/>
      <c r="H3695" s="94" t="n"/>
      <c r="I3695" s="94" t="n"/>
      <c r="J3695" s="55" t="n"/>
      <c r="K3695" s="95" t="n"/>
      <c r="L3695" s="116">
        <f>IF($A3695="","",DATE(YEAR($A3695),MONTH($A3695)+IF(AND(IFERROR(N(INDEX(Übersicht!$M$15:$M$22,MATCH($B3695,Übersicht!$A$15:$A$22,0))),0)&gt;1,DAY($A3695)&gt;=IFERROR(N(INDEX(Übersicht!$M$15:$M$22,MATCH($B3695,Übersicht!$A$15:$A$22,0))),0)),1,0),1))</f>
        <v/>
      </c>
    </row>
    <row r="3696">
      <c r="A3696" s="92" t="n"/>
      <c r="B3696" s="55" t="n"/>
      <c r="C3696" s="55" t="n"/>
      <c r="D3696" s="55" t="n"/>
      <c r="E3696" s="93" t="n"/>
      <c r="F3696" s="94" t="n"/>
      <c r="G3696" s="94" t="n"/>
      <c r="H3696" s="94" t="n"/>
      <c r="I3696" s="94" t="n"/>
      <c r="J3696" s="55" t="n"/>
      <c r="K3696" s="95" t="n"/>
      <c r="L3696" s="116">
        <f>IF($A3696="","",DATE(YEAR($A3696),MONTH($A3696)+IF(AND(IFERROR(N(INDEX(Übersicht!$M$15:$M$22,MATCH($B3696,Übersicht!$A$15:$A$22,0))),0)&gt;1,DAY($A3696)&gt;=IFERROR(N(INDEX(Übersicht!$M$15:$M$22,MATCH($B3696,Übersicht!$A$15:$A$22,0))),0)),1,0),1))</f>
        <v/>
      </c>
    </row>
    <row r="3697">
      <c r="A3697" s="92" t="n"/>
      <c r="B3697" s="55" t="n"/>
      <c r="C3697" s="55" t="n"/>
      <c r="D3697" s="55" t="n"/>
      <c r="E3697" s="93" t="n"/>
      <c r="F3697" s="94" t="n"/>
      <c r="G3697" s="94" t="n"/>
      <c r="H3697" s="94" t="n"/>
      <c r="I3697" s="94" t="n"/>
      <c r="J3697" s="55" t="n"/>
      <c r="K3697" s="95" t="n"/>
      <c r="L3697" s="116">
        <f>IF($A3697="","",DATE(YEAR($A3697),MONTH($A3697)+IF(AND(IFERROR(N(INDEX(Übersicht!$M$15:$M$22,MATCH($B3697,Übersicht!$A$15:$A$22,0))),0)&gt;1,DAY($A3697)&gt;=IFERROR(N(INDEX(Übersicht!$M$15:$M$22,MATCH($B3697,Übersicht!$A$15:$A$22,0))),0)),1,0),1))</f>
        <v/>
      </c>
    </row>
    <row r="3698">
      <c r="A3698" s="92" t="n"/>
      <c r="B3698" s="55" t="n"/>
      <c r="C3698" s="55" t="n"/>
      <c r="D3698" s="55" t="n"/>
      <c r="E3698" s="93" t="n"/>
      <c r="F3698" s="94" t="n"/>
      <c r="G3698" s="94" t="n"/>
      <c r="H3698" s="94" t="n"/>
      <c r="I3698" s="94" t="n"/>
      <c r="J3698" s="55" t="n"/>
      <c r="K3698" s="95" t="n"/>
      <c r="L3698" s="116">
        <f>IF($A3698="","",DATE(YEAR($A3698),MONTH($A3698)+IF(AND(IFERROR(N(INDEX(Übersicht!$M$15:$M$22,MATCH($B3698,Übersicht!$A$15:$A$22,0))),0)&gt;1,DAY($A3698)&gt;=IFERROR(N(INDEX(Übersicht!$M$15:$M$22,MATCH($B3698,Übersicht!$A$15:$A$22,0))),0)),1,0),1))</f>
        <v/>
      </c>
    </row>
    <row r="3699">
      <c r="A3699" s="92" t="n"/>
      <c r="B3699" s="55" t="n"/>
      <c r="C3699" s="55" t="n"/>
      <c r="D3699" s="55" t="n"/>
      <c r="E3699" s="93" t="n"/>
      <c r="F3699" s="94" t="n"/>
      <c r="G3699" s="94" t="n"/>
      <c r="H3699" s="94" t="n"/>
      <c r="I3699" s="94" t="n"/>
      <c r="J3699" s="55" t="n"/>
      <c r="K3699" s="95" t="n"/>
      <c r="L3699" s="116">
        <f>IF($A3699="","",DATE(YEAR($A3699),MONTH($A3699)+IF(AND(IFERROR(N(INDEX(Übersicht!$M$15:$M$22,MATCH($B3699,Übersicht!$A$15:$A$22,0))),0)&gt;1,DAY($A3699)&gt;=IFERROR(N(INDEX(Übersicht!$M$15:$M$22,MATCH($B3699,Übersicht!$A$15:$A$22,0))),0)),1,0),1))</f>
        <v/>
      </c>
    </row>
    <row r="3700">
      <c r="A3700" s="92" t="n"/>
      <c r="B3700" s="55" t="n"/>
      <c r="C3700" s="55" t="n"/>
      <c r="D3700" s="55" t="n"/>
      <c r="E3700" s="93" t="n"/>
      <c r="F3700" s="94" t="n"/>
      <c r="G3700" s="94" t="n"/>
      <c r="H3700" s="94" t="n"/>
      <c r="I3700" s="94" t="n"/>
      <c r="J3700" s="55" t="n"/>
      <c r="K3700" s="95" t="n"/>
      <c r="L3700" s="116">
        <f>IF($A3700="","",DATE(YEAR($A3700),MONTH($A3700)+IF(AND(IFERROR(N(INDEX(Übersicht!$M$15:$M$22,MATCH($B3700,Übersicht!$A$15:$A$22,0))),0)&gt;1,DAY($A3700)&gt;=IFERROR(N(INDEX(Übersicht!$M$15:$M$22,MATCH($B3700,Übersicht!$A$15:$A$22,0))),0)),1,0),1))</f>
        <v/>
      </c>
    </row>
    <row r="3701">
      <c r="A3701" s="92" t="n"/>
      <c r="B3701" s="55" t="n"/>
      <c r="C3701" s="55" t="n"/>
      <c r="D3701" s="55" t="n"/>
      <c r="E3701" s="93" t="n"/>
      <c r="F3701" s="94" t="n"/>
      <c r="G3701" s="94" t="n"/>
      <c r="H3701" s="94" t="n"/>
      <c r="I3701" s="94" t="n"/>
      <c r="J3701" s="55" t="n"/>
      <c r="K3701" s="95" t="n"/>
      <c r="L3701" s="116">
        <f>IF($A3701="","",DATE(YEAR($A3701),MONTH($A3701)+IF(AND(IFERROR(N(INDEX(Übersicht!$M$15:$M$22,MATCH($B3701,Übersicht!$A$15:$A$22,0))),0)&gt;1,DAY($A3701)&gt;=IFERROR(N(INDEX(Übersicht!$M$15:$M$22,MATCH($B3701,Übersicht!$A$15:$A$22,0))),0)),1,0),1))</f>
        <v/>
      </c>
    </row>
    <row r="3702">
      <c r="A3702" s="92" t="n"/>
      <c r="B3702" s="55" t="n"/>
      <c r="C3702" s="55" t="n"/>
      <c r="D3702" s="55" t="n"/>
      <c r="E3702" s="93" t="n"/>
      <c r="F3702" s="94" t="n"/>
      <c r="G3702" s="94" t="n"/>
      <c r="H3702" s="94" t="n"/>
      <c r="I3702" s="94" t="n"/>
      <c r="J3702" s="55" t="n"/>
      <c r="K3702" s="95" t="n"/>
      <c r="L3702" s="116">
        <f>IF($A3702="","",DATE(YEAR($A3702),MONTH($A3702)+IF(AND(IFERROR(N(INDEX(Übersicht!$M$15:$M$22,MATCH($B3702,Übersicht!$A$15:$A$22,0))),0)&gt;1,DAY($A3702)&gt;=IFERROR(N(INDEX(Übersicht!$M$15:$M$22,MATCH($B3702,Übersicht!$A$15:$A$22,0))),0)),1,0),1))</f>
        <v/>
      </c>
    </row>
    <row r="3703">
      <c r="A3703" s="92" t="n"/>
      <c r="B3703" s="55" t="n"/>
      <c r="C3703" s="55" t="n"/>
      <c r="D3703" s="55" t="n"/>
      <c r="E3703" s="93" t="n"/>
      <c r="F3703" s="94" t="n"/>
      <c r="G3703" s="94" t="n"/>
      <c r="H3703" s="94" t="n"/>
      <c r="I3703" s="94" t="n"/>
      <c r="J3703" s="55" t="n"/>
      <c r="K3703" s="95" t="n"/>
      <c r="L3703" s="116">
        <f>IF($A3703="","",DATE(YEAR($A3703),MONTH($A3703)+IF(AND(IFERROR(N(INDEX(Übersicht!$M$15:$M$22,MATCH($B3703,Übersicht!$A$15:$A$22,0))),0)&gt;1,DAY($A3703)&gt;=IFERROR(N(INDEX(Übersicht!$M$15:$M$22,MATCH($B3703,Übersicht!$A$15:$A$22,0))),0)),1,0),1))</f>
        <v/>
      </c>
    </row>
    <row r="3704">
      <c r="A3704" s="92" t="n"/>
      <c r="B3704" s="55" t="n"/>
      <c r="C3704" s="55" t="n"/>
      <c r="D3704" s="55" t="n"/>
      <c r="E3704" s="93" t="n"/>
      <c r="F3704" s="94" t="n"/>
      <c r="G3704" s="94" t="n"/>
      <c r="H3704" s="94" t="n"/>
      <c r="I3704" s="94" t="n"/>
      <c r="J3704" s="55" t="n"/>
      <c r="K3704" s="95" t="n"/>
      <c r="L3704" s="116">
        <f>IF($A3704="","",DATE(YEAR($A3704),MONTH($A3704)+IF(AND(IFERROR(N(INDEX(Übersicht!$M$15:$M$22,MATCH($B3704,Übersicht!$A$15:$A$22,0))),0)&gt;1,DAY($A3704)&gt;=IFERROR(N(INDEX(Übersicht!$M$15:$M$22,MATCH($B3704,Übersicht!$A$15:$A$22,0))),0)),1,0),1))</f>
        <v/>
      </c>
    </row>
    <row r="3705">
      <c r="A3705" s="92" t="n"/>
      <c r="B3705" s="55" t="n"/>
      <c r="C3705" s="55" t="n"/>
      <c r="D3705" s="55" t="n"/>
      <c r="E3705" s="93" t="n"/>
      <c r="F3705" s="94" t="n"/>
      <c r="G3705" s="94" t="n"/>
      <c r="H3705" s="94" t="n"/>
      <c r="I3705" s="94" t="n"/>
      <c r="J3705" s="55" t="n"/>
      <c r="K3705" s="95" t="n"/>
      <c r="L3705" s="116">
        <f>IF($A3705="","",DATE(YEAR($A3705),MONTH($A3705)+IF(AND(IFERROR(N(INDEX(Übersicht!$M$15:$M$22,MATCH($B3705,Übersicht!$A$15:$A$22,0))),0)&gt;1,DAY($A3705)&gt;=IFERROR(N(INDEX(Übersicht!$M$15:$M$22,MATCH($B3705,Übersicht!$A$15:$A$22,0))),0)),1,0),1))</f>
        <v/>
      </c>
    </row>
    <row r="3706">
      <c r="A3706" s="92" t="n"/>
      <c r="B3706" s="55" t="n"/>
      <c r="C3706" s="55" t="n"/>
      <c r="D3706" s="55" t="n"/>
      <c r="E3706" s="93" t="n"/>
      <c r="F3706" s="94" t="n"/>
      <c r="G3706" s="94" t="n"/>
      <c r="H3706" s="94" t="n"/>
      <c r="I3706" s="94" t="n"/>
      <c r="J3706" s="55" t="n"/>
      <c r="K3706" s="95" t="n"/>
      <c r="L3706" s="116">
        <f>IF($A3706="","",DATE(YEAR($A3706),MONTH($A3706)+IF(AND(IFERROR(N(INDEX(Übersicht!$M$15:$M$22,MATCH($B3706,Übersicht!$A$15:$A$22,0))),0)&gt;1,DAY($A3706)&gt;=IFERROR(N(INDEX(Übersicht!$M$15:$M$22,MATCH($B3706,Übersicht!$A$15:$A$22,0))),0)),1,0),1))</f>
        <v/>
      </c>
    </row>
    <row r="3707">
      <c r="A3707" s="92" t="n"/>
      <c r="B3707" s="55" t="n"/>
      <c r="C3707" s="55" t="n"/>
      <c r="D3707" s="55" t="n"/>
      <c r="E3707" s="93" t="n"/>
      <c r="F3707" s="94" t="n"/>
      <c r="G3707" s="94" t="n"/>
      <c r="H3707" s="94" t="n"/>
      <c r="I3707" s="94" t="n"/>
      <c r="J3707" s="55" t="n"/>
      <c r="K3707" s="95" t="n"/>
      <c r="L3707" s="116">
        <f>IF($A3707="","",DATE(YEAR($A3707),MONTH($A3707)+IF(AND(IFERROR(N(INDEX(Übersicht!$M$15:$M$22,MATCH($B3707,Übersicht!$A$15:$A$22,0))),0)&gt;1,DAY($A3707)&gt;=IFERROR(N(INDEX(Übersicht!$M$15:$M$22,MATCH($B3707,Übersicht!$A$15:$A$22,0))),0)),1,0),1))</f>
        <v/>
      </c>
    </row>
    <row r="3708">
      <c r="A3708" s="92" t="n"/>
      <c r="B3708" s="55" t="n"/>
      <c r="C3708" s="55" t="n"/>
      <c r="D3708" s="55" t="n"/>
      <c r="E3708" s="93" t="n"/>
      <c r="F3708" s="94" t="n"/>
      <c r="G3708" s="94" t="n"/>
      <c r="H3708" s="94" t="n"/>
      <c r="I3708" s="94" t="n"/>
      <c r="J3708" s="55" t="n"/>
      <c r="K3708" s="95" t="n"/>
      <c r="L3708" s="116">
        <f>IF($A3708="","",DATE(YEAR($A3708),MONTH($A3708)+IF(AND(IFERROR(N(INDEX(Übersicht!$M$15:$M$22,MATCH($B3708,Übersicht!$A$15:$A$22,0))),0)&gt;1,DAY($A3708)&gt;=IFERROR(N(INDEX(Übersicht!$M$15:$M$22,MATCH($B3708,Übersicht!$A$15:$A$22,0))),0)),1,0),1))</f>
        <v/>
      </c>
    </row>
    <row r="3709">
      <c r="A3709" s="92" t="n"/>
      <c r="B3709" s="55" t="n"/>
      <c r="C3709" s="55" t="n"/>
      <c r="D3709" s="55" t="n"/>
      <c r="E3709" s="93" t="n"/>
      <c r="F3709" s="94" t="n"/>
      <c r="G3709" s="94" t="n"/>
      <c r="H3709" s="94" t="n"/>
      <c r="I3709" s="94" t="n"/>
      <c r="J3709" s="55" t="n"/>
      <c r="K3709" s="95" t="n"/>
      <c r="L3709" s="116">
        <f>IF($A3709="","",DATE(YEAR($A3709),MONTH($A3709)+IF(AND(IFERROR(N(INDEX(Übersicht!$M$15:$M$22,MATCH($B3709,Übersicht!$A$15:$A$22,0))),0)&gt;1,DAY($A3709)&gt;=IFERROR(N(INDEX(Übersicht!$M$15:$M$22,MATCH($B3709,Übersicht!$A$15:$A$22,0))),0)),1,0),1))</f>
        <v/>
      </c>
    </row>
    <row r="3710">
      <c r="A3710" s="92" t="n"/>
      <c r="B3710" s="55" t="n"/>
      <c r="C3710" s="55" t="n"/>
      <c r="D3710" s="55" t="n"/>
      <c r="E3710" s="93" t="n"/>
      <c r="F3710" s="94" t="n"/>
      <c r="G3710" s="94" t="n"/>
      <c r="H3710" s="94" t="n"/>
      <c r="I3710" s="94" t="n"/>
      <c r="J3710" s="55" t="n"/>
      <c r="K3710" s="95" t="n"/>
      <c r="L3710" s="116">
        <f>IF($A3710="","",DATE(YEAR($A3710),MONTH($A3710)+IF(AND(IFERROR(N(INDEX(Übersicht!$M$15:$M$22,MATCH($B3710,Übersicht!$A$15:$A$22,0))),0)&gt;1,DAY($A3710)&gt;=IFERROR(N(INDEX(Übersicht!$M$15:$M$22,MATCH($B3710,Übersicht!$A$15:$A$22,0))),0)),1,0),1))</f>
        <v/>
      </c>
    </row>
    <row r="3711">
      <c r="A3711" s="92" t="n"/>
      <c r="B3711" s="55" t="n"/>
      <c r="C3711" s="55" t="n"/>
      <c r="D3711" s="55" t="n"/>
      <c r="E3711" s="93" t="n"/>
      <c r="F3711" s="94" t="n"/>
      <c r="G3711" s="94" t="n"/>
      <c r="H3711" s="94" t="n"/>
      <c r="I3711" s="94" t="n"/>
      <c r="J3711" s="55" t="n"/>
      <c r="K3711" s="95" t="n"/>
      <c r="L3711" s="116">
        <f>IF($A3711="","",DATE(YEAR($A3711),MONTH($A3711)+IF(AND(IFERROR(N(INDEX(Übersicht!$M$15:$M$22,MATCH($B3711,Übersicht!$A$15:$A$22,0))),0)&gt;1,DAY($A3711)&gt;=IFERROR(N(INDEX(Übersicht!$M$15:$M$22,MATCH($B3711,Übersicht!$A$15:$A$22,0))),0)),1,0),1))</f>
        <v/>
      </c>
    </row>
    <row r="3712">
      <c r="A3712" s="92" t="n"/>
      <c r="B3712" s="55" t="n"/>
      <c r="C3712" s="55" t="n"/>
      <c r="D3712" s="55" t="n"/>
      <c r="E3712" s="93" t="n"/>
      <c r="F3712" s="94" t="n"/>
      <c r="G3712" s="94" t="n"/>
      <c r="H3712" s="94" t="n"/>
      <c r="I3712" s="94" t="n"/>
      <c r="J3712" s="55" t="n"/>
      <c r="K3712" s="95" t="n"/>
      <c r="L3712" s="116">
        <f>IF($A3712="","",DATE(YEAR($A3712),MONTH($A3712)+IF(AND(IFERROR(N(INDEX(Übersicht!$M$15:$M$22,MATCH($B3712,Übersicht!$A$15:$A$22,0))),0)&gt;1,DAY($A3712)&gt;=IFERROR(N(INDEX(Übersicht!$M$15:$M$22,MATCH($B3712,Übersicht!$A$15:$A$22,0))),0)),1,0),1))</f>
        <v/>
      </c>
    </row>
    <row r="3713">
      <c r="A3713" s="92" t="n"/>
      <c r="B3713" s="55" t="n"/>
      <c r="C3713" s="55" t="n"/>
      <c r="D3713" s="55" t="n"/>
      <c r="E3713" s="93" t="n"/>
      <c r="F3713" s="94" t="n"/>
      <c r="G3713" s="94" t="n"/>
      <c r="H3713" s="94" t="n"/>
      <c r="I3713" s="94" t="n"/>
      <c r="J3713" s="55" t="n"/>
      <c r="K3713" s="95" t="n"/>
      <c r="L3713" s="116">
        <f>IF($A3713="","",DATE(YEAR($A3713),MONTH($A3713)+IF(AND(IFERROR(N(INDEX(Übersicht!$M$15:$M$22,MATCH($B3713,Übersicht!$A$15:$A$22,0))),0)&gt;1,DAY($A3713)&gt;=IFERROR(N(INDEX(Übersicht!$M$15:$M$22,MATCH($B3713,Übersicht!$A$15:$A$22,0))),0)),1,0),1))</f>
        <v/>
      </c>
    </row>
    <row r="3714">
      <c r="A3714" s="92" t="n"/>
      <c r="B3714" s="55" t="n"/>
      <c r="C3714" s="55" t="n"/>
      <c r="D3714" s="55" t="n"/>
      <c r="E3714" s="93" t="n"/>
      <c r="F3714" s="94" t="n"/>
      <c r="G3714" s="94" t="n"/>
      <c r="H3714" s="94" t="n"/>
      <c r="I3714" s="94" t="n"/>
      <c r="J3714" s="55" t="n"/>
      <c r="K3714" s="95" t="n"/>
      <c r="L3714" s="116">
        <f>IF($A3714="","",DATE(YEAR($A3714),MONTH($A3714)+IF(AND(IFERROR(N(INDEX(Übersicht!$M$15:$M$22,MATCH($B3714,Übersicht!$A$15:$A$22,0))),0)&gt;1,DAY($A3714)&gt;=IFERROR(N(INDEX(Übersicht!$M$15:$M$22,MATCH($B3714,Übersicht!$A$15:$A$22,0))),0)),1,0),1))</f>
        <v/>
      </c>
    </row>
    <row r="3715">
      <c r="A3715" s="92" t="n"/>
      <c r="B3715" s="55" t="n"/>
      <c r="C3715" s="55" t="n"/>
      <c r="D3715" s="55" t="n"/>
      <c r="E3715" s="93" t="n"/>
      <c r="F3715" s="94" t="n"/>
      <c r="G3715" s="94" t="n"/>
      <c r="H3715" s="94" t="n"/>
      <c r="I3715" s="94" t="n"/>
      <c r="J3715" s="55" t="n"/>
      <c r="K3715" s="95" t="n"/>
      <c r="L3715" s="116">
        <f>IF($A3715="","",DATE(YEAR($A3715),MONTH($A3715)+IF(AND(IFERROR(N(INDEX(Übersicht!$M$15:$M$22,MATCH($B3715,Übersicht!$A$15:$A$22,0))),0)&gt;1,DAY($A3715)&gt;=IFERROR(N(INDEX(Übersicht!$M$15:$M$22,MATCH($B3715,Übersicht!$A$15:$A$22,0))),0)),1,0),1))</f>
        <v/>
      </c>
    </row>
    <row r="3716">
      <c r="A3716" s="92" t="n"/>
      <c r="B3716" s="55" t="n"/>
      <c r="C3716" s="55" t="n"/>
      <c r="D3716" s="55" t="n"/>
      <c r="E3716" s="93" t="n"/>
      <c r="F3716" s="94" t="n"/>
      <c r="G3716" s="94" t="n"/>
      <c r="H3716" s="94" t="n"/>
      <c r="I3716" s="94" t="n"/>
      <c r="J3716" s="55" t="n"/>
      <c r="K3716" s="95" t="n"/>
      <c r="L3716" s="116">
        <f>IF($A3716="","",DATE(YEAR($A3716),MONTH($A3716)+IF(AND(IFERROR(N(INDEX(Übersicht!$M$15:$M$22,MATCH($B3716,Übersicht!$A$15:$A$22,0))),0)&gt;1,DAY($A3716)&gt;=IFERROR(N(INDEX(Übersicht!$M$15:$M$22,MATCH($B3716,Übersicht!$A$15:$A$22,0))),0)),1,0),1))</f>
        <v/>
      </c>
    </row>
    <row r="3717">
      <c r="A3717" s="92" t="n"/>
      <c r="B3717" s="55" t="n"/>
      <c r="C3717" s="55" t="n"/>
      <c r="D3717" s="55" t="n"/>
      <c r="E3717" s="93" t="n"/>
      <c r="F3717" s="94" t="n"/>
      <c r="G3717" s="94" t="n"/>
      <c r="H3717" s="94" t="n"/>
      <c r="I3717" s="94" t="n"/>
      <c r="J3717" s="55" t="n"/>
      <c r="K3717" s="95" t="n"/>
      <c r="L3717" s="116">
        <f>IF($A3717="","",DATE(YEAR($A3717),MONTH($A3717)+IF(AND(IFERROR(N(INDEX(Übersicht!$M$15:$M$22,MATCH($B3717,Übersicht!$A$15:$A$22,0))),0)&gt;1,DAY($A3717)&gt;=IFERROR(N(INDEX(Übersicht!$M$15:$M$22,MATCH($B3717,Übersicht!$A$15:$A$22,0))),0)),1,0),1))</f>
        <v/>
      </c>
    </row>
    <row r="3718">
      <c r="A3718" s="92" t="n"/>
      <c r="B3718" s="55" t="n"/>
      <c r="C3718" s="55" t="n"/>
      <c r="D3718" s="55" t="n"/>
      <c r="E3718" s="93" t="n"/>
      <c r="F3718" s="94" t="n"/>
      <c r="G3718" s="94" t="n"/>
      <c r="H3718" s="94" t="n"/>
      <c r="I3718" s="94" t="n"/>
      <c r="J3718" s="55" t="n"/>
      <c r="K3718" s="95" t="n"/>
      <c r="L3718" s="116">
        <f>IF($A3718="","",DATE(YEAR($A3718),MONTH($A3718)+IF(AND(IFERROR(N(INDEX(Übersicht!$M$15:$M$22,MATCH($B3718,Übersicht!$A$15:$A$22,0))),0)&gt;1,DAY($A3718)&gt;=IFERROR(N(INDEX(Übersicht!$M$15:$M$22,MATCH($B3718,Übersicht!$A$15:$A$22,0))),0)),1,0),1))</f>
        <v/>
      </c>
    </row>
    <row r="3719">
      <c r="A3719" s="92" t="n"/>
      <c r="B3719" s="55" t="n"/>
      <c r="C3719" s="55" t="n"/>
      <c r="D3719" s="55" t="n"/>
      <c r="E3719" s="93" t="n"/>
      <c r="F3719" s="94" t="n"/>
      <c r="G3719" s="94" t="n"/>
      <c r="H3719" s="94" t="n"/>
      <c r="I3719" s="94" t="n"/>
      <c r="J3719" s="55" t="n"/>
      <c r="K3719" s="95" t="n"/>
      <c r="L3719" s="116">
        <f>IF($A3719="","",DATE(YEAR($A3719),MONTH($A3719)+IF(AND(IFERROR(N(INDEX(Übersicht!$M$15:$M$22,MATCH($B3719,Übersicht!$A$15:$A$22,0))),0)&gt;1,DAY($A3719)&gt;=IFERROR(N(INDEX(Übersicht!$M$15:$M$22,MATCH($B3719,Übersicht!$A$15:$A$22,0))),0)),1,0),1))</f>
        <v/>
      </c>
    </row>
    <row r="3720">
      <c r="A3720" s="92" t="n"/>
      <c r="B3720" s="55" t="n"/>
      <c r="C3720" s="55" t="n"/>
      <c r="D3720" s="55" t="n"/>
      <c r="E3720" s="93" t="n"/>
      <c r="F3720" s="94" t="n"/>
      <c r="G3720" s="94" t="n"/>
      <c r="H3720" s="94" t="n"/>
      <c r="I3720" s="94" t="n"/>
      <c r="J3720" s="55" t="n"/>
      <c r="K3720" s="95" t="n"/>
      <c r="L3720" s="116">
        <f>IF($A3720="","",DATE(YEAR($A3720),MONTH($A3720)+IF(AND(IFERROR(N(INDEX(Übersicht!$M$15:$M$22,MATCH($B3720,Übersicht!$A$15:$A$22,0))),0)&gt;1,DAY($A3720)&gt;=IFERROR(N(INDEX(Übersicht!$M$15:$M$22,MATCH($B3720,Übersicht!$A$15:$A$22,0))),0)),1,0),1))</f>
        <v/>
      </c>
    </row>
    <row r="3721">
      <c r="A3721" s="92" t="n"/>
      <c r="B3721" s="55" t="n"/>
      <c r="C3721" s="55" t="n"/>
      <c r="D3721" s="55" t="n"/>
      <c r="E3721" s="93" t="n"/>
      <c r="F3721" s="94" t="n"/>
      <c r="G3721" s="94" t="n"/>
      <c r="H3721" s="94" t="n"/>
      <c r="I3721" s="94" t="n"/>
      <c r="J3721" s="55" t="n"/>
      <c r="K3721" s="95" t="n"/>
      <c r="L3721" s="116">
        <f>IF($A3721="","",DATE(YEAR($A3721),MONTH($A3721)+IF(AND(IFERROR(N(INDEX(Übersicht!$M$15:$M$22,MATCH($B3721,Übersicht!$A$15:$A$22,0))),0)&gt;1,DAY($A3721)&gt;=IFERROR(N(INDEX(Übersicht!$M$15:$M$22,MATCH($B3721,Übersicht!$A$15:$A$22,0))),0)),1,0),1))</f>
        <v/>
      </c>
    </row>
    <row r="3722">
      <c r="A3722" s="92" t="n"/>
      <c r="B3722" s="55" t="n"/>
      <c r="C3722" s="55" t="n"/>
      <c r="D3722" s="55" t="n"/>
      <c r="E3722" s="93" t="n"/>
      <c r="F3722" s="94" t="n"/>
      <c r="G3722" s="94" t="n"/>
      <c r="H3722" s="94" t="n"/>
      <c r="I3722" s="94" t="n"/>
      <c r="J3722" s="55" t="n"/>
      <c r="K3722" s="95" t="n"/>
      <c r="L3722" s="116">
        <f>IF($A3722="","",DATE(YEAR($A3722),MONTH($A3722)+IF(AND(IFERROR(N(INDEX(Übersicht!$M$15:$M$22,MATCH($B3722,Übersicht!$A$15:$A$22,0))),0)&gt;1,DAY($A3722)&gt;=IFERROR(N(INDEX(Übersicht!$M$15:$M$22,MATCH($B3722,Übersicht!$A$15:$A$22,0))),0)),1,0),1))</f>
        <v/>
      </c>
    </row>
    <row r="3723">
      <c r="A3723" s="92" t="n"/>
      <c r="B3723" s="55" t="n"/>
      <c r="C3723" s="55" t="n"/>
      <c r="D3723" s="55" t="n"/>
      <c r="E3723" s="93" t="n"/>
      <c r="F3723" s="94" t="n"/>
      <c r="G3723" s="94" t="n"/>
      <c r="H3723" s="94" t="n"/>
      <c r="I3723" s="94" t="n"/>
      <c r="J3723" s="55" t="n"/>
      <c r="K3723" s="95" t="n"/>
      <c r="L3723" s="116">
        <f>IF($A3723="","",DATE(YEAR($A3723),MONTH($A3723)+IF(AND(IFERROR(N(INDEX(Übersicht!$M$15:$M$22,MATCH($B3723,Übersicht!$A$15:$A$22,0))),0)&gt;1,DAY($A3723)&gt;=IFERROR(N(INDEX(Übersicht!$M$15:$M$22,MATCH($B3723,Übersicht!$A$15:$A$22,0))),0)),1,0),1))</f>
        <v/>
      </c>
    </row>
    <row r="3724">
      <c r="A3724" s="92" t="n"/>
      <c r="B3724" s="55" t="n"/>
      <c r="C3724" s="55" t="n"/>
      <c r="D3724" s="55" t="n"/>
      <c r="E3724" s="93" t="n"/>
      <c r="F3724" s="94" t="n"/>
      <c r="G3724" s="94" t="n"/>
      <c r="H3724" s="94" t="n"/>
      <c r="I3724" s="94" t="n"/>
      <c r="J3724" s="55" t="n"/>
      <c r="K3724" s="95" t="n"/>
      <c r="L3724" s="116">
        <f>IF($A3724="","",DATE(YEAR($A3724),MONTH($A3724)+IF(AND(IFERROR(N(INDEX(Übersicht!$M$15:$M$22,MATCH($B3724,Übersicht!$A$15:$A$22,0))),0)&gt;1,DAY($A3724)&gt;=IFERROR(N(INDEX(Übersicht!$M$15:$M$22,MATCH($B3724,Übersicht!$A$15:$A$22,0))),0)),1,0),1))</f>
        <v/>
      </c>
    </row>
    <row r="3725">
      <c r="A3725" s="92" t="n"/>
      <c r="B3725" s="55" t="n"/>
      <c r="C3725" s="55" t="n"/>
      <c r="D3725" s="55" t="n"/>
      <c r="E3725" s="93" t="n"/>
      <c r="F3725" s="94" t="n"/>
      <c r="G3725" s="94" t="n"/>
      <c r="H3725" s="94" t="n"/>
      <c r="I3725" s="94" t="n"/>
      <c r="J3725" s="55" t="n"/>
      <c r="K3725" s="95" t="n"/>
      <c r="L3725" s="116">
        <f>IF($A3725="","",DATE(YEAR($A3725),MONTH($A3725)+IF(AND(IFERROR(N(INDEX(Übersicht!$M$15:$M$22,MATCH($B3725,Übersicht!$A$15:$A$22,0))),0)&gt;1,DAY($A3725)&gt;=IFERROR(N(INDEX(Übersicht!$M$15:$M$22,MATCH($B3725,Übersicht!$A$15:$A$22,0))),0)),1,0),1))</f>
        <v/>
      </c>
    </row>
    <row r="3726">
      <c r="A3726" s="92" t="n"/>
      <c r="B3726" s="55" t="n"/>
      <c r="C3726" s="55" t="n"/>
      <c r="D3726" s="55" t="n"/>
      <c r="E3726" s="93" t="n"/>
      <c r="F3726" s="94" t="n"/>
      <c r="G3726" s="94" t="n"/>
      <c r="H3726" s="94" t="n"/>
      <c r="I3726" s="94" t="n"/>
      <c r="J3726" s="55" t="n"/>
      <c r="K3726" s="95" t="n"/>
      <c r="L3726" s="116">
        <f>IF($A3726="","",DATE(YEAR($A3726),MONTH($A3726)+IF(AND(IFERROR(N(INDEX(Übersicht!$M$15:$M$22,MATCH($B3726,Übersicht!$A$15:$A$22,0))),0)&gt;1,DAY($A3726)&gt;=IFERROR(N(INDEX(Übersicht!$M$15:$M$22,MATCH($B3726,Übersicht!$A$15:$A$22,0))),0)),1,0),1))</f>
        <v/>
      </c>
    </row>
    <row r="3727">
      <c r="A3727" s="92" t="n"/>
      <c r="B3727" s="55" t="n"/>
      <c r="C3727" s="55" t="n"/>
      <c r="D3727" s="55" t="n"/>
      <c r="E3727" s="93" t="n"/>
      <c r="F3727" s="94" t="n"/>
      <c r="G3727" s="94" t="n"/>
      <c r="H3727" s="94" t="n"/>
      <c r="I3727" s="94" t="n"/>
      <c r="J3727" s="55" t="n"/>
      <c r="K3727" s="95" t="n"/>
      <c r="L3727" s="116">
        <f>IF($A3727="","",DATE(YEAR($A3727),MONTH($A3727)+IF(AND(IFERROR(N(INDEX(Übersicht!$M$15:$M$22,MATCH($B3727,Übersicht!$A$15:$A$22,0))),0)&gt;1,DAY($A3727)&gt;=IFERROR(N(INDEX(Übersicht!$M$15:$M$22,MATCH($B3727,Übersicht!$A$15:$A$22,0))),0)),1,0),1))</f>
        <v/>
      </c>
    </row>
    <row r="3728">
      <c r="A3728" s="92" t="n"/>
      <c r="B3728" s="55" t="n"/>
      <c r="C3728" s="55" t="n"/>
      <c r="D3728" s="55" t="n"/>
      <c r="E3728" s="93" t="n"/>
      <c r="F3728" s="94" t="n"/>
      <c r="G3728" s="94" t="n"/>
      <c r="H3728" s="94" t="n"/>
      <c r="I3728" s="94" t="n"/>
      <c r="J3728" s="55" t="n"/>
      <c r="K3728" s="95" t="n"/>
      <c r="L3728" s="116">
        <f>IF($A3728="","",DATE(YEAR($A3728),MONTH($A3728)+IF(AND(IFERROR(N(INDEX(Übersicht!$M$15:$M$22,MATCH($B3728,Übersicht!$A$15:$A$22,0))),0)&gt;1,DAY($A3728)&gt;=IFERROR(N(INDEX(Übersicht!$M$15:$M$22,MATCH($B3728,Übersicht!$A$15:$A$22,0))),0)),1,0),1))</f>
        <v/>
      </c>
    </row>
    <row r="3729">
      <c r="A3729" s="92" t="n"/>
      <c r="B3729" s="55" t="n"/>
      <c r="C3729" s="55" t="n"/>
      <c r="D3729" s="55" t="n"/>
      <c r="E3729" s="93" t="n"/>
      <c r="F3729" s="94" t="n"/>
      <c r="G3729" s="94" t="n"/>
      <c r="H3729" s="94" t="n"/>
      <c r="I3729" s="94" t="n"/>
      <c r="J3729" s="55" t="n"/>
      <c r="K3729" s="95" t="n"/>
      <c r="L3729" s="116">
        <f>IF($A3729="","",DATE(YEAR($A3729),MONTH($A3729)+IF(AND(IFERROR(N(INDEX(Übersicht!$M$15:$M$22,MATCH($B3729,Übersicht!$A$15:$A$22,0))),0)&gt;1,DAY($A3729)&gt;=IFERROR(N(INDEX(Übersicht!$M$15:$M$22,MATCH($B3729,Übersicht!$A$15:$A$22,0))),0)),1,0),1))</f>
        <v/>
      </c>
    </row>
    <row r="3730">
      <c r="A3730" s="92" t="n"/>
      <c r="B3730" s="55" t="n"/>
      <c r="C3730" s="55" t="n"/>
      <c r="D3730" s="55" t="n"/>
      <c r="E3730" s="93" t="n"/>
      <c r="F3730" s="94" t="n"/>
      <c r="G3730" s="94" t="n"/>
      <c r="H3730" s="94" t="n"/>
      <c r="I3730" s="94" t="n"/>
      <c r="J3730" s="55" t="n"/>
      <c r="K3730" s="95" t="n"/>
      <c r="L3730" s="116">
        <f>IF($A3730="","",DATE(YEAR($A3730),MONTH($A3730)+IF(AND(IFERROR(N(INDEX(Übersicht!$M$15:$M$22,MATCH($B3730,Übersicht!$A$15:$A$22,0))),0)&gt;1,DAY($A3730)&gt;=IFERROR(N(INDEX(Übersicht!$M$15:$M$22,MATCH($B3730,Übersicht!$A$15:$A$22,0))),0)),1,0),1))</f>
        <v/>
      </c>
    </row>
    <row r="3731">
      <c r="A3731" s="92" t="n"/>
      <c r="B3731" s="55" t="n"/>
      <c r="C3731" s="55" t="n"/>
      <c r="D3731" s="55" t="n"/>
      <c r="E3731" s="93" t="n"/>
      <c r="F3731" s="94" t="n"/>
      <c r="G3731" s="94" t="n"/>
      <c r="H3731" s="94" t="n"/>
      <c r="I3731" s="94" t="n"/>
      <c r="J3731" s="55" t="n"/>
      <c r="K3731" s="95" t="n"/>
      <c r="L3731" s="116">
        <f>IF($A3731="","",DATE(YEAR($A3731),MONTH($A3731)+IF(AND(IFERROR(N(INDEX(Übersicht!$M$15:$M$22,MATCH($B3731,Übersicht!$A$15:$A$22,0))),0)&gt;1,DAY($A3731)&gt;=IFERROR(N(INDEX(Übersicht!$M$15:$M$22,MATCH($B3731,Übersicht!$A$15:$A$22,0))),0)),1,0),1))</f>
        <v/>
      </c>
    </row>
    <row r="3732">
      <c r="A3732" s="92" t="n"/>
      <c r="B3732" s="55" t="n"/>
      <c r="C3732" s="55" t="n"/>
      <c r="D3732" s="55" t="n"/>
      <c r="E3732" s="93" t="n"/>
      <c r="F3732" s="94" t="n"/>
      <c r="G3732" s="94" t="n"/>
      <c r="H3732" s="94" t="n"/>
      <c r="I3732" s="94" t="n"/>
      <c r="J3732" s="55" t="n"/>
      <c r="K3732" s="95" t="n"/>
      <c r="L3732" s="116">
        <f>IF($A3732="","",DATE(YEAR($A3732),MONTH($A3732)+IF(AND(IFERROR(N(INDEX(Übersicht!$M$15:$M$22,MATCH($B3732,Übersicht!$A$15:$A$22,0))),0)&gt;1,DAY($A3732)&gt;=IFERROR(N(INDEX(Übersicht!$M$15:$M$22,MATCH($B3732,Übersicht!$A$15:$A$22,0))),0)),1,0),1))</f>
        <v/>
      </c>
    </row>
    <row r="3733">
      <c r="A3733" s="92" t="n"/>
      <c r="B3733" s="55" t="n"/>
      <c r="C3733" s="55" t="n"/>
      <c r="D3733" s="55" t="n"/>
      <c r="E3733" s="93" t="n"/>
      <c r="F3733" s="94" t="n"/>
      <c r="G3733" s="94" t="n"/>
      <c r="H3733" s="94" t="n"/>
      <c r="I3733" s="94" t="n"/>
      <c r="J3733" s="55" t="n"/>
      <c r="K3733" s="95" t="n"/>
      <c r="L3733" s="116">
        <f>IF($A3733="","",DATE(YEAR($A3733),MONTH($A3733)+IF(AND(IFERROR(N(INDEX(Übersicht!$M$15:$M$22,MATCH($B3733,Übersicht!$A$15:$A$22,0))),0)&gt;1,DAY($A3733)&gt;=IFERROR(N(INDEX(Übersicht!$M$15:$M$22,MATCH($B3733,Übersicht!$A$15:$A$22,0))),0)),1,0),1))</f>
        <v/>
      </c>
    </row>
    <row r="3734">
      <c r="A3734" s="92" t="n"/>
      <c r="B3734" s="55" t="n"/>
      <c r="C3734" s="55" t="n"/>
      <c r="D3734" s="55" t="n"/>
      <c r="E3734" s="93" t="n"/>
      <c r="F3734" s="94" t="n"/>
      <c r="G3734" s="94" t="n"/>
      <c r="H3734" s="94" t="n"/>
      <c r="I3734" s="94" t="n"/>
      <c r="J3734" s="55" t="n"/>
      <c r="K3734" s="95" t="n"/>
      <c r="L3734" s="116">
        <f>IF($A3734="","",DATE(YEAR($A3734),MONTH($A3734)+IF(AND(IFERROR(N(INDEX(Übersicht!$M$15:$M$22,MATCH($B3734,Übersicht!$A$15:$A$22,0))),0)&gt;1,DAY($A3734)&gt;=IFERROR(N(INDEX(Übersicht!$M$15:$M$22,MATCH($B3734,Übersicht!$A$15:$A$22,0))),0)),1,0),1))</f>
        <v/>
      </c>
    </row>
    <row r="3735">
      <c r="A3735" s="92" t="n"/>
      <c r="B3735" s="55" t="n"/>
      <c r="C3735" s="55" t="n"/>
      <c r="D3735" s="55" t="n"/>
      <c r="E3735" s="93" t="n"/>
      <c r="F3735" s="94" t="n"/>
      <c r="G3735" s="94" t="n"/>
      <c r="H3735" s="94" t="n"/>
      <c r="I3735" s="94" t="n"/>
      <c r="J3735" s="55" t="n"/>
      <c r="K3735" s="95" t="n"/>
      <c r="L3735" s="116">
        <f>IF($A3735="","",DATE(YEAR($A3735),MONTH($A3735)+IF(AND(IFERROR(N(INDEX(Übersicht!$M$15:$M$22,MATCH($B3735,Übersicht!$A$15:$A$22,0))),0)&gt;1,DAY($A3735)&gt;=IFERROR(N(INDEX(Übersicht!$M$15:$M$22,MATCH($B3735,Übersicht!$A$15:$A$22,0))),0)),1,0),1))</f>
        <v/>
      </c>
    </row>
    <row r="3736">
      <c r="A3736" s="92" t="n"/>
      <c r="B3736" s="55" t="n"/>
      <c r="C3736" s="55" t="n"/>
      <c r="D3736" s="55" t="n"/>
      <c r="E3736" s="93" t="n"/>
      <c r="F3736" s="94" t="n"/>
      <c r="G3736" s="94" t="n"/>
      <c r="H3736" s="94" t="n"/>
      <c r="I3736" s="94" t="n"/>
      <c r="J3736" s="55" t="n"/>
      <c r="K3736" s="95" t="n"/>
      <c r="L3736" s="116">
        <f>IF($A3736="","",DATE(YEAR($A3736),MONTH($A3736)+IF(AND(IFERROR(N(INDEX(Übersicht!$M$15:$M$22,MATCH($B3736,Übersicht!$A$15:$A$22,0))),0)&gt;1,DAY($A3736)&gt;=IFERROR(N(INDEX(Übersicht!$M$15:$M$22,MATCH($B3736,Übersicht!$A$15:$A$22,0))),0)),1,0),1))</f>
        <v/>
      </c>
    </row>
    <row r="3737">
      <c r="A3737" s="92" t="n"/>
      <c r="B3737" s="55" t="n"/>
      <c r="C3737" s="55" t="n"/>
      <c r="D3737" s="55" t="n"/>
      <c r="E3737" s="93" t="n"/>
      <c r="F3737" s="94" t="n"/>
      <c r="G3737" s="94" t="n"/>
      <c r="H3737" s="94" t="n"/>
      <c r="I3737" s="94" t="n"/>
      <c r="J3737" s="55" t="n"/>
      <c r="K3737" s="95" t="n"/>
      <c r="L3737" s="116">
        <f>IF($A3737="","",DATE(YEAR($A3737),MONTH($A3737)+IF(AND(IFERROR(N(INDEX(Übersicht!$M$15:$M$22,MATCH($B3737,Übersicht!$A$15:$A$22,0))),0)&gt;1,DAY($A3737)&gt;=IFERROR(N(INDEX(Übersicht!$M$15:$M$22,MATCH($B3737,Übersicht!$A$15:$A$22,0))),0)),1,0),1))</f>
        <v/>
      </c>
    </row>
    <row r="3738">
      <c r="A3738" s="92" t="n"/>
      <c r="B3738" s="55" t="n"/>
      <c r="C3738" s="55" t="n"/>
      <c r="D3738" s="55" t="n"/>
      <c r="E3738" s="93" t="n"/>
      <c r="F3738" s="94" t="n"/>
      <c r="G3738" s="94" t="n"/>
      <c r="H3738" s="94" t="n"/>
      <c r="I3738" s="94" t="n"/>
      <c r="J3738" s="55" t="n"/>
      <c r="K3738" s="95" t="n"/>
      <c r="L3738" s="116">
        <f>IF($A3738="","",DATE(YEAR($A3738),MONTH($A3738)+IF(AND(IFERROR(N(INDEX(Übersicht!$M$15:$M$22,MATCH($B3738,Übersicht!$A$15:$A$22,0))),0)&gt;1,DAY($A3738)&gt;=IFERROR(N(INDEX(Übersicht!$M$15:$M$22,MATCH($B3738,Übersicht!$A$15:$A$22,0))),0)),1,0),1))</f>
        <v/>
      </c>
    </row>
    <row r="3739">
      <c r="A3739" s="92" t="n"/>
      <c r="B3739" s="55" t="n"/>
      <c r="C3739" s="55" t="n"/>
      <c r="D3739" s="55" t="n"/>
      <c r="E3739" s="93" t="n"/>
      <c r="F3739" s="94" t="n"/>
      <c r="G3739" s="94" t="n"/>
      <c r="H3739" s="94" t="n"/>
      <c r="I3739" s="94" t="n"/>
      <c r="J3739" s="55" t="n"/>
      <c r="K3739" s="95" t="n"/>
      <c r="L3739" s="116">
        <f>IF($A3739="","",DATE(YEAR($A3739),MONTH($A3739)+IF(AND(IFERROR(N(INDEX(Übersicht!$M$15:$M$22,MATCH($B3739,Übersicht!$A$15:$A$22,0))),0)&gt;1,DAY($A3739)&gt;=IFERROR(N(INDEX(Übersicht!$M$15:$M$22,MATCH($B3739,Übersicht!$A$15:$A$22,0))),0)),1,0),1))</f>
        <v/>
      </c>
    </row>
    <row r="3740">
      <c r="A3740" s="92" t="n"/>
      <c r="B3740" s="55" t="n"/>
      <c r="C3740" s="55" t="n"/>
      <c r="D3740" s="55" t="n"/>
      <c r="E3740" s="93" t="n"/>
      <c r="F3740" s="94" t="n"/>
      <c r="G3740" s="94" t="n"/>
      <c r="H3740" s="94" t="n"/>
      <c r="I3740" s="94" t="n"/>
      <c r="J3740" s="55" t="n"/>
      <c r="K3740" s="95" t="n"/>
      <c r="L3740" s="116">
        <f>IF($A3740="","",DATE(YEAR($A3740),MONTH($A3740)+IF(AND(IFERROR(N(INDEX(Übersicht!$M$15:$M$22,MATCH($B3740,Übersicht!$A$15:$A$22,0))),0)&gt;1,DAY($A3740)&gt;=IFERROR(N(INDEX(Übersicht!$M$15:$M$22,MATCH($B3740,Übersicht!$A$15:$A$22,0))),0)),1,0),1))</f>
        <v/>
      </c>
    </row>
    <row r="3741">
      <c r="A3741" s="92" t="n"/>
      <c r="B3741" s="55" t="n"/>
      <c r="C3741" s="55" t="n"/>
      <c r="D3741" s="55" t="n"/>
      <c r="E3741" s="93" t="n"/>
      <c r="F3741" s="94" t="n"/>
      <c r="G3741" s="94" t="n"/>
      <c r="H3741" s="94" t="n"/>
      <c r="I3741" s="94" t="n"/>
      <c r="J3741" s="55" t="n"/>
      <c r="K3741" s="95" t="n"/>
      <c r="L3741" s="116">
        <f>IF($A3741="","",DATE(YEAR($A3741),MONTH($A3741)+IF(AND(IFERROR(N(INDEX(Übersicht!$M$15:$M$22,MATCH($B3741,Übersicht!$A$15:$A$22,0))),0)&gt;1,DAY($A3741)&gt;=IFERROR(N(INDEX(Übersicht!$M$15:$M$22,MATCH($B3741,Übersicht!$A$15:$A$22,0))),0)),1,0),1))</f>
        <v/>
      </c>
    </row>
    <row r="3742">
      <c r="A3742" s="92" t="n"/>
      <c r="B3742" s="55" t="n"/>
      <c r="C3742" s="55" t="n"/>
      <c r="D3742" s="55" t="n"/>
      <c r="E3742" s="93" t="n"/>
      <c r="F3742" s="94" t="n"/>
      <c r="G3742" s="94" t="n"/>
      <c r="H3742" s="94" t="n"/>
      <c r="I3742" s="94" t="n"/>
      <c r="J3742" s="55" t="n"/>
      <c r="K3742" s="95" t="n"/>
      <c r="L3742" s="116">
        <f>IF($A3742="","",DATE(YEAR($A3742),MONTH($A3742)+IF(AND(IFERROR(N(INDEX(Übersicht!$M$15:$M$22,MATCH($B3742,Übersicht!$A$15:$A$22,0))),0)&gt;1,DAY($A3742)&gt;=IFERROR(N(INDEX(Übersicht!$M$15:$M$22,MATCH($B3742,Übersicht!$A$15:$A$22,0))),0)),1,0),1))</f>
        <v/>
      </c>
    </row>
    <row r="3743">
      <c r="A3743" s="92" t="n"/>
      <c r="B3743" s="55" t="n"/>
      <c r="C3743" s="55" t="n"/>
      <c r="D3743" s="55" t="n"/>
      <c r="E3743" s="93" t="n"/>
      <c r="F3743" s="94" t="n"/>
      <c r="G3743" s="94" t="n"/>
      <c r="H3743" s="94" t="n"/>
      <c r="I3743" s="94" t="n"/>
      <c r="J3743" s="55" t="n"/>
      <c r="K3743" s="95" t="n"/>
      <c r="L3743" s="116">
        <f>IF($A3743="","",DATE(YEAR($A3743),MONTH($A3743)+IF(AND(IFERROR(N(INDEX(Übersicht!$M$15:$M$22,MATCH($B3743,Übersicht!$A$15:$A$22,0))),0)&gt;1,DAY($A3743)&gt;=IFERROR(N(INDEX(Übersicht!$M$15:$M$22,MATCH($B3743,Übersicht!$A$15:$A$22,0))),0)),1,0),1))</f>
        <v/>
      </c>
    </row>
    <row r="3744">
      <c r="A3744" s="92" t="n"/>
      <c r="B3744" s="55" t="n"/>
      <c r="C3744" s="55" t="n"/>
      <c r="D3744" s="55" t="n"/>
      <c r="E3744" s="93" t="n"/>
      <c r="F3744" s="94" t="n"/>
      <c r="G3744" s="94" t="n"/>
      <c r="H3744" s="94" t="n"/>
      <c r="I3744" s="94" t="n"/>
      <c r="J3744" s="55" t="n"/>
      <c r="K3744" s="95" t="n"/>
      <c r="L3744" s="116">
        <f>IF($A3744="","",DATE(YEAR($A3744),MONTH($A3744)+IF(AND(IFERROR(N(INDEX(Übersicht!$M$15:$M$22,MATCH($B3744,Übersicht!$A$15:$A$22,0))),0)&gt;1,DAY($A3744)&gt;=IFERROR(N(INDEX(Übersicht!$M$15:$M$22,MATCH($B3744,Übersicht!$A$15:$A$22,0))),0)),1,0),1))</f>
        <v/>
      </c>
    </row>
    <row r="3745">
      <c r="A3745" s="92" t="n"/>
      <c r="B3745" s="55" t="n"/>
      <c r="C3745" s="55" t="n"/>
      <c r="D3745" s="55" t="n"/>
      <c r="E3745" s="93" t="n"/>
      <c r="F3745" s="94" t="n"/>
      <c r="G3745" s="94" t="n"/>
      <c r="H3745" s="94" t="n"/>
      <c r="I3745" s="94" t="n"/>
      <c r="J3745" s="55" t="n"/>
      <c r="K3745" s="95" t="n"/>
      <c r="L3745" s="116">
        <f>IF($A3745="","",DATE(YEAR($A3745),MONTH($A3745)+IF(AND(IFERROR(N(INDEX(Übersicht!$M$15:$M$22,MATCH($B3745,Übersicht!$A$15:$A$22,0))),0)&gt;1,DAY($A3745)&gt;=IFERROR(N(INDEX(Übersicht!$M$15:$M$22,MATCH($B3745,Übersicht!$A$15:$A$22,0))),0)),1,0),1))</f>
        <v/>
      </c>
    </row>
    <row r="3746">
      <c r="A3746" s="92" t="n"/>
      <c r="B3746" s="55" t="n"/>
      <c r="C3746" s="55" t="n"/>
      <c r="D3746" s="55" t="n"/>
      <c r="E3746" s="93" t="n"/>
      <c r="F3746" s="94" t="n"/>
      <c r="G3746" s="94" t="n"/>
      <c r="H3746" s="94" t="n"/>
      <c r="I3746" s="94" t="n"/>
      <c r="J3746" s="55" t="n"/>
      <c r="K3746" s="95" t="n"/>
      <c r="L3746" s="116">
        <f>IF($A3746="","",DATE(YEAR($A3746),MONTH($A3746)+IF(AND(IFERROR(N(INDEX(Übersicht!$M$15:$M$22,MATCH($B3746,Übersicht!$A$15:$A$22,0))),0)&gt;1,DAY($A3746)&gt;=IFERROR(N(INDEX(Übersicht!$M$15:$M$22,MATCH($B3746,Übersicht!$A$15:$A$22,0))),0)),1,0),1))</f>
        <v/>
      </c>
    </row>
    <row r="3747">
      <c r="A3747" s="92" t="n"/>
      <c r="B3747" s="55" t="n"/>
      <c r="C3747" s="55" t="n"/>
      <c r="D3747" s="55" t="n"/>
      <c r="E3747" s="93" t="n"/>
      <c r="F3747" s="94" t="n"/>
      <c r="G3747" s="94" t="n"/>
      <c r="H3747" s="94" t="n"/>
      <c r="I3747" s="94" t="n"/>
      <c r="J3747" s="55" t="n"/>
      <c r="K3747" s="95" t="n"/>
      <c r="L3747" s="116">
        <f>IF($A3747="","",DATE(YEAR($A3747),MONTH($A3747)+IF(AND(IFERROR(N(INDEX(Übersicht!$M$15:$M$22,MATCH($B3747,Übersicht!$A$15:$A$22,0))),0)&gt;1,DAY($A3747)&gt;=IFERROR(N(INDEX(Übersicht!$M$15:$M$22,MATCH($B3747,Übersicht!$A$15:$A$22,0))),0)),1,0),1))</f>
        <v/>
      </c>
    </row>
    <row r="3748">
      <c r="A3748" s="92" t="n"/>
      <c r="B3748" s="55" t="n"/>
      <c r="C3748" s="55" t="n"/>
      <c r="D3748" s="55" t="n"/>
      <c r="E3748" s="93" t="n"/>
      <c r="F3748" s="94" t="n"/>
      <c r="G3748" s="94" t="n"/>
      <c r="H3748" s="94" t="n"/>
      <c r="I3748" s="94" t="n"/>
      <c r="J3748" s="55" t="n"/>
      <c r="K3748" s="95" t="n"/>
      <c r="L3748" s="116">
        <f>IF($A3748="","",DATE(YEAR($A3748),MONTH($A3748)+IF(AND(IFERROR(N(INDEX(Übersicht!$M$15:$M$22,MATCH($B3748,Übersicht!$A$15:$A$22,0))),0)&gt;1,DAY($A3748)&gt;=IFERROR(N(INDEX(Übersicht!$M$15:$M$22,MATCH($B3748,Übersicht!$A$15:$A$22,0))),0)),1,0),1))</f>
        <v/>
      </c>
    </row>
    <row r="3749">
      <c r="A3749" s="92" t="n"/>
      <c r="B3749" s="55" t="n"/>
      <c r="C3749" s="55" t="n"/>
      <c r="D3749" s="55" t="n"/>
      <c r="E3749" s="93" t="n"/>
      <c r="F3749" s="94" t="n"/>
      <c r="G3749" s="94" t="n"/>
      <c r="H3749" s="94" t="n"/>
      <c r="I3749" s="94" t="n"/>
      <c r="J3749" s="55" t="n"/>
      <c r="K3749" s="95" t="n"/>
      <c r="L3749" s="116">
        <f>IF($A3749="","",DATE(YEAR($A3749),MONTH($A3749)+IF(AND(IFERROR(N(INDEX(Übersicht!$M$15:$M$22,MATCH($B3749,Übersicht!$A$15:$A$22,0))),0)&gt;1,DAY($A3749)&gt;=IFERROR(N(INDEX(Übersicht!$M$15:$M$22,MATCH($B3749,Übersicht!$A$15:$A$22,0))),0)),1,0),1))</f>
        <v/>
      </c>
    </row>
    <row r="3750">
      <c r="A3750" s="92" t="n"/>
      <c r="B3750" s="55" t="n"/>
      <c r="C3750" s="55" t="n"/>
      <c r="D3750" s="55" t="n"/>
      <c r="E3750" s="93" t="n"/>
      <c r="F3750" s="94" t="n"/>
      <c r="G3750" s="94" t="n"/>
      <c r="H3750" s="94" t="n"/>
      <c r="I3750" s="94" t="n"/>
      <c r="J3750" s="55" t="n"/>
      <c r="K3750" s="95" t="n"/>
      <c r="L3750" s="116">
        <f>IF($A3750="","",DATE(YEAR($A3750),MONTH($A3750)+IF(AND(IFERROR(N(INDEX(Übersicht!$M$15:$M$22,MATCH($B3750,Übersicht!$A$15:$A$22,0))),0)&gt;1,DAY($A3750)&gt;=IFERROR(N(INDEX(Übersicht!$M$15:$M$22,MATCH($B3750,Übersicht!$A$15:$A$22,0))),0)),1,0),1))</f>
        <v/>
      </c>
    </row>
    <row r="3751">
      <c r="A3751" s="92" t="n"/>
      <c r="B3751" s="55" t="n"/>
      <c r="C3751" s="55" t="n"/>
      <c r="D3751" s="55" t="n"/>
      <c r="E3751" s="93" t="n"/>
      <c r="F3751" s="94" t="n"/>
      <c r="G3751" s="94" t="n"/>
      <c r="H3751" s="94" t="n"/>
      <c r="I3751" s="94" t="n"/>
      <c r="J3751" s="55" t="n"/>
      <c r="K3751" s="95" t="n"/>
      <c r="L3751" s="116">
        <f>IF($A3751="","",DATE(YEAR($A3751),MONTH($A3751)+IF(AND(IFERROR(N(INDEX(Übersicht!$M$15:$M$22,MATCH($B3751,Übersicht!$A$15:$A$22,0))),0)&gt;1,DAY($A3751)&gt;=IFERROR(N(INDEX(Übersicht!$M$15:$M$22,MATCH($B3751,Übersicht!$A$15:$A$22,0))),0)),1,0),1))</f>
        <v/>
      </c>
    </row>
    <row r="3752">
      <c r="A3752" s="92" t="n"/>
      <c r="B3752" s="55" t="n"/>
      <c r="C3752" s="55" t="n"/>
      <c r="D3752" s="55" t="n"/>
      <c r="E3752" s="93" t="n"/>
      <c r="F3752" s="94" t="n"/>
      <c r="G3752" s="94" t="n"/>
      <c r="H3752" s="94" t="n"/>
      <c r="I3752" s="94" t="n"/>
      <c r="J3752" s="55" t="n"/>
      <c r="K3752" s="95" t="n"/>
      <c r="L3752" s="116">
        <f>IF($A3752="","",DATE(YEAR($A3752),MONTH($A3752)+IF(AND(IFERROR(N(INDEX(Übersicht!$M$15:$M$22,MATCH($B3752,Übersicht!$A$15:$A$22,0))),0)&gt;1,DAY($A3752)&gt;=IFERROR(N(INDEX(Übersicht!$M$15:$M$22,MATCH($B3752,Übersicht!$A$15:$A$22,0))),0)),1,0),1))</f>
        <v/>
      </c>
    </row>
    <row r="3753">
      <c r="A3753" s="92" t="n"/>
      <c r="B3753" s="55" t="n"/>
      <c r="C3753" s="55" t="n"/>
      <c r="D3753" s="55" t="n"/>
      <c r="E3753" s="93" t="n"/>
      <c r="F3753" s="94" t="n"/>
      <c r="G3753" s="94" t="n"/>
      <c r="H3753" s="94" t="n"/>
      <c r="I3753" s="94" t="n"/>
      <c r="J3753" s="55" t="n"/>
      <c r="K3753" s="95" t="n"/>
      <c r="L3753" s="116">
        <f>IF($A3753="","",DATE(YEAR($A3753),MONTH($A3753)+IF(AND(IFERROR(N(INDEX(Übersicht!$M$15:$M$22,MATCH($B3753,Übersicht!$A$15:$A$22,0))),0)&gt;1,DAY($A3753)&gt;=IFERROR(N(INDEX(Übersicht!$M$15:$M$22,MATCH($B3753,Übersicht!$A$15:$A$22,0))),0)),1,0),1))</f>
        <v/>
      </c>
    </row>
    <row r="3754">
      <c r="A3754" s="92" t="n"/>
      <c r="B3754" s="55" t="n"/>
      <c r="C3754" s="55" t="n"/>
      <c r="D3754" s="55" t="n"/>
      <c r="E3754" s="93" t="n"/>
      <c r="F3754" s="94" t="n"/>
      <c r="G3754" s="94" t="n"/>
      <c r="H3754" s="94" t="n"/>
      <c r="I3754" s="94" t="n"/>
      <c r="J3754" s="55" t="n"/>
      <c r="K3754" s="95" t="n"/>
      <c r="L3754" s="116">
        <f>IF($A3754="","",DATE(YEAR($A3754),MONTH($A3754)+IF(AND(IFERROR(N(INDEX(Übersicht!$M$15:$M$22,MATCH($B3754,Übersicht!$A$15:$A$22,0))),0)&gt;1,DAY($A3754)&gt;=IFERROR(N(INDEX(Übersicht!$M$15:$M$22,MATCH($B3754,Übersicht!$A$15:$A$22,0))),0)),1,0),1))</f>
        <v/>
      </c>
    </row>
    <row r="3755">
      <c r="A3755" s="92" t="n"/>
      <c r="B3755" s="55" t="n"/>
      <c r="C3755" s="55" t="n"/>
      <c r="D3755" s="55" t="n"/>
      <c r="E3755" s="93" t="n"/>
      <c r="F3755" s="94" t="n"/>
      <c r="G3755" s="94" t="n"/>
      <c r="H3755" s="94" t="n"/>
      <c r="I3755" s="94" t="n"/>
      <c r="J3755" s="55" t="n"/>
      <c r="K3755" s="95" t="n"/>
      <c r="L3755" s="116">
        <f>IF($A3755="","",DATE(YEAR($A3755),MONTH($A3755)+IF(AND(IFERROR(N(INDEX(Übersicht!$M$15:$M$22,MATCH($B3755,Übersicht!$A$15:$A$22,0))),0)&gt;1,DAY($A3755)&gt;=IFERROR(N(INDEX(Übersicht!$M$15:$M$22,MATCH($B3755,Übersicht!$A$15:$A$22,0))),0)),1,0),1))</f>
        <v/>
      </c>
    </row>
    <row r="3756">
      <c r="A3756" s="92" t="n"/>
      <c r="B3756" s="55" t="n"/>
      <c r="C3756" s="55" t="n"/>
      <c r="D3756" s="55" t="n"/>
      <c r="E3756" s="93" t="n"/>
      <c r="F3756" s="94" t="n"/>
      <c r="G3756" s="94" t="n"/>
      <c r="H3756" s="94" t="n"/>
      <c r="I3756" s="94" t="n"/>
      <c r="J3756" s="55" t="n"/>
      <c r="K3756" s="95" t="n"/>
      <c r="L3756" s="116">
        <f>IF($A3756="","",DATE(YEAR($A3756),MONTH($A3756)+IF(AND(IFERROR(N(INDEX(Übersicht!$M$15:$M$22,MATCH($B3756,Übersicht!$A$15:$A$22,0))),0)&gt;1,DAY($A3756)&gt;=IFERROR(N(INDEX(Übersicht!$M$15:$M$22,MATCH($B3756,Übersicht!$A$15:$A$22,0))),0)),1,0),1))</f>
        <v/>
      </c>
    </row>
    <row r="3757">
      <c r="A3757" s="92" t="n"/>
      <c r="B3757" s="55" t="n"/>
      <c r="C3757" s="55" t="n"/>
      <c r="D3757" s="55" t="n"/>
      <c r="E3757" s="93" t="n"/>
      <c r="F3757" s="94" t="n"/>
      <c r="G3757" s="94" t="n"/>
      <c r="H3757" s="94" t="n"/>
      <c r="I3757" s="94" t="n"/>
      <c r="J3757" s="55" t="n"/>
      <c r="K3757" s="95" t="n"/>
      <c r="L3757" s="116">
        <f>IF($A3757="","",DATE(YEAR($A3757),MONTH($A3757)+IF(AND(IFERROR(N(INDEX(Übersicht!$M$15:$M$22,MATCH($B3757,Übersicht!$A$15:$A$22,0))),0)&gt;1,DAY($A3757)&gt;=IFERROR(N(INDEX(Übersicht!$M$15:$M$22,MATCH($B3757,Übersicht!$A$15:$A$22,0))),0)),1,0),1))</f>
        <v/>
      </c>
    </row>
    <row r="3758">
      <c r="A3758" s="92" t="n"/>
      <c r="B3758" s="55" t="n"/>
      <c r="C3758" s="55" t="n"/>
      <c r="D3758" s="55" t="n"/>
      <c r="E3758" s="93" t="n"/>
      <c r="F3758" s="94" t="n"/>
      <c r="G3758" s="94" t="n"/>
      <c r="H3758" s="94" t="n"/>
      <c r="I3758" s="94" t="n"/>
      <c r="J3758" s="55" t="n"/>
      <c r="K3758" s="95" t="n"/>
      <c r="L3758" s="116">
        <f>IF($A3758="","",DATE(YEAR($A3758),MONTH($A3758)+IF(AND(IFERROR(N(INDEX(Übersicht!$M$15:$M$22,MATCH($B3758,Übersicht!$A$15:$A$22,0))),0)&gt;1,DAY($A3758)&gt;=IFERROR(N(INDEX(Übersicht!$M$15:$M$22,MATCH($B3758,Übersicht!$A$15:$A$22,0))),0)),1,0),1))</f>
        <v/>
      </c>
    </row>
    <row r="3759">
      <c r="A3759" s="92" t="n"/>
      <c r="B3759" s="55" t="n"/>
      <c r="C3759" s="55" t="n"/>
      <c r="D3759" s="55" t="n"/>
      <c r="E3759" s="93" t="n"/>
      <c r="F3759" s="94" t="n"/>
      <c r="G3759" s="94" t="n"/>
      <c r="H3759" s="94" t="n"/>
      <c r="I3759" s="94" t="n"/>
      <c r="J3759" s="55" t="n"/>
      <c r="K3759" s="95" t="n"/>
      <c r="L3759" s="116">
        <f>IF($A3759="","",DATE(YEAR($A3759),MONTH($A3759)+IF(AND(IFERROR(N(INDEX(Übersicht!$M$15:$M$22,MATCH($B3759,Übersicht!$A$15:$A$22,0))),0)&gt;1,DAY($A3759)&gt;=IFERROR(N(INDEX(Übersicht!$M$15:$M$22,MATCH($B3759,Übersicht!$A$15:$A$22,0))),0)),1,0),1))</f>
        <v/>
      </c>
    </row>
    <row r="3760">
      <c r="A3760" s="92" t="n"/>
      <c r="B3760" s="55" t="n"/>
      <c r="C3760" s="55" t="n"/>
      <c r="D3760" s="55" t="n"/>
      <c r="E3760" s="93" t="n"/>
      <c r="F3760" s="94" t="n"/>
      <c r="G3760" s="94" t="n"/>
      <c r="H3760" s="94" t="n"/>
      <c r="I3760" s="94" t="n"/>
      <c r="J3760" s="55" t="n"/>
      <c r="K3760" s="95" t="n"/>
      <c r="L3760" s="116">
        <f>IF($A3760="","",DATE(YEAR($A3760),MONTH($A3760)+IF(AND(IFERROR(N(INDEX(Übersicht!$M$15:$M$22,MATCH($B3760,Übersicht!$A$15:$A$22,0))),0)&gt;1,DAY($A3760)&gt;=IFERROR(N(INDEX(Übersicht!$M$15:$M$22,MATCH($B3760,Übersicht!$A$15:$A$22,0))),0)),1,0),1))</f>
        <v/>
      </c>
    </row>
    <row r="3761">
      <c r="A3761" s="92" t="n"/>
      <c r="B3761" s="55" t="n"/>
      <c r="C3761" s="55" t="n"/>
      <c r="D3761" s="55" t="n"/>
      <c r="E3761" s="93" t="n"/>
      <c r="F3761" s="94" t="n"/>
      <c r="G3761" s="94" t="n"/>
      <c r="H3761" s="94" t="n"/>
      <c r="I3761" s="94" t="n"/>
      <c r="J3761" s="55" t="n"/>
      <c r="K3761" s="95" t="n"/>
      <c r="L3761" s="116">
        <f>IF($A3761="","",DATE(YEAR($A3761),MONTH($A3761)+IF(AND(IFERROR(N(INDEX(Übersicht!$M$15:$M$22,MATCH($B3761,Übersicht!$A$15:$A$22,0))),0)&gt;1,DAY($A3761)&gt;=IFERROR(N(INDEX(Übersicht!$M$15:$M$22,MATCH($B3761,Übersicht!$A$15:$A$22,0))),0)),1,0),1))</f>
        <v/>
      </c>
    </row>
    <row r="3762">
      <c r="A3762" s="92" t="n"/>
      <c r="B3762" s="55" t="n"/>
      <c r="C3762" s="55" t="n"/>
      <c r="D3762" s="55" t="n"/>
      <c r="E3762" s="93" t="n"/>
      <c r="F3762" s="94" t="n"/>
      <c r="G3762" s="94" t="n"/>
      <c r="H3762" s="94" t="n"/>
      <c r="I3762" s="94" t="n"/>
      <c r="J3762" s="55" t="n"/>
      <c r="K3762" s="95" t="n"/>
      <c r="L3762" s="116">
        <f>IF($A3762="","",DATE(YEAR($A3762),MONTH($A3762)+IF(AND(IFERROR(N(INDEX(Übersicht!$M$15:$M$22,MATCH($B3762,Übersicht!$A$15:$A$22,0))),0)&gt;1,DAY($A3762)&gt;=IFERROR(N(INDEX(Übersicht!$M$15:$M$22,MATCH($B3762,Übersicht!$A$15:$A$22,0))),0)),1,0),1))</f>
        <v/>
      </c>
    </row>
    <row r="3763">
      <c r="A3763" s="92" t="n"/>
      <c r="B3763" s="55" t="n"/>
      <c r="C3763" s="55" t="n"/>
      <c r="D3763" s="55" t="n"/>
      <c r="E3763" s="93" t="n"/>
      <c r="F3763" s="94" t="n"/>
      <c r="G3763" s="94" t="n"/>
      <c r="H3763" s="94" t="n"/>
      <c r="I3763" s="94" t="n"/>
      <c r="J3763" s="55" t="n"/>
      <c r="K3763" s="95" t="n"/>
      <c r="L3763" s="116">
        <f>IF($A3763="","",DATE(YEAR($A3763),MONTH($A3763)+IF(AND(IFERROR(N(INDEX(Übersicht!$M$15:$M$22,MATCH($B3763,Übersicht!$A$15:$A$22,0))),0)&gt;1,DAY($A3763)&gt;=IFERROR(N(INDEX(Übersicht!$M$15:$M$22,MATCH($B3763,Übersicht!$A$15:$A$22,0))),0)),1,0),1))</f>
        <v/>
      </c>
    </row>
    <row r="3764">
      <c r="A3764" s="92" t="n"/>
      <c r="B3764" s="55" t="n"/>
      <c r="C3764" s="55" t="n"/>
      <c r="D3764" s="55" t="n"/>
      <c r="E3764" s="93" t="n"/>
      <c r="F3764" s="94" t="n"/>
      <c r="G3764" s="94" t="n"/>
      <c r="H3764" s="94" t="n"/>
      <c r="I3764" s="94" t="n"/>
      <c r="J3764" s="55" t="n"/>
      <c r="K3764" s="95" t="n"/>
      <c r="L3764" s="116">
        <f>IF($A3764="","",DATE(YEAR($A3764),MONTH($A3764)+IF(AND(IFERROR(N(INDEX(Übersicht!$M$15:$M$22,MATCH($B3764,Übersicht!$A$15:$A$22,0))),0)&gt;1,DAY($A3764)&gt;=IFERROR(N(INDEX(Übersicht!$M$15:$M$22,MATCH($B3764,Übersicht!$A$15:$A$22,0))),0)),1,0),1))</f>
        <v/>
      </c>
    </row>
    <row r="3765">
      <c r="A3765" s="92" t="n"/>
      <c r="B3765" s="55" t="n"/>
      <c r="C3765" s="55" t="n"/>
      <c r="D3765" s="55" t="n"/>
      <c r="E3765" s="93" t="n"/>
      <c r="F3765" s="94" t="n"/>
      <c r="G3765" s="94" t="n"/>
      <c r="H3765" s="94" t="n"/>
      <c r="I3765" s="94" t="n"/>
      <c r="J3765" s="55" t="n"/>
      <c r="K3765" s="95" t="n"/>
      <c r="L3765" s="116">
        <f>IF($A3765="","",DATE(YEAR($A3765),MONTH($A3765)+IF(AND(IFERROR(N(INDEX(Übersicht!$M$15:$M$22,MATCH($B3765,Übersicht!$A$15:$A$22,0))),0)&gt;1,DAY($A3765)&gt;=IFERROR(N(INDEX(Übersicht!$M$15:$M$22,MATCH($B3765,Übersicht!$A$15:$A$22,0))),0)),1,0),1))</f>
        <v/>
      </c>
    </row>
    <row r="3766">
      <c r="A3766" s="92" t="n"/>
      <c r="B3766" s="55" t="n"/>
      <c r="C3766" s="55" t="n"/>
      <c r="D3766" s="55" t="n"/>
      <c r="E3766" s="93" t="n"/>
      <c r="F3766" s="94" t="n"/>
      <c r="G3766" s="94" t="n"/>
      <c r="H3766" s="94" t="n"/>
      <c r="I3766" s="94" t="n"/>
      <c r="J3766" s="55" t="n"/>
      <c r="K3766" s="95" t="n"/>
      <c r="L3766" s="116">
        <f>IF($A3766="","",DATE(YEAR($A3766),MONTH($A3766)+IF(AND(IFERROR(N(INDEX(Übersicht!$M$15:$M$22,MATCH($B3766,Übersicht!$A$15:$A$22,0))),0)&gt;1,DAY($A3766)&gt;=IFERROR(N(INDEX(Übersicht!$M$15:$M$22,MATCH($B3766,Übersicht!$A$15:$A$22,0))),0)),1,0),1))</f>
        <v/>
      </c>
    </row>
    <row r="3767">
      <c r="A3767" s="92" t="n"/>
      <c r="B3767" s="55" t="n"/>
      <c r="C3767" s="55" t="n"/>
      <c r="D3767" s="55" t="n"/>
      <c r="E3767" s="93" t="n"/>
      <c r="F3767" s="94" t="n"/>
      <c r="G3767" s="94" t="n"/>
      <c r="H3767" s="94" t="n"/>
      <c r="I3767" s="94" t="n"/>
      <c r="J3767" s="55" t="n"/>
      <c r="K3767" s="95" t="n"/>
      <c r="L3767" s="116">
        <f>IF($A3767="","",DATE(YEAR($A3767),MONTH($A3767)+IF(AND(IFERROR(N(INDEX(Übersicht!$M$15:$M$22,MATCH($B3767,Übersicht!$A$15:$A$22,0))),0)&gt;1,DAY($A3767)&gt;=IFERROR(N(INDEX(Übersicht!$M$15:$M$22,MATCH($B3767,Übersicht!$A$15:$A$22,0))),0)),1,0),1))</f>
        <v/>
      </c>
    </row>
    <row r="3768">
      <c r="A3768" s="92" t="n"/>
      <c r="B3768" s="55" t="n"/>
      <c r="C3768" s="55" t="n"/>
      <c r="D3768" s="55" t="n"/>
      <c r="E3768" s="93" t="n"/>
      <c r="F3768" s="94" t="n"/>
      <c r="G3768" s="94" t="n"/>
      <c r="H3768" s="94" t="n"/>
      <c r="I3768" s="94" t="n"/>
      <c r="J3768" s="55" t="n"/>
      <c r="K3768" s="95" t="n"/>
      <c r="L3768" s="116">
        <f>IF($A3768="","",DATE(YEAR($A3768),MONTH($A3768)+IF(AND(IFERROR(N(INDEX(Übersicht!$M$15:$M$22,MATCH($B3768,Übersicht!$A$15:$A$22,0))),0)&gt;1,DAY($A3768)&gt;=IFERROR(N(INDEX(Übersicht!$M$15:$M$22,MATCH($B3768,Übersicht!$A$15:$A$22,0))),0)),1,0),1))</f>
        <v/>
      </c>
    </row>
    <row r="3769">
      <c r="A3769" s="92" t="n"/>
      <c r="B3769" s="55" t="n"/>
      <c r="C3769" s="55" t="n"/>
      <c r="D3769" s="55" t="n"/>
      <c r="E3769" s="93" t="n"/>
      <c r="F3769" s="94" t="n"/>
      <c r="G3769" s="94" t="n"/>
      <c r="H3769" s="94" t="n"/>
      <c r="I3769" s="94" t="n"/>
      <c r="J3769" s="55" t="n"/>
      <c r="K3769" s="95" t="n"/>
      <c r="L3769" s="116">
        <f>IF($A3769="","",DATE(YEAR($A3769),MONTH($A3769)+IF(AND(IFERROR(N(INDEX(Übersicht!$M$15:$M$22,MATCH($B3769,Übersicht!$A$15:$A$22,0))),0)&gt;1,DAY($A3769)&gt;=IFERROR(N(INDEX(Übersicht!$M$15:$M$22,MATCH($B3769,Übersicht!$A$15:$A$22,0))),0)),1,0),1))</f>
        <v/>
      </c>
    </row>
    <row r="3770">
      <c r="A3770" s="92" t="n"/>
      <c r="B3770" s="55" t="n"/>
      <c r="C3770" s="55" t="n"/>
      <c r="D3770" s="55" t="n"/>
      <c r="E3770" s="93" t="n"/>
      <c r="F3770" s="94" t="n"/>
      <c r="G3770" s="94" t="n"/>
      <c r="H3770" s="94" t="n"/>
      <c r="I3770" s="94" t="n"/>
      <c r="J3770" s="55" t="n"/>
      <c r="K3770" s="95" t="n"/>
      <c r="L3770" s="116">
        <f>IF($A3770="","",DATE(YEAR($A3770),MONTH($A3770)+IF(AND(IFERROR(N(INDEX(Übersicht!$M$15:$M$22,MATCH($B3770,Übersicht!$A$15:$A$22,0))),0)&gt;1,DAY($A3770)&gt;=IFERROR(N(INDEX(Übersicht!$M$15:$M$22,MATCH($B3770,Übersicht!$A$15:$A$22,0))),0)),1,0),1))</f>
        <v/>
      </c>
    </row>
    <row r="3771">
      <c r="A3771" s="92" t="n"/>
      <c r="B3771" s="55" t="n"/>
      <c r="C3771" s="55" t="n"/>
      <c r="D3771" s="55" t="n"/>
      <c r="E3771" s="93" t="n"/>
      <c r="F3771" s="94" t="n"/>
      <c r="G3771" s="94" t="n"/>
      <c r="H3771" s="94" t="n"/>
      <c r="I3771" s="94" t="n"/>
      <c r="J3771" s="55" t="n"/>
      <c r="K3771" s="95" t="n"/>
      <c r="L3771" s="116">
        <f>IF($A3771="","",DATE(YEAR($A3771),MONTH($A3771)+IF(AND(IFERROR(N(INDEX(Übersicht!$M$15:$M$22,MATCH($B3771,Übersicht!$A$15:$A$22,0))),0)&gt;1,DAY($A3771)&gt;=IFERROR(N(INDEX(Übersicht!$M$15:$M$22,MATCH($B3771,Übersicht!$A$15:$A$22,0))),0)),1,0),1))</f>
        <v/>
      </c>
    </row>
    <row r="3772">
      <c r="A3772" s="92" t="n"/>
      <c r="B3772" s="55" t="n"/>
      <c r="C3772" s="55" t="n"/>
      <c r="D3772" s="55" t="n"/>
      <c r="E3772" s="93" t="n"/>
      <c r="F3772" s="94" t="n"/>
      <c r="G3772" s="94" t="n"/>
      <c r="H3772" s="94" t="n"/>
      <c r="I3772" s="94" t="n"/>
      <c r="J3772" s="55" t="n"/>
      <c r="K3772" s="95" t="n"/>
      <c r="L3772" s="116">
        <f>IF($A3772="","",DATE(YEAR($A3772),MONTH($A3772)+IF(AND(IFERROR(N(INDEX(Übersicht!$M$15:$M$22,MATCH($B3772,Übersicht!$A$15:$A$22,0))),0)&gt;1,DAY($A3772)&gt;=IFERROR(N(INDEX(Übersicht!$M$15:$M$22,MATCH($B3772,Übersicht!$A$15:$A$22,0))),0)),1,0),1))</f>
        <v/>
      </c>
    </row>
    <row r="3773">
      <c r="A3773" s="92" t="n"/>
      <c r="B3773" s="55" t="n"/>
      <c r="C3773" s="55" t="n"/>
      <c r="D3773" s="55" t="n"/>
      <c r="E3773" s="93" t="n"/>
      <c r="F3773" s="94" t="n"/>
      <c r="G3773" s="94" t="n"/>
      <c r="H3773" s="94" t="n"/>
      <c r="I3773" s="94" t="n"/>
      <c r="J3773" s="55" t="n"/>
      <c r="K3773" s="95" t="n"/>
      <c r="L3773" s="116">
        <f>IF($A3773="","",DATE(YEAR($A3773),MONTH($A3773)+IF(AND(IFERROR(N(INDEX(Übersicht!$M$15:$M$22,MATCH($B3773,Übersicht!$A$15:$A$22,0))),0)&gt;1,DAY($A3773)&gt;=IFERROR(N(INDEX(Übersicht!$M$15:$M$22,MATCH($B3773,Übersicht!$A$15:$A$22,0))),0)),1,0),1))</f>
        <v/>
      </c>
    </row>
    <row r="3774">
      <c r="A3774" s="92" t="n"/>
      <c r="B3774" s="55" t="n"/>
      <c r="C3774" s="55" t="n"/>
      <c r="D3774" s="55" t="n"/>
      <c r="E3774" s="93" t="n"/>
      <c r="F3774" s="94" t="n"/>
      <c r="G3774" s="94" t="n"/>
      <c r="H3774" s="94" t="n"/>
      <c r="I3774" s="94" t="n"/>
      <c r="J3774" s="55" t="n"/>
      <c r="K3774" s="95" t="n"/>
      <c r="L3774" s="116">
        <f>IF($A3774="","",DATE(YEAR($A3774),MONTH($A3774)+IF(AND(IFERROR(N(INDEX(Übersicht!$M$15:$M$22,MATCH($B3774,Übersicht!$A$15:$A$22,0))),0)&gt;1,DAY($A3774)&gt;=IFERROR(N(INDEX(Übersicht!$M$15:$M$22,MATCH($B3774,Übersicht!$A$15:$A$22,0))),0)),1,0),1))</f>
        <v/>
      </c>
    </row>
    <row r="3775">
      <c r="A3775" s="92" t="n"/>
      <c r="B3775" s="55" t="n"/>
      <c r="C3775" s="55" t="n"/>
      <c r="D3775" s="55" t="n"/>
      <c r="E3775" s="93" t="n"/>
      <c r="F3775" s="94" t="n"/>
      <c r="G3775" s="94" t="n"/>
      <c r="H3775" s="94" t="n"/>
      <c r="I3775" s="94" t="n"/>
      <c r="J3775" s="55" t="n"/>
      <c r="K3775" s="95" t="n"/>
      <c r="L3775" s="116">
        <f>IF($A3775="","",DATE(YEAR($A3775),MONTH($A3775)+IF(AND(IFERROR(N(INDEX(Übersicht!$M$15:$M$22,MATCH($B3775,Übersicht!$A$15:$A$22,0))),0)&gt;1,DAY($A3775)&gt;=IFERROR(N(INDEX(Übersicht!$M$15:$M$22,MATCH($B3775,Übersicht!$A$15:$A$22,0))),0)),1,0),1))</f>
        <v/>
      </c>
    </row>
    <row r="3776">
      <c r="A3776" s="92" t="n"/>
      <c r="B3776" s="55" t="n"/>
      <c r="C3776" s="55" t="n"/>
      <c r="D3776" s="55" t="n"/>
      <c r="E3776" s="93" t="n"/>
      <c r="F3776" s="94" t="n"/>
      <c r="G3776" s="94" t="n"/>
      <c r="H3776" s="94" t="n"/>
      <c r="I3776" s="94" t="n"/>
      <c r="J3776" s="55" t="n"/>
      <c r="K3776" s="95" t="n"/>
      <c r="L3776" s="116">
        <f>IF($A3776="","",DATE(YEAR($A3776),MONTH($A3776)+IF(AND(IFERROR(N(INDEX(Übersicht!$M$15:$M$22,MATCH($B3776,Übersicht!$A$15:$A$22,0))),0)&gt;1,DAY($A3776)&gt;=IFERROR(N(INDEX(Übersicht!$M$15:$M$22,MATCH($B3776,Übersicht!$A$15:$A$22,0))),0)),1,0),1))</f>
        <v/>
      </c>
    </row>
    <row r="3777">
      <c r="A3777" s="92" t="n"/>
      <c r="B3777" s="55" t="n"/>
      <c r="C3777" s="55" t="n"/>
      <c r="D3777" s="55" t="n"/>
      <c r="E3777" s="93" t="n"/>
      <c r="F3777" s="94" t="n"/>
      <c r="G3777" s="94" t="n"/>
      <c r="H3777" s="94" t="n"/>
      <c r="I3777" s="94" t="n"/>
      <c r="J3777" s="55" t="n"/>
      <c r="K3777" s="95" t="n"/>
      <c r="L3777" s="116">
        <f>IF($A3777="","",DATE(YEAR($A3777),MONTH($A3777)+IF(AND(IFERROR(N(INDEX(Übersicht!$M$15:$M$22,MATCH($B3777,Übersicht!$A$15:$A$22,0))),0)&gt;1,DAY($A3777)&gt;=IFERROR(N(INDEX(Übersicht!$M$15:$M$22,MATCH($B3777,Übersicht!$A$15:$A$22,0))),0)),1,0),1))</f>
        <v/>
      </c>
    </row>
    <row r="3778">
      <c r="A3778" s="92" t="n"/>
      <c r="B3778" s="55" t="n"/>
      <c r="C3778" s="55" t="n"/>
      <c r="D3778" s="55" t="n"/>
      <c r="E3778" s="93" t="n"/>
      <c r="F3778" s="94" t="n"/>
      <c r="G3778" s="94" t="n"/>
      <c r="H3778" s="94" t="n"/>
      <c r="I3778" s="94" t="n"/>
      <c r="J3778" s="55" t="n"/>
      <c r="K3778" s="95" t="n"/>
      <c r="L3778" s="116">
        <f>IF($A3778="","",DATE(YEAR($A3778),MONTH($A3778)+IF(AND(IFERROR(N(INDEX(Übersicht!$M$15:$M$22,MATCH($B3778,Übersicht!$A$15:$A$22,0))),0)&gt;1,DAY($A3778)&gt;=IFERROR(N(INDEX(Übersicht!$M$15:$M$22,MATCH($B3778,Übersicht!$A$15:$A$22,0))),0)),1,0),1))</f>
        <v/>
      </c>
    </row>
    <row r="3779">
      <c r="A3779" s="92" t="n"/>
      <c r="B3779" s="55" t="n"/>
      <c r="C3779" s="55" t="n"/>
      <c r="D3779" s="55" t="n"/>
      <c r="E3779" s="93" t="n"/>
      <c r="F3779" s="94" t="n"/>
      <c r="G3779" s="94" t="n"/>
      <c r="H3779" s="94" t="n"/>
      <c r="I3779" s="94" t="n"/>
      <c r="J3779" s="55" t="n"/>
      <c r="K3779" s="95" t="n"/>
      <c r="L3779" s="116">
        <f>IF($A3779="","",DATE(YEAR($A3779),MONTH($A3779)+IF(AND(IFERROR(N(INDEX(Übersicht!$M$15:$M$22,MATCH($B3779,Übersicht!$A$15:$A$22,0))),0)&gt;1,DAY($A3779)&gt;=IFERROR(N(INDEX(Übersicht!$M$15:$M$22,MATCH($B3779,Übersicht!$A$15:$A$22,0))),0)),1,0),1))</f>
        <v/>
      </c>
    </row>
    <row r="3780">
      <c r="A3780" s="92" t="n"/>
      <c r="B3780" s="55" t="n"/>
      <c r="C3780" s="55" t="n"/>
      <c r="D3780" s="55" t="n"/>
      <c r="E3780" s="93" t="n"/>
      <c r="F3780" s="94" t="n"/>
      <c r="G3780" s="94" t="n"/>
      <c r="H3780" s="94" t="n"/>
      <c r="I3780" s="94" t="n"/>
      <c r="J3780" s="55" t="n"/>
      <c r="K3780" s="95" t="n"/>
      <c r="L3780" s="116">
        <f>IF($A3780="","",DATE(YEAR($A3780),MONTH($A3780)+IF(AND(IFERROR(N(INDEX(Übersicht!$M$15:$M$22,MATCH($B3780,Übersicht!$A$15:$A$22,0))),0)&gt;1,DAY($A3780)&gt;=IFERROR(N(INDEX(Übersicht!$M$15:$M$22,MATCH($B3780,Übersicht!$A$15:$A$22,0))),0)),1,0),1))</f>
        <v/>
      </c>
    </row>
    <row r="3781">
      <c r="A3781" s="92" t="n"/>
      <c r="B3781" s="55" t="n"/>
      <c r="C3781" s="55" t="n"/>
      <c r="D3781" s="55" t="n"/>
      <c r="E3781" s="93" t="n"/>
      <c r="F3781" s="94" t="n"/>
      <c r="G3781" s="94" t="n"/>
      <c r="H3781" s="94" t="n"/>
      <c r="I3781" s="94" t="n"/>
      <c r="J3781" s="55" t="n"/>
      <c r="K3781" s="95" t="n"/>
      <c r="L3781" s="116">
        <f>IF($A3781="","",DATE(YEAR($A3781),MONTH($A3781)+IF(AND(IFERROR(N(INDEX(Übersicht!$M$15:$M$22,MATCH($B3781,Übersicht!$A$15:$A$22,0))),0)&gt;1,DAY($A3781)&gt;=IFERROR(N(INDEX(Übersicht!$M$15:$M$22,MATCH($B3781,Übersicht!$A$15:$A$22,0))),0)),1,0),1))</f>
        <v/>
      </c>
    </row>
    <row r="3782">
      <c r="A3782" s="92" t="n"/>
      <c r="B3782" s="55" t="n"/>
      <c r="C3782" s="55" t="n"/>
      <c r="D3782" s="55" t="n"/>
      <c r="E3782" s="93" t="n"/>
      <c r="F3782" s="94" t="n"/>
      <c r="G3782" s="94" t="n"/>
      <c r="H3782" s="94" t="n"/>
      <c r="I3782" s="94" t="n"/>
      <c r="J3782" s="55" t="n"/>
      <c r="K3782" s="95" t="n"/>
      <c r="L3782" s="116">
        <f>IF($A3782="","",DATE(YEAR($A3782),MONTH($A3782)+IF(AND(IFERROR(N(INDEX(Übersicht!$M$15:$M$22,MATCH($B3782,Übersicht!$A$15:$A$22,0))),0)&gt;1,DAY($A3782)&gt;=IFERROR(N(INDEX(Übersicht!$M$15:$M$22,MATCH($B3782,Übersicht!$A$15:$A$22,0))),0)),1,0),1))</f>
        <v/>
      </c>
    </row>
    <row r="3783">
      <c r="A3783" s="92" t="n"/>
      <c r="B3783" s="55" t="n"/>
      <c r="C3783" s="55" t="n"/>
      <c r="D3783" s="55" t="n"/>
      <c r="E3783" s="93" t="n"/>
      <c r="F3783" s="94" t="n"/>
      <c r="G3783" s="94" t="n"/>
      <c r="H3783" s="94" t="n"/>
      <c r="I3783" s="94" t="n"/>
      <c r="J3783" s="55" t="n"/>
      <c r="K3783" s="95" t="n"/>
      <c r="L3783" s="116">
        <f>IF($A3783="","",DATE(YEAR($A3783),MONTH($A3783)+IF(AND(IFERROR(N(INDEX(Übersicht!$M$15:$M$22,MATCH($B3783,Übersicht!$A$15:$A$22,0))),0)&gt;1,DAY($A3783)&gt;=IFERROR(N(INDEX(Übersicht!$M$15:$M$22,MATCH($B3783,Übersicht!$A$15:$A$22,0))),0)),1,0),1))</f>
        <v/>
      </c>
    </row>
    <row r="3784">
      <c r="A3784" s="92" t="n"/>
      <c r="B3784" s="55" t="n"/>
      <c r="C3784" s="55" t="n"/>
      <c r="D3784" s="55" t="n"/>
      <c r="E3784" s="93" t="n"/>
      <c r="F3784" s="94" t="n"/>
      <c r="G3784" s="94" t="n"/>
      <c r="H3784" s="94" t="n"/>
      <c r="I3784" s="94" t="n"/>
      <c r="J3784" s="55" t="n"/>
      <c r="K3784" s="95" t="n"/>
      <c r="L3784" s="116">
        <f>IF($A3784="","",DATE(YEAR($A3784),MONTH($A3784)+IF(AND(IFERROR(N(INDEX(Übersicht!$M$15:$M$22,MATCH($B3784,Übersicht!$A$15:$A$22,0))),0)&gt;1,DAY($A3784)&gt;=IFERROR(N(INDEX(Übersicht!$M$15:$M$22,MATCH($B3784,Übersicht!$A$15:$A$22,0))),0)),1,0),1))</f>
        <v/>
      </c>
    </row>
    <row r="3785">
      <c r="A3785" s="92" t="n"/>
      <c r="B3785" s="55" t="n"/>
      <c r="C3785" s="55" t="n"/>
      <c r="D3785" s="55" t="n"/>
      <c r="E3785" s="93" t="n"/>
      <c r="F3785" s="94" t="n"/>
      <c r="G3785" s="94" t="n"/>
      <c r="H3785" s="94" t="n"/>
      <c r="I3785" s="94" t="n"/>
      <c r="J3785" s="55" t="n"/>
      <c r="K3785" s="95" t="n"/>
      <c r="L3785" s="116">
        <f>IF($A3785="","",DATE(YEAR($A3785),MONTH($A3785)+IF(AND(IFERROR(N(INDEX(Übersicht!$M$15:$M$22,MATCH($B3785,Übersicht!$A$15:$A$22,0))),0)&gt;1,DAY($A3785)&gt;=IFERROR(N(INDEX(Übersicht!$M$15:$M$22,MATCH($B3785,Übersicht!$A$15:$A$22,0))),0)),1,0),1))</f>
        <v/>
      </c>
    </row>
    <row r="3786">
      <c r="A3786" s="92" t="n"/>
      <c r="B3786" s="55" t="n"/>
      <c r="C3786" s="55" t="n"/>
      <c r="D3786" s="55" t="n"/>
      <c r="E3786" s="93" t="n"/>
      <c r="F3786" s="94" t="n"/>
      <c r="G3786" s="94" t="n"/>
      <c r="H3786" s="94" t="n"/>
      <c r="I3786" s="94" t="n"/>
      <c r="J3786" s="55" t="n"/>
      <c r="K3786" s="95" t="n"/>
      <c r="L3786" s="116">
        <f>IF($A3786="","",DATE(YEAR($A3786),MONTH($A3786)+IF(AND(IFERROR(N(INDEX(Übersicht!$M$15:$M$22,MATCH($B3786,Übersicht!$A$15:$A$22,0))),0)&gt;1,DAY($A3786)&gt;=IFERROR(N(INDEX(Übersicht!$M$15:$M$22,MATCH($B3786,Übersicht!$A$15:$A$22,0))),0)),1,0),1))</f>
        <v/>
      </c>
    </row>
    <row r="3787">
      <c r="A3787" s="92" t="n"/>
      <c r="B3787" s="55" t="n"/>
      <c r="C3787" s="55" t="n"/>
      <c r="D3787" s="55" t="n"/>
      <c r="E3787" s="93" t="n"/>
      <c r="F3787" s="94" t="n"/>
      <c r="G3787" s="94" t="n"/>
      <c r="H3787" s="94" t="n"/>
      <c r="I3787" s="94" t="n"/>
      <c r="J3787" s="55" t="n"/>
      <c r="K3787" s="95" t="n"/>
      <c r="L3787" s="116">
        <f>IF($A3787="","",DATE(YEAR($A3787),MONTH($A3787)+IF(AND(IFERROR(N(INDEX(Übersicht!$M$15:$M$22,MATCH($B3787,Übersicht!$A$15:$A$22,0))),0)&gt;1,DAY($A3787)&gt;=IFERROR(N(INDEX(Übersicht!$M$15:$M$22,MATCH($B3787,Übersicht!$A$15:$A$22,0))),0)),1,0),1))</f>
        <v/>
      </c>
    </row>
    <row r="3788">
      <c r="A3788" s="92" t="n"/>
      <c r="B3788" s="55" t="n"/>
      <c r="C3788" s="55" t="n"/>
      <c r="D3788" s="55" t="n"/>
      <c r="E3788" s="93" t="n"/>
      <c r="F3788" s="94" t="n"/>
      <c r="G3788" s="94" t="n"/>
      <c r="H3788" s="94" t="n"/>
      <c r="I3788" s="94" t="n"/>
      <c r="J3788" s="55" t="n"/>
      <c r="K3788" s="95" t="n"/>
      <c r="L3788" s="116">
        <f>IF($A3788="","",DATE(YEAR($A3788),MONTH($A3788)+IF(AND(IFERROR(N(INDEX(Übersicht!$M$15:$M$22,MATCH($B3788,Übersicht!$A$15:$A$22,0))),0)&gt;1,DAY($A3788)&gt;=IFERROR(N(INDEX(Übersicht!$M$15:$M$22,MATCH($B3788,Übersicht!$A$15:$A$22,0))),0)),1,0),1))</f>
        <v/>
      </c>
    </row>
    <row r="3789">
      <c r="A3789" s="92" t="n"/>
      <c r="B3789" s="55" t="n"/>
      <c r="C3789" s="55" t="n"/>
      <c r="D3789" s="55" t="n"/>
      <c r="E3789" s="93" t="n"/>
      <c r="F3789" s="94" t="n"/>
      <c r="G3789" s="94" t="n"/>
      <c r="H3789" s="94" t="n"/>
      <c r="I3789" s="94" t="n"/>
      <c r="J3789" s="55" t="n"/>
      <c r="K3789" s="95" t="n"/>
      <c r="L3789" s="116">
        <f>IF($A3789="","",DATE(YEAR($A3789),MONTH($A3789)+IF(AND(IFERROR(N(INDEX(Übersicht!$M$15:$M$22,MATCH($B3789,Übersicht!$A$15:$A$22,0))),0)&gt;1,DAY($A3789)&gt;=IFERROR(N(INDEX(Übersicht!$M$15:$M$22,MATCH($B3789,Übersicht!$A$15:$A$22,0))),0)),1,0),1))</f>
        <v/>
      </c>
    </row>
    <row r="3790">
      <c r="A3790" s="92" t="n"/>
      <c r="B3790" s="55" t="n"/>
      <c r="C3790" s="55" t="n"/>
      <c r="D3790" s="55" t="n"/>
      <c r="E3790" s="93" t="n"/>
      <c r="F3790" s="94" t="n"/>
      <c r="G3790" s="94" t="n"/>
      <c r="H3790" s="94" t="n"/>
      <c r="I3790" s="94" t="n"/>
      <c r="J3790" s="55" t="n"/>
      <c r="K3790" s="95" t="n"/>
      <c r="L3790" s="116">
        <f>IF($A3790="","",DATE(YEAR($A3790),MONTH($A3790)+IF(AND(IFERROR(N(INDEX(Übersicht!$M$15:$M$22,MATCH($B3790,Übersicht!$A$15:$A$22,0))),0)&gt;1,DAY($A3790)&gt;=IFERROR(N(INDEX(Übersicht!$M$15:$M$22,MATCH($B3790,Übersicht!$A$15:$A$22,0))),0)),1,0),1))</f>
        <v/>
      </c>
    </row>
    <row r="3791">
      <c r="A3791" s="92" t="n"/>
      <c r="B3791" s="55" t="n"/>
      <c r="C3791" s="55" t="n"/>
      <c r="D3791" s="55" t="n"/>
      <c r="E3791" s="93" t="n"/>
      <c r="F3791" s="94" t="n"/>
      <c r="G3791" s="94" t="n"/>
      <c r="H3791" s="94" t="n"/>
      <c r="I3791" s="94" t="n"/>
      <c r="J3791" s="55" t="n"/>
      <c r="K3791" s="95" t="n"/>
      <c r="L3791" s="116">
        <f>IF($A3791="","",DATE(YEAR($A3791),MONTH($A3791)+IF(AND(IFERROR(N(INDEX(Übersicht!$M$15:$M$22,MATCH($B3791,Übersicht!$A$15:$A$22,0))),0)&gt;1,DAY($A3791)&gt;=IFERROR(N(INDEX(Übersicht!$M$15:$M$22,MATCH($B3791,Übersicht!$A$15:$A$22,0))),0)),1,0),1))</f>
        <v/>
      </c>
    </row>
    <row r="3792">
      <c r="A3792" s="92" t="n"/>
      <c r="B3792" s="55" t="n"/>
      <c r="C3792" s="55" t="n"/>
      <c r="D3792" s="55" t="n"/>
      <c r="E3792" s="93" t="n"/>
      <c r="F3792" s="94" t="n"/>
      <c r="G3792" s="94" t="n"/>
      <c r="H3792" s="94" t="n"/>
      <c r="I3792" s="94" t="n"/>
      <c r="J3792" s="55" t="n"/>
      <c r="K3792" s="95" t="n"/>
      <c r="L3792" s="116">
        <f>IF($A3792="","",DATE(YEAR($A3792),MONTH($A3792)+IF(AND(IFERROR(N(INDEX(Übersicht!$M$15:$M$22,MATCH($B3792,Übersicht!$A$15:$A$22,0))),0)&gt;1,DAY($A3792)&gt;=IFERROR(N(INDEX(Übersicht!$M$15:$M$22,MATCH($B3792,Übersicht!$A$15:$A$22,0))),0)),1,0),1))</f>
        <v/>
      </c>
    </row>
    <row r="3793">
      <c r="A3793" s="92" t="n"/>
      <c r="B3793" s="55" t="n"/>
      <c r="C3793" s="55" t="n"/>
      <c r="D3793" s="55" t="n"/>
      <c r="E3793" s="93" t="n"/>
      <c r="F3793" s="94" t="n"/>
      <c r="G3793" s="94" t="n"/>
      <c r="H3793" s="94" t="n"/>
      <c r="I3793" s="94" t="n"/>
      <c r="J3793" s="55" t="n"/>
      <c r="K3793" s="95" t="n"/>
      <c r="L3793" s="116">
        <f>IF($A3793="","",DATE(YEAR($A3793),MONTH($A3793)+IF(AND(IFERROR(N(INDEX(Übersicht!$M$15:$M$22,MATCH($B3793,Übersicht!$A$15:$A$22,0))),0)&gt;1,DAY($A3793)&gt;=IFERROR(N(INDEX(Übersicht!$M$15:$M$22,MATCH($B3793,Übersicht!$A$15:$A$22,0))),0)),1,0),1))</f>
        <v/>
      </c>
    </row>
    <row r="3794">
      <c r="A3794" s="92" t="n"/>
      <c r="B3794" s="55" t="n"/>
      <c r="C3794" s="55" t="n"/>
      <c r="D3794" s="55" t="n"/>
      <c r="E3794" s="93" t="n"/>
      <c r="F3794" s="94" t="n"/>
      <c r="G3794" s="94" t="n"/>
      <c r="H3794" s="94" t="n"/>
      <c r="I3794" s="94" t="n"/>
      <c r="J3794" s="55" t="n"/>
      <c r="K3794" s="95" t="n"/>
      <c r="L3794" s="116">
        <f>IF($A3794="","",DATE(YEAR($A3794),MONTH($A3794)+IF(AND(IFERROR(N(INDEX(Übersicht!$M$15:$M$22,MATCH($B3794,Übersicht!$A$15:$A$22,0))),0)&gt;1,DAY($A3794)&gt;=IFERROR(N(INDEX(Übersicht!$M$15:$M$22,MATCH($B3794,Übersicht!$A$15:$A$22,0))),0)),1,0),1))</f>
        <v/>
      </c>
    </row>
    <row r="3795">
      <c r="A3795" s="92" t="n"/>
      <c r="B3795" s="55" t="n"/>
      <c r="C3795" s="55" t="n"/>
      <c r="D3795" s="55" t="n"/>
      <c r="E3795" s="93" t="n"/>
      <c r="F3795" s="94" t="n"/>
      <c r="G3795" s="94" t="n"/>
      <c r="H3795" s="94" t="n"/>
      <c r="I3795" s="94" t="n"/>
      <c r="J3795" s="55" t="n"/>
      <c r="K3795" s="95" t="n"/>
      <c r="L3795" s="116">
        <f>IF($A3795="","",DATE(YEAR($A3795),MONTH($A3795)+IF(AND(IFERROR(N(INDEX(Übersicht!$M$15:$M$22,MATCH($B3795,Übersicht!$A$15:$A$22,0))),0)&gt;1,DAY($A3795)&gt;=IFERROR(N(INDEX(Übersicht!$M$15:$M$22,MATCH($B3795,Übersicht!$A$15:$A$22,0))),0)),1,0),1))</f>
        <v/>
      </c>
    </row>
    <row r="3796">
      <c r="A3796" s="92" t="n"/>
      <c r="B3796" s="55" t="n"/>
      <c r="C3796" s="55" t="n"/>
      <c r="D3796" s="55" t="n"/>
      <c r="E3796" s="93" t="n"/>
      <c r="F3796" s="94" t="n"/>
      <c r="G3796" s="94" t="n"/>
      <c r="H3796" s="94" t="n"/>
      <c r="I3796" s="94" t="n"/>
      <c r="J3796" s="55" t="n"/>
      <c r="K3796" s="95" t="n"/>
      <c r="L3796" s="116">
        <f>IF($A3796="","",DATE(YEAR($A3796),MONTH($A3796)+IF(AND(IFERROR(N(INDEX(Übersicht!$M$15:$M$22,MATCH($B3796,Übersicht!$A$15:$A$22,0))),0)&gt;1,DAY($A3796)&gt;=IFERROR(N(INDEX(Übersicht!$M$15:$M$22,MATCH($B3796,Übersicht!$A$15:$A$22,0))),0)),1,0),1))</f>
        <v/>
      </c>
    </row>
    <row r="3797">
      <c r="A3797" s="92" t="n"/>
      <c r="B3797" s="55" t="n"/>
      <c r="C3797" s="55" t="n"/>
      <c r="D3797" s="55" t="n"/>
      <c r="E3797" s="93" t="n"/>
      <c r="F3797" s="94" t="n"/>
      <c r="G3797" s="94" t="n"/>
      <c r="H3797" s="94" t="n"/>
      <c r="I3797" s="94" t="n"/>
      <c r="J3797" s="55" t="n"/>
      <c r="K3797" s="95" t="n"/>
      <c r="L3797" s="116">
        <f>IF($A3797="","",DATE(YEAR($A3797),MONTH($A3797)+IF(AND(IFERROR(N(INDEX(Übersicht!$M$15:$M$22,MATCH($B3797,Übersicht!$A$15:$A$22,0))),0)&gt;1,DAY($A3797)&gt;=IFERROR(N(INDEX(Übersicht!$M$15:$M$22,MATCH($B3797,Übersicht!$A$15:$A$22,0))),0)),1,0),1))</f>
        <v/>
      </c>
    </row>
    <row r="3798">
      <c r="A3798" s="92" t="n"/>
      <c r="B3798" s="55" t="n"/>
      <c r="C3798" s="55" t="n"/>
      <c r="D3798" s="55" t="n"/>
      <c r="E3798" s="93" t="n"/>
      <c r="F3798" s="94" t="n"/>
      <c r="G3798" s="94" t="n"/>
      <c r="H3798" s="94" t="n"/>
      <c r="I3798" s="94" t="n"/>
      <c r="J3798" s="55" t="n"/>
      <c r="K3798" s="95" t="n"/>
      <c r="L3798" s="116">
        <f>IF($A3798="","",DATE(YEAR($A3798),MONTH($A3798)+IF(AND(IFERROR(N(INDEX(Übersicht!$M$15:$M$22,MATCH($B3798,Übersicht!$A$15:$A$22,0))),0)&gt;1,DAY($A3798)&gt;=IFERROR(N(INDEX(Übersicht!$M$15:$M$22,MATCH($B3798,Übersicht!$A$15:$A$22,0))),0)),1,0),1))</f>
        <v/>
      </c>
    </row>
    <row r="3799">
      <c r="A3799" s="92" t="n"/>
      <c r="B3799" s="55" t="n"/>
      <c r="C3799" s="55" t="n"/>
      <c r="D3799" s="55" t="n"/>
      <c r="E3799" s="93" t="n"/>
      <c r="F3799" s="94" t="n"/>
      <c r="G3799" s="94" t="n"/>
      <c r="H3799" s="94" t="n"/>
      <c r="I3799" s="94" t="n"/>
      <c r="J3799" s="55" t="n"/>
      <c r="K3799" s="95" t="n"/>
      <c r="L3799" s="116">
        <f>IF($A3799="","",DATE(YEAR($A3799),MONTH($A3799)+IF(AND(IFERROR(N(INDEX(Übersicht!$M$15:$M$22,MATCH($B3799,Übersicht!$A$15:$A$22,0))),0)&gt;1,DAY($A3799)&gt;=IFERROR(N(INDEX(Übersicht!$M$15:$M$22,MATCH($B3799,Übersicht!$A$15:$A$22,0))),0)),1,0),1))</f>
        <v/>
      </c>
    </row>
    <row r="3800">
      <c r="A3800" s="92" t="n"/>
      <c r="B3800" s="55" t="n"/>
      <c r="C3800" s="55" t="n"/>
      <c r="D3800" s="55" t="n"/>
      <c r="E3800" s="93" t="n"/>
      <c r="F3800" s="94" t="n"/>
      <c r="G3800" s="94" t="n"/>
      <c r="H3800" s="94" t="n"/>
      <c r="I3800" s="94" t="n"/>
      <c r="J3800" s="55" t="n"/>
      <c r="K3800" s="95" t="n"/>
      <c r="L3800" s="116">
        <f>IF($A3800="","",DATE(YEAR($A3800),MONTH($A3800)+IF(AND(IFERROR(N(INDEX(Übersicht!$M$15:$M$22,MATCH($B3800,Übersicht!$A$15:$A$22,0))),0)&gt;1,DAY($A3800)&gt;=IFERROR(N(INDEX(Übersicht!$M$15:$M$22,MATCH($B3800,Übersicht!$A$15:$A$22,0))),0)),1,0),1))</f>
        <v/>
      </c>
    </row>
    <row r="3801">
      <c r="A3801" s="92" t="n"/>
      <c r="B3801" s="55" t="n"/>
      <c r="C3801" s="55" t="n"/>
      <c r="D3801" s="55" t="n"/>
      <c r="E3801" s="93" t="n"/>
      <c r="F3801" s="94" t="n"/>
      <c r="G3801" s="94" t="n"/>
      <c r="H3801" s="94" t="n"/>
      <c r="I3801" s="94" t="n"/>
      <c r="J3801" s="55" t="n"/>
      <c r="K3801" s="95" t="n"/>
      <c r="L3801" s="116">
        <f>IF($A3801="","",DATE(YEAR($A3801),MONTH($A3801)+IF(AND(IFERROR(N(INDEX(Übersicht!$M$15:$M$22,MATCH($B3801,Übersicht!$A$15:$A$22,0))),0)&gt;1,DAY($A3801)&gt;=IFERROR(N(INDEX(Übersicht!$M$15:$M$22,MATCH($B3801,Übersicht!$A$15:$A$22,0))),0)),1,0),1))</f>
        <v/>
      </c>
    </row>
    <row r="3802">
      <c r="A3802" s="92" t="n"/>
      <c r="B3802" s="55" t="n"/>
      <c r="C3802" s="55" t="n"/>
      <c r="D3802" s="55" t="n"/>
      <c r="E3802" s="93" t="n"/>
      <c r="F3802" s="94" t="n"/>
      <c r="G3802" s="94" t="n"/>
      <c r="H3802" s="94" t="n"/>
      <c r="I3802" s="94" t="n"/>
      <c r="J3802" s="55" t="n"/>
      <c r="K3802" s="95" t="n"/>
      <c r="L3802" s="116">
        <f>IF($A3802="","",DATE(YEAR($A3802),MONTH($A3802)+IF(AND(IFERROR(N(INDEX(Übersicht!$M$15:$M$22,MATCH($B3802,Übersicht!$A$15:$A$22,0))),0)&gt;1,DAY($A3802)&gt;=IFERROR(N(INDEX(Übersicht!$M$15:$M$22,MATCH($B3802,Übersicht!$A$15:$A$22,0))),0)),1,0),1))</f>
        <v/>
      </c>
    </row>
    <row r="3803">
      <c r="A3803" s="92" t="n"/>
      <c r="B3803" s="55" t="n"/>
      <c r="C3803" s="55" t="n"/>
      <c r="D3803" s="55" t="n"/>
      <c r="E3803" s="93" t="n"/>
      <c r="F3803" s="94" t="n"/>
      <c r="G3803" s="94" t="n"/>
      <c r="H3803" s="94" t="n"/>
      <c r="I3803" s="94" t="n"/>
      <c r="J3803" s="55" t="n"/>
      <c r="K3803" s="95" t="n"/>
      <c r="L3803" s="116">
        <f>IF($A3803="","",DATE(YEAR($A3803),MONTH($A3803)+IF(AND(IFERROR(N(INDEX(Übersicht!$M$15:$M$22,MATCH($B3803,Übersicht!$A$15:$A$22,0))),0)&gt;1,DAY($A3803)&gt;=IFERROR(N(INDEX(Übersicht!$M$15:$M$22,MATCH($B3803,Übersicht!$A$15:$A$22,0))),0)),1,0),1))</f>
        <v/>
      </c>
    </row>
    <row r="3804">
      <c r="A3804" s="92" t="n"/>
      <c r="B3804" s="55" t="n"/>
      <c r="C3804" s="55" t="n"/>
      <c r="D3804" s="55" t="n"/>
      <c r="E3804" s="93" t="n"/>
      <c r="F3804" s="94" t="n"/>
      <c r="G3804" s="94" t="n"/>
      <c r="H3804" s="94" t="n"/>
      <c r="I3804" s="94" t="n"/>
      <c r="J3804" s="55" t="n"/>
      <c r="K3804" s="95" t="n"/>
      <c r="L3804" s="116">
        <f>IF($A3804="","",DATE(YEAR($A3804),MONTH($A3804)+IF(AND(IFERROR(N(INDEX(Übersicht!$M$15:$M$22,MATCH($B3804,Übersicht!$A$15:$A$22,0))),0)&gt;1,DAY($A3804)&gt;=IFERROR(N(INDEX(Übersicht!$M$15:$M$22,MATCH($B3804,Übersicht!$A$15:$A$22,0))),0)),1,0),1))</f>
        <v/>
      </c>
    </row>
    <row r="3805">
      <c r="A3805" s="92" t="n"/>
      <c r="B3805" s="55" t="n"/>
      <c r="C3805" s="55" t="n"/>
      <c r="D3805" s="55" t="n"/>
      <c r="E3805" s="93" t="n"/>
      <c r="F3805" s="94" t="n"/>
      <c r="G3805" s="94" t="n"/>
      <c r="H3805" s="94" t="n"/>
      <c r="I3805" s="94" t="n"/>
      <c r="J3805" s="55" t="n"/>
      <c r="K3805" s="95" t="n"/>
      <c r="L3805" s="116">
        <f>IF($A3805="","",DATE(YEAR($A3805),MONTH($A3805)+IF(AND(IFERROR(N(INDEX(Übersicht!$M$15:$M$22,MATCH($B3805,Übersicht!$A$15:$A$22,0))),0)&gt;1,DAY($A3805)&gt;=IFERROR(N(INDEX(Übersicht!$M$15:$M$22,MATCH($B3805,Übersicht!$A$15:$A$22,0))),0)),1,0),1))</f>
        <v/>
      </c>
    </row>
    <row r="3806">
      <c r="A3806" s="92" t="n"/>
      <c r="B3806" s="55" t="n"/>
      <c r="C3806" s="55" t="n"/>
      <c r="D3806" s="55" t="n"/>
      <c r="E3806" s="93" t="n"/>
      <c r="F3806" s="94" t="n"/>
      <c r="G3806" s="94" t="n"/>
      <c r="H3806" s="94" t="n"/>
      <c r="I3806" s="94" t="n"/>
      <c r="J3806" s="55" t="n"/>
      <c r="K3806" s="95" t="n"/>
      <c r="L3806" s="116">
        <f>IF($A3806="","",DATE(YEAR($A3806),MONTH($A3806)+IF(AND(IFERROR(N(INDEX(Übersicht!$M$15:$M$22,MATCH($B3806,Übersicht!$A$15:$A$22,0))),0)&gt;1,DAY($A3806)&gt;=IFERROR(N(INDEX(Übersicht!$M$15:$M$22,MATCH($B3806,Übersicht!$A$15:$A$22,0))),0)),1,0),1))</f>
        <v/>
      </c>
    </row>
    <row r="3807">
      <c r="A3807" s="92" t="n"/>
      <c r="B3807" s="55" t="n"/>
      <c r="C3807" s="55" t="n"/>
      <c r="D3807" s="55" t="n"/>
      <c r="E3807" s="93" t="n"/>
      <c r="F3807" s="94" t="n"/>
      <c r="G3807" s="94" t="n"/>
      <c r="H3807" s="94" t="n"/>
      <c r="I3807" s="94" t="n"/>
      <c r="J3807" s="55" t="n"/>
      <c r="K3807" s="95" t="n"/>
      <c r="L3807" s="116">
        <f>IF($A3807="","",DATE(YEAR($A3807),MONTH($A3807)+IF(AND(IFERROR(N(INDEX(Übersicht!$M$15:$M$22,MATCH($B3807,Übersicht!$A$15:$A$22,0))),0)&gt;1,DAY($A3807)&gt;=IFERROR(N(INDEX(Übersicht!$M$15:$M$22,MATCH($B3807,Übersicht!$A$15:$A$22,0))),0)),1,0),1))</f>
        <v/>
      </c>
    </row>
    <row r="3808">
      <c r="A3808" s="92" t="n"/>
      <c r="B3808" s="55" t="n"/>
      <c r="C3808" s="55" t="n"/>
      <c r="D3808" s="55" t="n"/>
      <c r="E3808" s="93" t="n"/>
      <c r="F3808" s="94" t="n"/>
      <c r="G3808" s="94" t="n"/>
      <c r="H3808" s="94" t="n"/>
      <c r="I3808" s="94" t="n"/>
      <c r="J3808" s="55" t="n"/>
      <c r="K3808" s="95" t="n"/>
      <c r="L3808" s="116">
        <f>IF($A3808="","",DATE(YEAR($A3808),MONTH($A3808)+IF(AND(IFERROR(N(INDEX(Übersicht!$M$15:$M$22,MATCH($B3808,Übersicht!$A$15:$A$22,0))),0)&gt;1,DAY($A3808)&gt;=IFERROR(N(INDEX(Übersicht!$M$15:$M$22,MATCH($B3808,Übersicht!$A$15:$A$22,0))),0)),1,0),1))</f>
        <v/>
      </c>
    </row>
    <row r="3809">
      <c r="A3809" s="92" t="n"/>
      <c r="B3809" s="55" t="n"/>
      <c r="C3809" s="55" t="n"/>
      <c r="D3809" s="55" t="n"/>
      <c r="E3809" s="93" t="n"/>
      <c r="F3809" s="94" t="n"/>
      <c r="G3809" s="94" t="n"/>
      <c r="H3809" s="94" t="n"/>
      <c r="I3809" s="94" t="n"/>
      <c r="J3809" s="55" t="n"/>
      <c r="K3809" s="95" t="n"/>
      <c r="L3809" s="116">
        <f>IF($A3809="","",DATE(YEAR($A3809),MONTH($A3809)+IF(AND(IFERROR(N(INDEX(Übersicht!$M$15:$M$22,MATCH($B3809,Übersicht!$A$15:$A$22,0))),0)&gt;1,DAY($A3809)&gt;=IFERROR(N(INDEX(Übersicht!$M$15:$M$22,MATCH($B3809,Übersicht!$A$15:$A$22,0))),0)),1,0),1))</f>
        <v/>
      </c>
    </row>
    <row r="3810">
      <c r="A3810" s="92" t="n"/>
      <c r="B3810" s="55" t="n"/>
      <c r="C3810" s="55" t="n"/>
      <c r="D3810" s="55" t="n"/>
      <c r="E3810" s="93" t="n"/>
      <c r="F3810" s="94" t="n"/>
      <c r="G3810" s="94" t="n"/>
      <c r="H3810" s="94" t="n"/>
      <c r="I3810" s="94" t="n"/>
      <c r="J3810" s="55" t="n"/>
      <c r="K3810" s="95" t="n"/>
      <c r="L3810" s="116">
        <f>IF($A3810="","",DATE(YEAR($A3810),MONTH($A3810)+IF(AND(IFERROR(N(INDEX(Übersicht!$M$15:$M$22,MATCH($B3810,Übersicht!$A$15:$A$22,0))),0)&gt;1,DAY($A3810)&gt;=IFERROR(N(INDEX(Übersicht!$M$15:$M$22,MATCH($B3810,Übersicht!$A$15:$A$22,0))),0)),1,0),1))</f>
        <v/>
      </c>
    </row>
    <row r="3811">
      <c r="A3811" s="92" t="n"/>
      <c r="B3811" s="55" t="n"/>
      <c r="C3811" s="55" t="n"/>
      <c r="D3811" s="55" t="n"/>
      <c r="E3811" s="93" t="n"/>
      <c r="F3811" s="94" t="n"/>
      <c r="G3811" s="94" t="n"/>
      <c r="H3811" s="94" t="n"/>
      <c r="I3811" s="94" t="n"/>
      <c r="J3811" s="55" t="n"/>
      <c r="K3811" s="95" t="n"/>
      <c r="L3811" s="116">
        <f>IF($A3811="","",DATE(YEAR($A3811),MONTH($A3811)+IF(AND(IFERROR(N(INDEX(Übersicht!$M$15:$M$22,MATCH($B3811,Übersicht!$A$15:$A$22,0))),0)&gt;1,DAY($A3811)&gt;=IFERROR(N(INDEX(Übersicht!$M$15:$M$22,MATCH($B3811,Übersicht!$A$15:$A$22,0))),0)),1,0),1))</f>
        <v/>
      </c>
    </row>
    <row r="3812">
      <c r="A3812" s="92" t="n"/>
      <c r="B3812" s="55" t="n"/>
      <c r="C3812" s="55" t="n"/>
      <c r="D3812" s="55" t="n"/>
      <c r="E3812" s="93" t="n"/>
      <c r="F3812" s="94" t="n"/>
      <c r="G3812" s="94" t="n"/>
      <c r="H3812" s="94" t="n"/>
      <c r="I3812" s="94" t="n"/>
      <c r="J3812" s="55" t="n"/>
      <c r="K3812" s="95" t="n"/>
      <c r="L3812" s="116">
        <f>IF($A3812="","",DATE(YEAR($A3812),MONTH($A3812)+IF(AND(IFERROR(N(INDEX(Übersicht!$M$15:$M$22,MATCH($B3812,Übersicht!$A$15:$A$22,0))),0)&gt;1,DAY($A3812)&gt;=IFERROR(N(INDEX(Übersicht!$M$15:$M$22,MATCH($B3812,Übersicht!$A$15:$A$22,0))),0)),1,0),1))</f>
        <v/>
      </c>
    </row>
    <row r="3813">
      <c r="A3813" s="92" t="n"/>
      <c r="B3813" s="55" t="n"/>
      <c r="C3813" s="55" t="n"/>
      <c r="D3813" s="55" t="n"/>
      <c r="E3813" s="93" t="n"/>
      <c r="F3813" s="94" t="n"/>
      <c r="G3813" s="94" t="n"/>
      <c r="H3813" s="94" t="n"/>
      <c r="I3813" s="94" t="n"/>
      <c r="J3813" s="55" t="n"/>
      <c r="K3813" s="95" t="n"/>
      <c r="L3813" s="116">
        <f>IF($A3813="","",DATE(YEAR($A3813),MONTH($A3813)+IF(AND(IFERROR(N(INDEX(Übersicht!$M$15:$M$22,MATCH($B3813,Übersicht!$A$15:$A$22,0))),0)&gt;1,DAY($A3813)&gt;=IFERROR(N(INDEX(Übersicht!$M$15:$M$22,MATCH($B3813,Übersicht!$A$15:$A$22,0))),0)),1,0),1))</f>
        <v/>
      </c>
    </row>
    <row r="3814">
      <c r="A3814" s="92" t="n"/>
      <c r="B3814" s="55" t="n"/>
      <c r="C3814" s="55" t="n"/>
      <c r="D3814" s="55" t="n"/>
      <c r="E3814" s="93" t="n"/>
      <c r="F3814" s="94" t="n"/>
      <c r="G3814" s="94" t="n"/>
      <c r="H3814" s="94" t="n"/>
      <c r="I3814" s="94" t="n"/>
      <c r="J3814" s="55" t="n"/>
      <c r="K3814" s="95" t="n"/>
      <c r="L3814" s="116">
        <f>IF($A3814="","",DATE(YEAR($A3814),MONTH($A3814)+IF(AND(IFERROR(N(INDEX(Übersicht!$M$15:$M$22,MATCH($B3814,Übersicht!$A$15:$A$22,0))),0)&gt;1,DAY($A3814)&gt;=IFERROR(N(INDEX(Übersicht!$M$15:$M$22,MATCH($B3814,Übersicht!$A$15:$A$22,0))),0)),1,0),1))</f>
        <v/>
      </c>
    </row>
    <row r="3815">
      <c r="A3815" s="92" t="n"/>
      <c r="B3815" s="55" t="n"/>
      <c r="C3815" s="55" t="n"/>
      <c r="D3815" s="55" t="n"/>
      <c r="E3815" s="93" t="n"/>
      <c r="F3815" s="94" t="n"/>
      <c r="G3815" s="94" t="n"/>
      <c r="H3815" s="94" t="n"/>
      <c r="I3815" s="94" t="n"/>
      <c r="J3815" s="55" t="n"/>
      <c r="K3815" s="95" t="n"/>
      <c r="L3815" s="116">
        <f>IF($A3815="","",DATE(YEAR($A3815),MONTH($A3815)+IF(AND(IFERROR(N(INDEX(Übersicht!$M$15:$M$22,MATCH($B3815,Übersicht!$A$15:$A$22,0))),0)&gt;1,DAY($A3815)&gt;=IFERROR(N(INDEX(Übersicht!$M$15:$M$22,MATCH($B3815,Übersicht!$A$15:$A$22,0))),0)),1,0),1))</f>
        <v/>
      </c>
    </row>
    <row r="3816">
      <c r="A3816" s="92" t="n"/>
      <c r="B3816" s="55" t="n"/>
      <c r="C3816" s="55" t="n"/>
      <c r="D3816" s="55" t="n"/>
      <c r="E3816" s="93" t="n"/>
      <c r="F3816" s="94" t="n"/>
      <c r="G3816" s="94" t="n"/>
      <c r="H3816" s="94" t="n"/>
      <c r="I3816" s="94" t="n"/>
      <c r="J3816" s="55" t="n"/>
      <c r="K3816" s="95" t="n"/>
      <c r="L3816" s="116">
        <f>IF($A3816="","",DATE(YEAR($A3816),MONTH($A3816)+IF(AND(IFERROR(N(INDEX(Übersicht!$M$15:$M$22,MATCH($B3816,Übersicht!$A$15:$A$22,0))),0)&gt;1,DAY($A3816)&gt;=IFERROR(N(INDEX(Übersicht!$M$15:$M$22,MATCH($B3816,Übersicht!$A$15:$A$22,0))),0)),1,0),1))</f>
        <v/>
      </c>
    </row>
    <row r="3817">
      <c r="A3817" s="92" t="n"/>
      <c r="B3817" s="55" t="n"/>
      <c r="C3817" s="55" t="n"/>
      <c r="D3817" s="55" t="n"/>
      <c r="E3817" s="93" t="n"/>
      <c r="F3817" s="94" t="n"/>
      <c r="G3817" s="94" t="n"/>
      <c r="H3817" s="94" t="n"/>
      <c r="I3817" s="94" t="n"/>
      <c r="J3817" s="55" t="n"/>
      <c r="K3817" s="95" t="n"/>
      <c r="L3817" s="116">
        <f>IF($A3817="","",DATE(YEAR($A3817),MONTH($A3817)+IF(AND(IFERROR(N(INDEX(Übersicht!$M$15:$M$22,MATCH($B3817,Übersicht!$A$15:$A$22,0))),0)&gt;1,DAY($A3817)&gt;=IFERROR(N(INDEX(Übersicht!$M$15:$M$22,MATCH($B3817,Übersicht!$A$15:$A$22,0))),0)),1,0),1))</f>
        <v/>
      </c>
    </row>
    <row r="3818">
      <c r="A3818" s="92" t="n"/>
      <c r="B3818" s="55" t="n"/>
      <c r="C3818" s="55" t="n"/>
      <c r="D3818" s="55" t="n"/>
      <c r="E3818" s="93" t="n"/>
      <c r="F3818" s="94" t="n"/>
      <c r="G3818" s="94" t="n"/>
      <c r="H3818" s="94" t="n"/>
      <c r="I3818" s="94" t="n"/>
      <c r="J3818" s="55" t="n"/>
      <c r="K3818" s="95" t="n"/>
      <c r="L3818" s="116">
        <f>IF($A3818="","",DATE(YEAR($A3818),MONTH($A3818)+IF(AND(IFERROR(N(INDEX(Übersicht!$M$15:$M$22,MATCH($B3818,Übersicht!$A$15:$A$22,0))),0)&gt;1,DAY($A3818)&gt;=IFERROR(N(INDEX(Übersicht!$M$15:$M$22,MATCH($B3818,Übersicht!$A$15:$A$22,0))),0)),1,0),1))</f>
        <v/>
      </c>
    </row>
    <row r="3819">
      <c r="A3819" s="92" t="n"/>
      <c r="B3819" s="55" t="n"/>
      <c r="C3819" s="55" t="n"/>
      <c r="D3819" s="55" t="n"/>
      <c r="E3819" s="93" t="n"/>
      <c r="F3819" s="94" t="n"/>
      <c r="G3819" s="94" t="n"/>
      <c r="H3819" s="94" t="n"/>
      <c r="I3819" s="94" t="n"/>
      <c r="J3819" s="55" t="n"/>
      <c r="K3819" s="95" t="n"/>
      <c r="L3819" s="116">
        <f>IF($A3819="","",DATE(YEAR($A3819),MONTH($A3819)+IF(AND(IFERROR(N(INDEX(Übersicht!$M$15:$M$22,MATCH($B3819,Übersicht!$A$15:$A$22,0))),0)&gt;1,DAY($A3819)&gt;=IFERROR(N(INDEX(Übersicht!$M$15:$M$22,MATCH($B3819,Übersicht!$A$15:$A$22,0))),0)),1,0),1))</f>
        <v/>
      </c>
    </row>
    <row r="3820">
      <c r="A3820" s="92" t="n"/>
      <c r="B3820" s="55" t="n"/>
      <c r="C3820" s="55" t="n"/>
      <c r="D3820" s="55" t="n"/>
      <c r="E3820" s="93" t="n"/>
      <c r="F3820" s="94" t="n"/>
      <c r="G3820" s="94" t="n"/>
      <c r="H3820" s="94" t="n"/>
      <c r="I3820" s="94" t="n"/>
      <c r="J3820" s="55" t="n"/>
      <c r="K3820" s="95" t="n"/>
      <c r="L3820" s="116">
        <f>IF($A3820="","",DATE(YEAR($A3820),MONTH($A3820)+IF(AND(IFERROR(N(INDEX(Übersicht!$M$15:$M$22,MATCH($B3820,Übersicht!$A$15:$A$22,0))),0)&gt;1,DAY($A3820)&gt;=IFERROR(N(INDEX(Übersicht!$M$15:$M$22,MATCH($B3820,Übersicht!$A$15:$A$22,0))),0)),1,0),1))</f>
        <v/>
      </c>
    </row>
    <row r="3821">
      <c r="A3821" s="92" t="n"/>
      <c r="B3821" s="55" t="n"/>
      <c r="C3821" s="55" t="n"/>
      <c r="D3821" s="55" t="n"/>
      <c r="E3821" s="93" t="n"/>
      <c r="F3821" s="94" t="n"/>
      <c r="G3821" s="94" t="n"/>
      <c r="H3821" s="94" t="n"/>
      <c r="I3821" s="94" t="n"/>
      <c r="J3821" s="55" t="n"/>
      <c r="K3821" s="95" t="n"/>
      <c r="L3821" s="116">
        <f>IF($A3821="","",DATE(YEAR($A3821),MONTH($A3821)+IF(AND(IFERROR(N(INDEX(Übersicht!$M$15:$M$22,MATCH($B3821,Übersicht!$A$15:$A$22,0))),0)&gt;1,DAY($A3821)&gt;=IFERROR(N(INDEX(Übersicht!$M$15:$M$22,MATCH($B3821,Übersicht!$A$15:$A$22,0))),0)),1,0),1))</f>
        <v/>
      </c>
    </row>
    <row r="3822">
      <c r="A3822" s="92" t="n"/>
      <c r="B3822" s="55" t="n"/>
      <c r="C3822" s="55" t="n"/>
      <c r="D3822" s="55" t="n"/>
      <c r="E3822" s="93" t="n"/>
      <c r="F3822" s="94" t="n"/>
      <c r="G3822" s="94" t="n"/>
      <c r="H3822" s="94" t="n"/>
      <c r="I3822" s="94" t="n"/>
      <c r="J3822" s="55" t="n"/>
      <c r="K3822" s="95" t="n"/>
      <c r="L3822" s="116">
        <f>IF($A3822="","",DATE(YEAR($A3822),MONTH($A3822)+IF(AND(IFERROR(N(INDEX(Übersicht!$M$15:$M$22,MATCH($B3822,Übersicht!$A$15:$A$22,0))),0)&gt;1,DAY($A3822)&gt;=IFERROR(N(INDEX(Übersicht!$M$15:$M$22,MATCH($B3822,Übersicht!$A$15:$A$22,0))),0)),1,0),1))</f>
        <v/>
      </c>
    </row>
    <row r="3823">
      <c r="A3823" s="92" t="n"/>
      <c r="B3823" s="55" t="n"/>
      <c r="C3823" s="55" t="n"/>
      <c r="D3823" s="55" t="n"/>
      <c r="E3823" s="93" t="n"/>
      <c r="F3823" s="94" t="n"/>
      <c r="G3823" s="94" t="n"/>
      <c r="H3823" s="94" t="n"/>
      <c r="I3823" s="94" t="n"/>
      <c r="J3823" s="55" t="n"/>
      <c r="K3823" s="95" t="n"/>
      <c r="L3823" s="116">
        <f>IF($A3823="","",DATE(YEAR($A3823),MONTH($A3823)+IF(AND(IFERROR(N(INDEX(Übersicht!$M$15:$M$22,MATCH($B3823,Übersicht!$A$15:$A$22,0))),0)&gt;1,DAY($A3823)&gt;=IFERROR(N(INDEX(Übersicht!$M$15:$M$22,MATCH($B3823,Übersicht!$A$15:$A$22,0))),0)),1,0),1))</f>
        <v/>
      </c>
    </row>
    <row r="3824">
      <c r="A3824" s="92" t="n"/>
      <c r="B3824" s="55" t="n"/>
      <c r="C3824" s="55" t="n"/>
      <c r="D3824" s="55" t="n"/>
      <c r="E3824" s="93" t="n"/>
      <c r="F3824" s="94" t="n"/>
      <c r="G3824" s="94" t="n"/>
      <c r="H3824" s="94" t="n"/>
      <c r="I3824" s="94" t="n"/>
      <c r="J3824" s="55" t="n"/>
      <c r="K3824" s="95" t="n"/>
      <c r="L3824" s="116">
        <f>IF($A3824="","",DATE(YEAR($A3824),MONTH($A3824)+IF(AND(IFERROR(N(INDEX(Übersicht!$M$15:$M$22,MATCH($B3824,Übersicht!$A$15:$A$22,0))),0)&gt;1,DAY($A3824)&gt;=IFERROR(N(INDEX(Übersicht!$M$15:$M$22,MATCH($B3824,Übersicht!$A$15:$A$22,0))),0)),1,0),1))</f>
        <v/>
      </c>
    </row>
    <row r="3825">
      <c r="A3825" s="92" t="n"/>
      <c r="B3825" s="55" t="n"/>
      <c r="C3825" s="55" t="n"/>
      <c r="D3825" s="55" t="n"/>
      <c r="E3825" s="93" t="n"/>
      <c r="F3825" s="94" t="n"/>
      <c r="G3825" s="94" t="n"/>
      <c r="H3825" s="94" t="n"/>
      <c r="I3825" s="94" t="n"/>
      <c r="J3825" s="55" t="n"/>
      <c r="K3825" s="95" t="n"/>
      <c r="L3825" s="116">
        <f>IF($A3825="","",DATE(YEAR($A3825),MONTH($A3825)+IF(AND(IFERROR(N(INDEX(Übersicht!$M$15:$M$22,MATCH($B3825,Übersicht!$A$15:$A$22,0))),0)&gt;1,DAY($A3825)&gt;=IFERROR(N(INDEX(Übersicht!$M$15:$M$22,MATCH($B3825,Übersicht!$A$15:$A$22,0))),0)),1,0),1))</f>
        <v/>
      </c>
    </row>
    <row r="3826">
      <c r="A3826" s="92" t="n"/>
      <c r="B3826" s="55" t="n"/>
      <c r="C3826" s="55" t="n"/>
      <c r="D3826" s="55" t="n"/>
      <c r="E3826" s="93" t="n"/>
      <c r="F3826" s="94" t="n"/>
      <c r="G3826" s="94" t="n"/>
      <c r="H3826" s="94" t="n"/>
      <c r="I3826" s="94" t="n"/>
      <c r="J3826" s="55" t="n"/>
      <c r="K3826" s="95" t="n"/>
      <c r="L3826" s="116">
        <f>IF($A3826="","",DATE(YEAR($A3826),MONTH($A3826)+IF(AND(IFERROR(N(INDEX(Übersicht!$M$15:$M$22,MATCH($B3826,Übersicht!$A$15:$A$22,0))),0)&gt;1,DAY($A3826)&gt;=IFERROR(N(INDEX(Übersicht!$M$15:$M$22,MATCH($B3826,Übersicht!$A$15:$A$22,0))),0)),1,0),1))</f>
        <v/>
      </c>
    </row>
    <row r="3827">
      <c r="A3827" s="92" t="n"/>
      <c r="B3827" s="55" t="n"/>
      <c r="C3827" s="55" t="n"/>
      <c r="D3827" s="55" t="n"/>
      <c r="E3827" s="93" t="n"/>
      <c r="F3827" s="94" t="n"/>
      <c r="G3827" s="94" t="n"/>
      <c r="H3827" s="94" t="n"/>
      <c r="I3827" s="94" t="n"/>
      <c r="J3827" s="55" t="n"/>
      <c r="K3827" s="95" t="n"/>
      <c r="L3827" s="116">
        <f>IF($A3827="","",DATE(YEAR($A3827),MONTH($A3827)+IF(AND(IFERROR(N(INDEX(Übersicht!$M$15:$M$22,MATCH($B3827,Übersicht!$A$15:$A$22,0))),0)&gt;1,DAY($A3827)&gt;=IFERROR(N(INDEX(Übersicht!$M$15:$M$22,MATCH($B3827,Übersicht!$A$15:$A$22,0))),0)),1,0),1))</f>
        <v/>
      </c>
    </row>
    <row r="3828">
      <c r="A3828" s="92" t="n"/>
      <c r="B3828" s="55" t="n"/>
      <c r="C3828" s="55" t="n"/>
      <c r="D3828" s="55" t="n"/>
      <c r="E3828" s="93" t="n"/>
      <c r="F3828" s="94" t="n"/>
      <c r="G3828" s="94" t="n"/>
      <c r="H3828" s="94" t="n"/>
      <c r="I3828" s="94" t="n"/>
      <c r="J3828" s="55" t="n"/>
      <c r="K3828" s="95" t="n"/>
      <c r="L3828" s="116">
        <f>IF($A3828="","",DATE(YEAR($A3828),MONTH($A3828)+IF(AND(IFERROR(N(INDEX(Übersicht!$M$15:$M$22,MATCH($B3828,Übersicht!$A$15:$A$22,0))),0)&gt;1,DAY($A3828)&gt;=IFERROR(N(INDEX(Übersicht!$M$15:$M$22,MATCH($B3828,Übersicht!$A$15:$A$22,0))),0)),1,0),1))</f>
        <v/>
      </c>
    </row>
    <row r="3829">
      <c r="A3829" s="92" t="n"/>
      <c r="B3829" s="55" t="n"/>
      <c r="C3829" s="55" t="n"/>
      <c r="D3829" s="55" t="n"/>
      <c r="E3829" s="93" t="n"/>
      <c r="F3829" s="94" t="n"/>
      <c r="G3829" s="94" t="n"/>
      <c r="H3829" s="94" t="n"/>
      <c r="I3829" s="94" t="n"/>
      <c r="J3829" s="55" t="n"/>
      <c r="K3829" s="95" t="n"/>
      <c r="L3829" s="116">
        <f>IF($A3829="","",DATE(YEAR($A3829),MONTH($A3829)+IF(AND(IFERROR(N(INDEX(Übersicht!$M$15:$M$22,MATCH($B3829,Übersicht!$A$15:$A$22,0))),0)&gt;1,DAY($A3829)&gt;=IFERROR(N(INDEX(Übersicht!$M$15:$M$22,MATCH($B3829,Übersicht!$A$15:$A$22,0))),0)),1,0),1))</f>
        <v/>
      </c>
    </row>
    <row r="3830">
      <c r="A3830" s="92" t="n"/>
      <c r="B3830" s="55" t="n"/>
      <c r="C3830" s="55" t="n"/>
      <c r="D3830" s="55" t="n"/>
      <c r="E3830" s="93" t="n"/>
      <c r="F3830" s="94" t="n"/>
      <c r="G3830" s="94" t="n"/>
      <c r="H3830" s="94" t="n"/>
      <c r="I3830" s="94" t="n"/>
      <c r="J3830" s="55" t="n"/>
      <c r="K3830" s="95" t="n"/>
      <c r="L3830" s="116">
        <f>IF($A3830="","",DATE(YEAR($A3830),MONTH($A3830)+IF(AND(IFERROR(N(INDEX(Übersicht!$M$15:$M$22,MATCH($B3830,Übersicht!$A$15:$A$22,0))),0)&gt;1,DAY($A3830)&gt;=IFERROR(N(INDEX(Übersicht!$M$15:$M$22,MATCH($B3830,Übersicht!$A$15:$A$22,0))),0)),1,0),1))</f>
        <v/>
      </c>
    </row>
    <row r="3831">
      <c r="A3831" s="92" t="n"/>
      <c r="B3831" s="55" t="n"/>
      <c r="C3831" s="55" t="n"/>
      <c r="D3831" s="55" t="n"/>
      <c r="E3831" s="93" t="n"/>
      <c r="F3831" s="94" t="n"/>
      <c r="G3831" s="94" t="n"/>
      <c r="H3831" s="94" t="n"/>
      <c r="I3831" s="94" t="n"/>
      <c r="J3831" s="55" t="n"/>
      <c r="K3831" s="95" t="n"/>
      <c r="L3831" s="116">
        <f>IF($A3831="","",DATE(YEAR($A3831),MONTH($A3831)+IF(AND(IFERROR(N(INDEX(Übersicht!$M$15:$M$22,MATCH($B3831,Übersicht!$A$15:$A$22,0))),0)&gt;1,DAY($A3831)&gt;=IFERROR(N(INDEX(Übersicht!$M$15:$M$22,MATCH($B3831,Übersicht!$A$15:$A$22,0))),0)),1,0),1))</f>
        <v/>
      </c>
    </row>
    <row r="3832">
      <c r="A3832" s="92" t="n"/>
      <c r="B3832" s="55" t="n"/>
      <c r="C3832" s="55" t="n"/>
      <c r="D3832" s="55" t="n"/>
      <c r="E3832" s="93" t="n"/>
      <c r="F3832" s="94" t="n"/>
      <c r="G3832" s="94" t="n"/>
      <c r="H3832" s="94" t="n"/>
      <c r="I3832" s="94" t="n"/>
      <c r="J3832" s="55" t="n"/>
      <c r="K3832" s="95" t="n"/>
      <c r="L3832" s="116">
        <f>IF($A3832="","",DATE(YEAR($A3832),MONTH($A3832)+IF(AND(IFERROR(N(INDEX(Übersicht!$M$15:$M$22,MATCH($B3832,Übersicht!$A$15:$A$22,0))),0)&gt;1,DAY($A3832)&gt;=IFERROR(N(INDEX(Übersicht!$M$15:$M$22,MATCH($B3832,Übersicht!$A$15:$A$22,0))),0)),1,0),1))</f>
        <v/>
      </c>
    </row>
    <row r="3833">
      <c r="A3833" s="92" t="n"/>
      <c r="B3833" s="55" t="n"/>
      <c r="C3833" s="55" t="n"/>
      <c r="D3833" s="55" t="n"/>
      <c r="E3833" s="93" t="n"/>
      <c r="F3833" s="94" t="n"/>
      <c r="G3833" s="94" t="n"/>
      <c r="H3833" s="94" t="n"/>
      <c r="I3833" s="94" t="n"/>
      <c r="J3833" s="55" t="n"/>
      <c r="K3833" s="95" t="n"/>
      <c r="L3833" s="116">
        <f>IF($A3833="","",DATE(YEAR($A3833),MONTH($A3833)+IF(AND(IFERROR(N(INDEX(Übersicht!$M$15:$M$22,MATCH($B3833,Übersicht!$A$15:$A$22,0))),0)&gt;1,DAY($A3833)&gt;=IFERROR(N(INDEX(Übersicht!$M$15:$M$22,MATCH($B3833,Übersicht!$A$15:$A$22,0))),0)),1,0),1))</f>
        <v/>
      </c>
    </row>
    <row r="3834">
      <c r="A3834" s="92" t="n"/>
      <c r="B3834" s="55" t="n"/>
      <c r="C3834" s="55" t="n"/>
      <c r="D3834" s="55" t="n"/>
      <c r="E3834" s="93" t="n"/>
      <c r="F3834" s="94" t="n"/>
      <c r="G3834" s="94" t="n"/>
      <c r="H3834" s="94" t="n"/>
      <c r="I3834" s="94" t="n"/>
      <c r="J3834" s="55" t="n"/>
      <c r="K3834" s="95" t="n"/>
      <c r="L3834" s="116">
        <f>IF($A3834="","",DATE(YEAR($A3834),MONTH($A3834)+IF(AND(IFERROR(N(INDEX(Übersicht!$M$15:$M$22,MATCH($B3834,Übersicht!$A$15:$A$22,0))),0)&gt;1,DAY($A3834)&gt;=IFERROR(N(INDEX(Übersicht!$M$15:$M$22,MATCH($B3834,Übersicht!$A$15:$A$22,0))),0)),1,0),1))</f>
        <v/>
      </c>
    </row>
    <row r="3835">
      <c r="A3835" s="92" t="n"/>
      <c r="B3835" s="55" t="n"/>
      <c r="C3835" s="55" t="n"/>
      <c r="D3835" s="55" t="n"/>
      <c r="E3835" s="93" t="n"/>
      <c r="F3835" s="94" t="n"/>
      <c r="G3835" s="94" t="n"/>
      <c r="H3835" s="94" t="n"/>
      <c r="I3835" s="94" t="n"/>
      <c r="J3835" s="55" t="n"/>
      <c r="K3835" s="95" t="n"/>
      <c r="L3835" s="116">
        <f>IF($A3835="","",DATE(YEAR($A3835),MONTH($A3835)+IF(AND(IFERROR(N(INDEX(Übersicht!$M$15:$M$22,MATCH($B3835,Übersicht!$A$15:$A$22,0))),0)&gt;1,DAY($A3835)&gt;=IFERROR(N(INDEX(Übersicht!$M$15:$M$22,MATCH($B3835,Übersicht!$A$15:$A$22,0))),0)),1,0),1))</f>
        <v/>
      </c>
    </row>
    <row r="3836">
      <c r="A3836" s="92" t="n"/>
      <c r="B3836" s="55" t="n"/>
      <c r="C3836" s="55" t="n"/>
      <c r="D3836" s="55" t="n"/>
      <c r="E3836" s="93" t="n"/>
      <c r="F3836" s="94" t="n"/>
      <c r="G3836" s="94" t="n"/>
      <c r="H3836" s="94" t="n"/>
      <c r="I3836" s="94" t="n"/>
      <c r="J3836" s="55" t="n"/>
      <c r="K3836" s="95" t="n"/>
      <c r="L3836" s="116">
        <f>IF($A3836="","",DATE(YEAR($A3836),MONTH($A3836)+IF(AND(IFERROR(N(INDEX(Übersicht!$M$15:$M$22,MATCH($B3836,Übersicht!$A$15:$A$22,0))),0)&gt;1,DAY($A3836)&gt;=IFERROR(N(INDEX(Übersicht!$M$15:$M$22,MATCH($B3836,Übersicht!$A$15:$A$22,0))),0)),1,0),1))</f>
        <v/>
      </c>
    </row>
    <row r="3837">
      <c r="A3837" s="92" t="n"/>
      <c r="B3837" s="55" t="n"/>
      <c r="C3837" s="55" t="n"/>
      <c r="D3837" s="55" t="n"/>
      <c r="E3837" s="93" t="n"/>
      <c r="F3837" s="94" t="n"/>
      <c r="G3837" s="94" t="n"/>
      <c r="H3837" s="94" t="n"/>
      <c r="I3837" s="94" t="n"/>
      <c r="J3837" s="55" t="n"/>
      <c r="K3837" s="95" t="n"/>
      <c r="L3837" s="116">
        <f>IF($A3837="","",DATE(YEAR($A3837),MONTH($A3837)+IF(AND(IFERROR(N(INDEX(Übersicht!$M$15:$M$22,MATCH($B3837,Übersicht!$A$15:$A$22,0))),0)&gt;1,DAY($A3837)&gt;=IFERROR(N(INDEX(Übersicht!$M$15:$M$22,MATCH($B3837,Übersicht!$A$15:$A$22,0))),0)),1,0),1))</f>
        <v/>
      </c>
    </row>
    <row r="3838">
      <c r="A3838" s="92" t="n"/>
      <c r="B3838" s="55" t="n"/>
      <c r="C3838" s="55" t="n"/>
      <c r="D3838" s="55" t="n"/>
      <c r="E3838" s="93" t="n"/>
      <c r="F3838" s="94" t="n"/>
      <c r="G3838" s="94" t="n"/>
      <c r="H3838" s="94" t="n"/>
      <c r="I3838" s="94" t="n"/>
      <c r="J3838" s="55" t="n"/>
      <c r="K3838" s="95" t="n"/>
      <c r="L3838" s="116">
        <f>IF($A3838="","",DATE(YEAR($A3838),MONTH($A3838)+IF(AND(IFERROR(N(INDEX(Übersicht!$M$15:$M$22,MATCH($B3838,Übersicht!$A$15:$A$22,0))),0)&gt;1,DAY($A3838)&gt;=IFERROR(N(INDEX(Übersicht!$M$15:$M$22,MATCH($B3838,Übersicht!$A$15:$A$22,0))),0)),1,0),1))</f>
        <v/>
      </c>
    </row>
    <row r="3839">
      <c r="A3839" s="92" t="n"/>
      <c r="B3839" s="55" t="n"/>
      <c r="C3839" s="55" t="n"/>
      <c r="D3839" s="55" t="n"/>
      <c r="E3839" s="93" t="n"/>
      <c r="F3839" s="94" t="n"/>
      <c r="G3839" s="94" t="n"/>
      <c r="H3839" s="94" t="n"/>
      <c r="I3839" s="94" t="n"/>
      <c r="J3839" s="55" t="n"/>
      <c r="K3839" s="95" t="n"/>
      <c r="L3839" s="116">
        <f>IF($A3839="","",DATE(YEAR($A3839),MONTH($A3839)+IF(AND(IFERROR(N(INDEX(Übersicht!$M$15:$M$22,MATCH($B3839,Übersicht!$A$15:$A$22,0))),0)&gt;1,DAY($A3839)&gt;=IFERROR(N(INDEX(Übersicht!$M$15:$M$22,MATCH($B3839,Übersicht!$A$15:$A$22,0))),0)),1,0),1))</f>
        <v/>
      </c>
    </row>
    <row r="3840">
      <c r="A3840" s="92" t="n"/>
      <c r="B3840" s="55" t="n"/>
      <c r="C3840" s="55" t="n"/>
      <c r="D3840" s="55" t="n"/>
      <c r="E3840" s="93" t="n"/>
      <c r="F3840" s="94" t="n"/>
      <c r="G3840" s="94" t="n"/>
      <c r="H3840" s="94" t="n"/>
      <c r="I3840" s="94" t="n"/>
      <c r="J3840" s="55" t="n"/>
      <c r="K3840" s="95" t="n"/>
      <c r="L3840" s="116">
        <f>IF($A3840="","",DATE(YEAR($A3840),MONTH($A3840)+IF(AND(IFERROR(N(INDEX(Übersicht!$M$15:$M$22,MATCH($B3840,Übersicht!$A$15:$A$22,0))),0)&gt;1,DAY($A3840)&gt;=IFERROR(N(INDEX(Übersicht!$M$15:$M$22,MATCH($B3840,Übersicht!$A$15:$A$22,0))),0)),1,0),1))</f>
        <v/>
      </c>
    </row>
    <row r="3841">
      <c r="A3841" s="92" t="n"/>
      <c r="B3841" s="55" t="n"/>
      <c r="C3841" s="55" t="n"/>
      <c r="D3841" s="55" t="n"/>
      <c r="E3841" s="93" t="n"/>
      <c r="F3841" s="94" t="n"/>
      <c r="G3841" s="94" t="n"/>
      <c r="H3841" s="94" t="n"/>
      <c r="I3841" s="94" t="n"/>
      <c r="J3841" s="55" t="n"/>
      <c r="K3841" s="95" t="n"/>
      <c r="L3841" s="116">
        <f>IF($A3841="","",DATE(YEAR($A3841),MONTH($A3841)+IF(AND(IFERROR(N(INDEX(Übersicht!$M$15:$M$22,MATCH($B3841,Übersicht!$A$15:$A$22,0))),0)&gt;1,DAY($A3841)&gt;=IFERROR(N(INDEX(Übersicht!$M$15:$M$22,MATCH($B3841,Übersicht!$A$15:$A$22,0))),0)),1,0),1))</f>
        <v/>
      </c>
    </row>
    <row r="3842">
      <c r="A3842" s="92" t="n"/>
      <c r="B3842" s="55" t="n"/>
      <c r="C3842" s="55" t="n"/>
      <c r="D3842" s="55" t="n"/>
      <c r="E3842" s="93" t="n"/>
      <c r="F3842" s="94" t="n"/>
      <c r="G3842" s="94" t="n"/>
      <c r="H3842" s="94" t="n"/>
      <c r="I3842" s="94" t="n"/>
      <c r="J3842" s="55" t="n"/>
      <c r="K3842" s="95" t="n"/>
      <c r="L3842" s="116">
        <f>IF($A3842="","",DATE(YEAR($A3842),MONTH($A3842)+IF(AND(IFERROR(N(INDEX(Übersicht!$M$15:$M$22,MATCH($B3842,Übersicht!$A$15:$A$22,0))),0)&gt;1,DAY($A3842)&gt;=IFERROR(N(INDEX(Übersicht!$M$15:$M$22,MATCH($B3842,Übersicht!$A$15:$A$22,0))),0)),1,0),1))</f>
        <v/>
      </c>
    </row>
    <row r="3843">
      <c r="A3843" s="92" t="n"/>
      <c r="B3843" s="55" t="n"/>
      <c r="C3843" s="55" t="n"/>
      <c r="D3843" s="55" t="n"/>
      <c r="E3843" s="93" t="n"/>
      <c r="F3843" s="94" t="n"/>
      <c r="G3843" s="94" t="n"/>
      <c r="H3843" s="94" t="n"/>
      <c r="I3843" s="94" t="n"/>
      <c r="J3843" s="55" t="n"/>
      <c r="K3843" s="95" t="n"/>
      <c r="L3843" s="116">
        <f>IF($A3843="","",DATE(YEAR($A3843),MONTH($A3843)+IF(AND(IFERROR(N(INDEX(Übersicht!$M$15:$M$22,MATCH($B3843,Übersicht!$A$15:$A$22,0))),0)&gt;1,DAY($A3843)&gt;=IFERROR(N(INDEX(Übersicht!$M$15:$M$22,MATCH($B3843,Übersicht!$A$15:$A$22,0))),0)),1,0),1))</f>
        <v/>
      </c>
    </row>
    <row r="3844">
      <c r="A3844" s="92" t="n"/>
      <c r="B3844" s="55" t="n"/>
      <c r="C3844" s="55" t="n"/>
      <c r="D3844" s="55" t="n"/>
      <c r="E3844" s="93" t="n"/>
      <c r="F3844" s="94" t="n"/>
      <c r="G3844" s="94" t="n"/>
      <c r="H3844" s="94" t="n"/>
      <c r="I3844" s="94" t="n"/>
      <c r="J3844" s="55" t="n"/>
      <c r="K3844" s="95" t="n"/>
      <c r="L3844" s="116">
        <f>IF($A3844="","",DATE(YEAR($A3844),MONTH($A3844)+IF(AND(IFERROR(N(INDEX(Übersicht!$M$15:$M$22,MATCH($B3844,Übersicht!$A$15:$A$22,0))),0)&gt;1,DAY($A3844)&gt;=IFERROR(N(INDEX(Übersicht!$M$15:$M$22,MATCH($B3844,Übersicht!$A$15:$A$22,0))),0)),1,0),1))</f>
        <v/>
      </c>
    </row>
    <row r="3845">
      <c r="A3845" s="92" t="n"/>
      <c r="B3845" s="55" t="n"/>
      <c r="C3845" s="55" t="n"/>
      <c r="D3845" s="55" t="n"/>
      <c r="E3845" s="93" t="n"/>
      <c r="F3845" s="94" t="n"/>
      <c r="G3845" s="94" t="n"/>
      <c r="H3845" s="94" t="n"/>
      <c r="I3845" s="94" t="n"/>
      <c r="J3845" s="55" t="n"/>
      <c r="K3845" s="95" t="n"/>
      <c r="L3845" s="116">
        <f>IF($A3845="","",DATE(YEAR($A3845),MONTH($A3845)+IF(AND(IFERROR(N(INDEX(Übersicht!$M$15:$M$22,MATCH($B3845,Übersicht!$A$15:$A$22,0))),0)&gt;1,DAY($A3845)&gt;=IFERROR(N(INDEX(Übersicht!$M$15:$M$22,MATCH($B3845,Übersicht!$A$15:$A$22,0))),0)),1,0),1))</f>
        <v/>
      </c>
    </row>
    <row r="3846">
      <c r="A3846" s="92" t="n"/>
      <c r="B3846" s="55" t="n"/>
      <c r="C3846" s="55" t="n"/>
      <c r="D3846" s="55" t="n"/>
      <c r="E3846" s="93" t="n"/>
      <c r="F3846" s="94" t="n"/>
      <c r="G3846" s="94" t="n"/>
      <c r="H3846" s="94" t="n"/>
      <c r="I3846" s="94" t="n"/>
      <c r="J3846" s="55" t="n"/>
      <c r="K3846" s="95" t="n"/>
      <c r="L3846" s="116">
        <f>IF($A3846="","",DATE(YEAR($A3846),MONTH($A3846)+IF(AND(IFERROR(N(INDEX(Übersicht!$M$15:$M$22,MATCH($B3846,Übersicht!$A$15:$A$22,0))),0)&gt;1,DAY($A3846)&gt;=IFERROR(N(INDEX(Übersicht!$M$15:$M$22,MATCH($B3846,Übersicht!$A$15:$A$22,0))),0)),1,0),1))</f>
        <v/>
      </c>
    </row>
    <row r="3847">
      <c r="A3847" s="92" t="n"/>
      <c r="B3847" s="55" t="n"/>
      <c r="C3847" s="55" t="n"/>
      <c r="D3847" s="55" t="n"/>
      <c r="E3847" s="93" t="n"/>
      <c r="F3847" s="94" t="n"/>
      <c r="G3847" s="94" t="n"/>
      <c r="H3847" s="94" t="n"/>
      <c r="I3847" s="94" t="n"/>
      <c r="J3847" s="55" t="n"/>
      <c r="K3847" s="95" t="n"/>
      <c r="L3847" s="116">
        <f>IF($A3847="","",DATE(YEAR($A3847),MONTH($A3847)+IF(AND(IFERROR(N(INDEX(Übersicht!$M$15:$M$22,MATCH($B3847,Übersicht!$A$15:$A$22,0))),0)&gt;1,DAY($A3847)&gt;=IFERROR(N(INDEX(Übersicht!$M$15:$M$22,MATCH($B3847,Übersicht!$A$15:$A$22,0))),0)),1,0),1))</f>
        <v/>
      </c>
    </row>
    <row r="3848">
      <c r="A3848" s="92" t="n"/>
      <c r="B3848" s="55" t="n"/>
      <c r="C3848" s="55" t="n"/>
      <c r="D3848" s="55" t="n"/>
      <c r="E3848" s="93" t="n"/>
      <c r="F3848" s="94" t="n"/>
      <c r="G3848" s="94" t="n"/>
      <c r="H3848" s="94" t="n"/>
      <c r="I3848" s="94" t="n"/>
      <c r="J3848" s="55" t="n"/>
      <c r="K3848" s="95" t="n"/>
      <c r="L3848" s="116">
        <f>IF($A3848="","",DATE(YEAR($A3848),MONTH($A3848)+IF(AND(IFERROR(N(INDEX(Übersicht!$M$15:$M$22,MATCH($B3848,Übersicht!$A$15:$A$22,0))),0)&gt;1,DAY($A3848)&gt;=IFERROR(N(INDEX(Übersicht!$M$15:$M$22,MATCH($B3848,Übersicht!$A$15:$A$22,0))),0)),1,0),1))</f>
        <v/>
      </c>
    </row>
    <row r="3849">
      <c r="A3849" s="92" t="n"/>
      <c r="B3849" s="55" t="n"/>
      <c r="C3849" s="55" t="n"/>
      <c r="D3849" s="55" t="n"/>
      <c r="E3849" s="93" t="n"/>
      <c r="F3849" s="94" t="n"/>
      <c r="G3849" s="94" t="n"/>
      <c r="H3849" s="94" t="n"/>
      <c r="I3849" s="94" t="n"/>
      <c r="J3849" s="55" t="n"/>
      <c r="K3849" s="95" t="n"/>
      <c r="L3849" s="116">
        <f>IF($A3849="","",DATE(YEAR($A3849),MONTH($A3849)+IF(AND(IFERROR(N(INDEX(Übersicht!$M$15:$M$22,MATCH($B3849,Übersicht!$A$15:$A$22,0))),0)&gt;1,DAY($A3849)&gt;=IFERROR(N(INDEX(Übersicht!$M$15:$M$22,MATCH($B3849,Übersicht!$A$15:$A$22,0))),0)),1,0),1))</f>
        <v/>
      </c>
    </row>
    <row r="3850">
      <c r="A3850" s="92" t="n"/>
      <c r="B3850" s="55" t="n"/>
      <c r="C3850" s="55" t="n"/>
      <c r="D3850" s="55" t="n"/>
      <c r="E3850" s="93" t="n"/>
      <c r="F3850" s="94" t="n"/>
      <c r="G3850" s="94" t="n"/>
      <c r="H3850" s="94" t="n"/>
      <c r="I3850" s="94" t="n"/>
      <c r="J3850" s="55" t="n"/>
      <c r="K3850" s="95" t="n"/>
      <c r="L3850" s="116">
        <f>IF($A3850="","",DATE(YEAR($A3850),MONTH($A3850)+IF(AND(IFERROR(N(INDEX(Übersicht!$M$15:$M$22,MATCH($B3850,Übersicht!$A$15:$A$22,0))),0)&gt;1,DAY($A3850)&gt;=IFERROR(N(INDEX(Übersicht!$M$15:$M$22,MATCH($B3850,Übersicht!$A$15:$A$22,0))),0)),1,0),1))</f>
        <v/>
      </c>
    </row>
    <row r="3851">
      <c r="A3851" s="92" t="n"/>
      <c r="B3851" s="55" t="n"/>
      <c r="C3851" s="55" t="n"/>
      <c r="D3851" s="55" t="n"/>
      <c r="E3851" s="93" t="n"/>
      <c r="F3851" s="94" t="n"/>
      <c r="G3851" s="94" t="n"/>
      <c r="H3851" s="94" t="n"/>
      <c r="I3851" s="94" t="n"/>
      <c r="J3851" s="55" t="n"/>
      <c r="K3851" s="95" t="n"/>
      <c r="L3851" s="116">
        <f>IF($A3851="","",DATE(YEAR($A3851),MONTH($A3851)+IF(AND(IFERROR(N(INDEX(Übersicht!$M$15:$M$22,MATCH($B3851,Übersicht!$A$15:$A$22,0))),0)&gt;1,DAY($A3851)&gt;=IFERROR(N(INDEX(Übersicht!$M$15:$M$22,MATCH($B3851,Übersicht!$A$15:$A$22,0))),0)),1,0),1))</f>
        <v/>
      </c>
    </row>
    <row r="3852">
      <c r="A3852" s="92" t="n"/>
      <c r="B3852" s="55" t="n"/>
      <c r="C3852" s="55" t="n"/>
      <c r="D3852" s="55" t="n"/>
      <c r="E3852" s="93" t="n"/>
      <c r="F3852" s="94" t="n"/>
      <c r="G3852" s="94" t="n"/>
      <c r="H3852" s="94" t="n"/>
      <c r="I3852" s="94" t="n"/>
      <c r="J3852" s="55" t="n"/>
      <c r="K3852" s="95" t="n"/>
      <c r="L3852" s="116">
        <f>IF($A3852="","",DATE(YEAR($A3852),MONTH($A3852)+IF(AND(IFERROR(N(INDEX(Übersicht!$M$15:$M$22,MATCH($B3852,Übersicht!$A$15:$A$22,0))),0)&gt;1,DAY($A3852)&gt;=IFERROR(N(INDEX(Übersicht!$M$15:$M$22,MATCH($B3852,Übersicht!$A$15:$A$22,0))),0)),1,0),1))</f>
        <v/>
      </c>
    </row>
    <row r="3853">
      <c r="A3853" s="92" t="n"/>
      <c r="B3853" s="55" t="n"/>
      <c r="C3853" s="55" t="n"/>
      <c r="D3853" s="55" t="n"/>
      <c r="E3853" s="93" t="n"/>
      <c r="F3853" s="94" t="n"/>
      <c r="G3853" s="94" t="n"/>
      <c r="H3853" s="94" t="n"/>
      <c r="I3853" s="94" t="n"/>
      <c r="J3853" s="55" t="n"/>
      <c r="K3853" s="95" t="n"/>
      <c r="L3853" s="116">
        <f>IF($A3853="","",DATE(YEAR($A3853),MONTH($A3853)+IF(AND(IFERROR(N(INDEX(Übersicht!$M$15:$M$22,MATCH($B3853,Übersicht!$A$15:$A$22,0))),0)&gt;1,DAY($A3853)&gt;=IFERROR(N(INDEX(Übersicht!$M$15:$M$22,MATCH($B3853,Übersicht!$A$15:$A$22,0))),0)),1,0),1))</f>
        <v/>
      </c>
    </row>
    <row r="3854">
      <c r="A3854" s="92" t="n"/>
      <c r="B3854" s="55" t="n"/>
      <c r="C3854" s="55" t="n"/>
      <c r="D3854" s="55" t="n"/>
      <c r="E3854" s="93" t="n"/>
      <c r="F3854" s="94" t="n"/>
      <c r="G3854" s="94" t="n"/>
      <c r="H3854" s="94" t="n"/>
      <c r="I3854" s="94" t="n"/>
      <c r="J3854" s="55" t="n"/>
      <c r="K3854" s="95" t="n"/>
      <c r="L3854" s="116">
        <f>IF($A3854="","",DATE(YEAR($A3854),MONTH($A3854)+IF(AND(IFERROR(N(INDEX(Übersicht!$M$15:$M$22,MATCH($B3854,Übersicht!$A$15:$A$22,0))),0)&gt;1,DAY($A3854)&gt;=IFERROR(N(INDEX(Übersicht!$M$15:$M$22,MATCH($B3854,Übersicht!$A$15:$A$22,0))),0)),1,0),1))</f>
        <v/>
      </c>
    </row>
    <row r="3855">
      <c r="A3855" s="92" t="n"/>
      <c r="B3855" s="55" t="n"/>
      <c r="C3855" s="55" t="n"/>
      <c r="D3855" s="55" t="n"/>
      <c r="E3855" s="93" t="n"/>
      <c r="F3855" s="94" t="n"/>
      <c r="G3855" s="94" t="n"/>
      <c r="H3855" s="94" t="n"/>
      <c r="I3855" s="94" t="n"/>
      <c r="J3855" s="55" t="n"/>
      <c r="K3855" s="95" t="n"/>
      <c r="L3855" s="116">
        <f>IF($A3855="","",DATE(YEAR($A3855),MONTH($A3855)+IF(AND(IFERROR(N(INDEX(Übersicht!$M$15:$M$22,MATCH($B3855,Übersicht!$A$15:$A$22,0))),0)&gt;1,DAY($A3855)&gt;=IFERROR(N(INDEX(Übersicht!$M$15:$M$22,MATCH($B3855,Übersicht!$A$15:$A$22,0))),0)),1,0),1))</f>
        <v/>
      </c>
    </row>
    <row r="3856">
      <c r="A3856" s="92" t="n"/>
      <c r="B3856" s="55" t="n"/>
      <c r="C3856" s="55" t="n"/>
      <c r="D3856" s="55" t="n"/>
      <c r="E3856" s="93" t="n"/>
      <c r="F3856" s="94" t="n"/>
      <c r="G3856" s="94" t="n"/>
      <c r="H3856" s="94" t="n"/>
      <c r="I3856" s="94" t="n"/>
      <c r="J3856" s="55" t="n"/>
      <c r="K3856" s="95" t="n"/>
      <c r="L3856" s="116">
        <f>IF($A3856="","",DATE(YEAR($A3856),MONTH($A3856)+IF(AND(IFERROR(N(INDEX(Übersicht!$M$15:$M$22,MATCH($B3856,Übersicht!$A$15:$A$22,0))),0)&gt;1,DAY($A3856)&gt;=IFERROR(N(INDEX(Übersicht!$M$15:$M$22,MATCH($B3856,Übersicht!$A$15:$A$22,0))),0)),1,0),1))</f>
        <v/>
      </c>
    </row>
    <row r="3857">
      <c r="A3857" s="92" t="n"/>
      <c r="B3857" s="55" t="n"/>
      <c r="C3857" s="55" t="n"/>
      <c r="D3857" s="55" t="n"/>
      <c r="E3857" s="93" t="n"/>
      <c r="F3857" s="94" t="n"/>
      <c r="G3857" s="94" t="n"/>
      <c r="H3857" s="94" t="n"/>
      <c r="I3857" s="94" t="n"/>
      <c r="J3857" s="55" t="n"/>
      <c r="K3857" s="95" t="n"/>
      <c r="L3857" s="116">
        <f>IF($A3857="","",DATE(YEAR($A3857),MONTH($A3857)+IF(AND(IFERROR(N(INDEX(Übersicht!$M$15:$M$22,MATCH($B3857,Übersicht!$A$15:$A$22,0))),0)&gt;1,DAY($A3857)&gt;=IFERROR(N(INDEX(Übersicht!$M$15:$M$22,MATCH($B3857,Übersicht!$A$15:$A$22,0))),0)),1,0),1))</f>
        <v/>
      </c>
    </row>
    <row r="3858">
      <c r="A3858" s="92" t="n"/>
      <c r="B3858" s="55" t="n"/>
      <c r="C3858" s="55" t="n"/>
      <c r="D3858" s="55" t="n"/>
      <c r="E3858" s="93" t="n"/>
      <c r="F3858" s="94" t="n"/>
      <c r="G3858" s="94" t="n"/>
      <c r="H3858" s="94" t="n"/>
      <c r="I3858" s="94" t="n"/>
      <c r="J3858" s="55" t="n"/>
      <c r="K3858" s="95" t="n"/>
      <c r="L3858" s="116">
        <f>IF($A3858="","",DATE(YEAR($A3858),MONTH($A3858)+IF(AND(IFERROR(N(INDEX(Übersicht!$M$15:$M$22,MATCH($B3858,Übersicht!$A$15:$A$22,0))),0)&gt;1,DAY($A3858)&gt;=IFERROR(N(INDEX(Übersicht!$M$15:$M$22,MATCH($B3858,Übersicht!$A$15:$A$22,0))),0)),1,0),1))</f>
        <v/>
      </c>
    </row>
    <row r="3859">
      <c r="A3859" s="92" t="n"/>
      <c r="B3859" s="55" t="n"/>
      <c r="C3859" s="55" t="n"/>
      <c r="D3859" s="55" t="n"/>
      <c r="E3859" s="93" t="n"/>
      <c r="F3859" s="94" t="n"/>
      <c r="G3859" s="94" t="n"/>
      <c r="H3859" s="94" t="n"/>
      <c r="I3859" s="94" t="n"/>
      <c r="J3859" s="55" t="n"/>
      <c r="K3859" s="95" t="n"/>
      <c r="L3859" s="116">
        <f>IF($A3859="","",DATE(YEAR($A3859),MONTH($A3859)+IF(AND(IFERROR(N(INDEX(Übersicht!$M$15:$M$22,MATCH($B3859,Übersicht!$A$15:$A$22,0))),0)&gt;1,DAY($A3859)&gt;=IFERROR(N(INDEX(Übersicht!$M$15:$M$22,MATCH($B3859,Übersicht!$A$15:$A$22,0))),0)),1,0),1))</f>
        <v/>
      </c>
    </row>
    <row r="3860">
      <c r="A3860" s="92" t="n"/>
      <c r="B3860" s="55" t="n"/>
      <c r="C3860" s="55" t="n"/>
      <c r="D3860" s="55" t="n"/>
      <c r="E3860" s="93" t="n"/>
      <c r="F3860" s="94" t="n"/>
      <c r="G3860" s="94" t="n"/>
      <c r="H3860" s="94" t="n"/>
      <c r="I3860" s="94" t="n"/>
      <c r="J3860" s="55" t="n"/>
      <c r="K3860" s="95" t="n"/>
      <c r="L3860" s="116">
        <f>IF($A3860="","",DATE(YEAR($A3860),MONTH($A3860)+IF(AND(IFERROR(N(INDEX(Übersicht!$M$15:$M$22,MATCH($B3860,Übersicht!$A$15:$A$22,0))),0)&gt;1,DAY($A3860)&gt;=IFERROR(N(INDEX(Übersicht!$M$15:$M$22,MATCH($B3860,Übersicht!$A$15:$A$22,0))),0)),1,0),1))</f>
        <v/>
      </c>
    </row>
    <row r="3861">
      <c r="A3861" s="92" t="n"/>
      <c r="B3861" s="55" t="n"/>
      <c r="C3861" s="55" t="n"/>
      <c r="D3861" s="55" t="n"/>
      <c r="E3861" s="93" t="n"/>
      <c r="F3861" s="94" t="n"/>
      <c r="G3861" s="94" t="n"/>
      <c r="H3861" s="94" t="n"/>
      <c r="I3861" s="94" t="n"/>
      <c r="J3861" s="55" t="n"/>
      <c r="K3861" s="95" t="n"/>
      <c r="L3861" s="116">
        <f>IF($A3861="","",DATE(YEAR($A3861),MONTH($A3861)+IF(AND(IFERROR(N(INDEX(Übersicht!$M$15:$M$22,MATCH($B3861,Übersicht!$A$15:$A$22,0))),0)&gt;1,DAY($A3861)&gt;=IFERROR(N(INDEX(Übersicht!$M$15:$M$22,MATCH($B3861,Übersicht!$A$15:$A$22,0))),0)),1,0),1))</f>
        <v/>
      </c>
    </row>
    <row r="3862">
      <c r="A3862" s="92" t="n"/>
      <c r="B3862" s="55" t="n"/>
      <c r="C3862" s="55" t="n"/>
      <c r="D3862" s="55" t="n"/>
      <c r="E3862" s="93" t="n"/>
      <c r="F3862" s="94" t="n"/>
      <c r="G3862" s="94" t="n"/>
      <c r="H3862" s="94" t="n"/>
      <c r="I3862" s="94" t="n"/>
      <c r="J3862" s="55" t="n"/>
      <c r="K3862" s="95" t="n"/>
      <c r="L3862" s="116">
        <f>IF($A3862="","",DATE(YEAR($A3862),MONTH($A3862)+IF(AND(IFERROR(N(INDEX(Übersicht!$M$15:$M$22,MATCH($B3862,Übersicht!$A$15:$A$22,0))),0)&gt;1,DAY($A3862)&gt;=IFERROR(N(INDEX(Übersicht!$M$15:$M$22,MATCH($B3862,Übersicht!$A$15:$A$22,0))),0)),1,0),1))</f>
        <v/>
      </c>
    </row>
    <row r="3863">
      <c r="A3863" s="92" t="n"/>
      <c r="B3863" s="55" t="n"/>
      <c r="C3863" s="55" t="n"/>
      <c r="D3863" s="55" t="n"/>
      <c r="E3863" s="93" t="n"/>
      <c r="F3863" s="94" t="n"/>
      <c r="G3863" s="94" t="n"/>
      <c r="H3863" s="94" t="n"/>
      <c r="I3863" s="94" t="n"/>
      <c r="J3863" s="55" t="n"/>
      <c r="K3863" s="95" t="n"/>
      <c r="L3863" s="116">
        <f>IF($A3863="","",DATE(YEAR($A3863),MONTH($A3863)+IF(AND(IFERROR(N(INDEX(Übersicht!$M$15:$M$22,MATCH($B3863,Übersicht!$A$15:$A$22,0))),0)&gt;1,DAY($A3863)&gt;=IFERROR(N(INDEX(Übersicht!$M$15:$M$22,MATCH($B3863,Übersicht!$A$15:$A$22,0))),0)),1,0),1))</f>
        <v/>
      </c>
    </row>
    <row r="3864">
      <c r="A3864" s="92" t="n"/>
      <c r="B3864" s="55" t="n"/>
      <c r="C3864" s="55" t="n"/>
      <c r="D3864" s="55" t="n"/>
      <c r="E3864" s="93" t="n"/>
      <c r="F3864" s="94" t="n"/>
      <c r="G3864" s="94" t="n"/>
      <c r="H3864" s="94" t="n"/>
      <c r="I3864" s="94" t="n"/>
      <c r="J3864" s="55" t="n"/>
      <c r="K3864" s="95" t="n"/>
      <c r="L3864" s="116">
        <f>IF($A3864="","",DATE(YEAR($A3864),MONTH($A3864)+IF(AND(IFERROR(N(INDEX(Übersicht!$M$15:$M$22,MATCH($B3864,Übersicht!$A$15:$A$22,0))),0)&gt;1,DAY($A3864)&gt;=IFERROR(N(INDEX(Übersicht!$M$15:$M$22,MATCH($B3864,Übersicht!$A$15:$A$22,0))),0)),1,0),1))</f>
        <v/>
      </c>
    </row>
    <row r="3865">
      <c r="A3865" s="92" t="n"/>
      <c r="B3865" s="55" t="n"/>
      <c r="C3865" s="55" t="n"/>
      <c r="D3865" s="55" t="n"/>
      <c r="E3865" s="93" t="n"/>
      <c r="F3865" s="94" t="n"/>
      <c r="G3865" s="94" t="n"/>
      <c r="H3865" s="94" t="n"/>
      <c r="I3865" s="94" t="n"/>
      <c r="J3865" s="55" t="n"/>
      <c r="K3865" s="95" t="n"/>
      <c r="L3865" s="116">
        <f>IF($A3865="","",DATE(YEAR($A3865),MONTH($A3865)+IF(AND(IFERROR(N(INDEX(Übersicht!$M$15:$M$22,MATCH($B3865,Übersicht!$A$15:$A$22,0))),0)&gt;1,DAY($A3865)&gt;=IFERROR(N(INDEX(Übersicht!$M$15:$M$22,MATCH($B3865,Übersicht!$A$15:$A$22,0))),0)),1,0),1))</f>
        <v/>
      </c>
    </row>
    <row r="3866">
      <c r="A3866" s="92" t="n"/>
      <c r="B3866" s="55" t="n"/>
      <c r="C3866" s="55" t="n"/>
      <c r="D3866" s="55" t="n"/>
      <c r="E3866" s="93" t="n"/>
      <c r="F3866" s="94" t="n"/>
      <c r="G3866" s="94" t="n"/>
      <c r="H3866" s="94" t="n"/>
      <c r="I3866" s="94" t="n"/>
      <c r="J3866" s="55" t="n"/>
      <c r="K3866" s="95" t="n"/>
      <c r="L3866" s="116">
        <f>IF($A3866="","",DATE(YEAR($A3866),MONTH($A3866)+IF(AND(IFERROR(N(INDEX(Übersicht!$M$15:$M$22,MATCH($B3866,Übersicht!$A$15:$A$22,0))),0)&gt;1,DAY($A3866)&gt;=IFERROR(N(INDEX(Übersicht!$M$15:$M$22,MATCH($B3866,Übersicht!$A$15:$A$22,0))),0)),1,0),1))</f>
        <v/>
      </c>
    </row>
    <row r="3867">
      <c r="A3867" s="92" t="n"/>
      <c r="B3867" s="55" t="n"/>
      <c r="C3867" s="55" t="n"/>
      <c r="D3867" s="55" t="n"/>
      <c r="E3867" s="93" t="n"/>
      <c r="F3867" s="94" t="n"/>
      <c r="G3867" s="94" t="n"/>
      <c r="H3867" s="94" t="n"/>
      <c r="I3867" s="94" t="n"/>
      <c r="J3867" s="55" t="n"/>
      <c r="K3867" s="95" t="n"/>
      <c r="L3867" s="116">
        <f>IF($A3867="","",DATE(YEAR($A3867),MONTH($A3867)+IF(AND(IFERROR(N(INDEX(Übersicht!$M$15:$M$22,MATCH($B3867,Übersicht!$A$15:$A$22,0))),0)&gt;1,DAY($A3867)&gt;=IFERROR(N(INDEX(Übersicht!$M$15:$M$22,MATCH($B3867,Übersicht!$A$15:$A$22,0))),0)),1,0),1))</f>
        <v/>
      </c>
    </row>
    <row r="3868">
      <c r="A3868" s="92" t="n"/>
      <c r="B3868" s="55" t="n"/>
      <c r="C3868" s="55" t="n"/>
      <c r="D3868" s="55" t="n"/>
      <c r="E3868" s="93" t="n"/>
      <c r="F3868" s="94" t="n"/>
      <c r="G3868" s="94" t="n"/>
      <c r="H3868" s="94" t="n"/>
      <c r="I3868" s="94" t="n"/>
      <c r="J3868" s="55" t="n"/>
      <c r="K3868" s="95" t="n"/>
      <c r="L3868" s="116">
        <f>IF($A3868="","",DATE(YEAR($A3868),MONTH($A3868)+IF(AND(IFERROR(N(INDEX(Übersicht!$M$15:$M$22,MATCH($B3868,Übersicht!$A$15:$A$22,0))),0)&gt;1,DAY($A3868)&gt;=IFERROR(N(INDEX(Übersicht!$M$15:$M$22,MATCH($B3868,Übersicht!$A$15:$A$22,0))),0)),1,0),1))</f>
        <v/>
      </c>
    </row>
    <row r="3869">
      <c r="A3869" s="92" t="n"/>
      <c r="B3869" s="55" t="n"/>
      <c r="C3869" s="55" t="n"/>
      <c r="D3869" s="55" t="n"/>
      <c r="E3869" s="93" t="n"/>
      <c r="F3869" s="94" t="n"/>
      <c r="G3869" s="94" t="n"/>
      <c r="H3869" s="94" t="n"/>
      <c r="I3869" s="94" t="n"/>
      <c r="J3869" s="55" t="n"/>
      <c r="K3869" s="95" t="n"/>
      <c r="L3869" s="116">
        <f>IF($A3869="","",DATE(YEAR($A3869),MONTH($A3869)+IF(AND(IFERROR(N(INDEX(Übersicht!$M$15:$M$22,MATCH($B3869,Übersicht!$A$15:$A$22,0))),0)&gt;1,DAY($A3869)&gt;=IFERROR(N(INDEX(Übersicht!$M$15:$M$22,MATCH($B3869,Übersicht!$A$15:$A$22,0))),0)),1,0),1))</f>
        <v/>
      </c>
    </row>
    <row r="3870">
      <c r="A3870" s="92" t="n"/>
      <c r="B3870" s="55" t="n"/>
      <c r="C3870" s="55" t="n"/>
      <c r="D3870" s="55" t="n"/>
      <c r="E3870" s="93" t="n"/>
      <c r="F3870" s="94" t="n"/>
      <c r="G3870" s="94" t="n"/>
      <c r="H3870" s="94" t="n"/>
      <c r="I3870" s="94" t="n"/>
      <c r="J3870" s="55" t="n"/>
      <c r="K3870" s="95" t="n"/>
      <c r="L3870" s="116">
        <f>IF($A3870="","",DATE(YEAR($A3870),MONTH($A3870)+IF(AND(IFERROR(N(INDEX(Übersicht!$M$15:$M$22,MATCH($B3870,Übersicht!$A$15:$A$22,0))),0)&gt;1,DAY($A3870)&gt;=IFERROR(N(INDEX(Übersicht!$M$15:$M$22,MATCH($B3870,Übersicht!$A$15:$A$22,0))),0)),1,0),1))</f>
        <v/>
      </c>
    </row>
    <row r="3871">
      <c r="A3871" s="92" t="n"/>
      <c r="B3871" s="55" t="n"/>
      <c r="C3871" s="55" t="n"/>
      <c r="D3871" s="55" t="n"/>
      <c r="E3871" s="93" t="n"/>
      <c r="F3871" s="94" t="n"/>
      <c r="G3871" s="94" t="n"/>
      <c r="H3871" s="94" t="n"/>
      <c r="I3871" s="94" t="n"/>
      <c r="J3871" s="55" t="n"/>
      <c r="K3871" s="95" t="n"/>
      <c r="L3871" s="116">
        <f>IF($A3871="","",DATE(YEAR($A3871),MONTH($A3871)+IF(AND(IFERROR(N(INDEX(Übersicht!$M$15:$M$22,MATCH($B3871,Übersicht!$A$15:$A$22,0))),0)&gt;1,DAY($A3871)&gt;=IFERROR(N(INDEX(Übersicht!$M$15:$M$22,MATCH($B3871,Übersicht!$A$15:$A$22,0))),0)),1,0),1))</f>
        <v/>
      </c>
    </row>
    <row r="3872">
      <c r="A3872" s="92" t="n"/>
      <c r="B3872" s="55" t="n"/>
      <c r="C3872" s="55" t="n"/>
      <c r="D3872" s="55" t="n"/>
      <c r="E3872" s="93" t="n"/>
      <c r="F3872" s="94" t="n"/>
      <c r="G3872" s="94" t="n"/>
      <c r="H3872" s="94" t="n"/>
      <c r="I3872" s="94" t="n"/>
      <c r="J3872" s="55" t="n"/>
      <c r="K3872" s="95" t="n"/>
      <c r="L3872" s="116">
        <f>IF($A3872="","",DATE(YEAR($A3872),MONTH($A3872)+IF(AND(IFERROR(N(INDEX(Übersicht!$M$15:$M$22,MATCH($B3872,Übersicht!$A$15:$A$22,0))),0)&gt;1,DAY($A3872)&gt;=IFERROR(N(INDEX(Übersicht!$M$15:$M$22,MATCH($B3872,Übersicht!$A$15:$A$22,0))),0)),1,0),1))</f>
        <v/>
      </c>
    </row>
    <row r="3873">
      <c r="A3873" s="92" t="n"/>
      <c r="B3873" s="55" t="n"/>
      <c r="C3873" s="55" t="n"/>
      <c r="D3873" s="55" t="n"/>
      <c r="E3873" s="93" t="n"/>
      <c r="F3873" s="94" t="n"/>
      <c r="G3873" s="94" t="n"/>
      <c r="H3873" s="94" t="n"/>
      <c r="I3873" s="94" t="n"/>
      <c r="J3873" s="55" t="n"/>
      <c r="K3873" s="95" t="n"/>
      <c r="L3873" s="116">
        <f>IF($A3873="","",DATE(YEAR($A3873),MONTH($A3873)+IF(AND(IFERROR(N(INDEX(Übersicht!$M$15:$M$22,MATCH($B3873,Übersicht!$A$15:$A$22,0))),0)&gt;1,DAY($A3873)&gt;=IFERROR(N(INDEX(Übersicht!$M$15:$M$22,MATCH($B3873,Übersicht!$A$15:$A$22,0))),0)),1,0),1))</f>
        <v/>
      </c>
    </row>
    <row r="3874">
      <c r="A3874" s="92" t="n"/>
      <c r="B3874" s="55" t="n"/>
      <c r="C3874" s="55" t="n"/>
      <c r="D3874" s="55" t="n"/>
      <c r="E3874" s="93" t="n"/>
      <c r="F3874" s="94" t="n"/>
      <c r="G3874" s="94" t="n"/>
      <c r="H3874" s="94" t="n"/>
      <c r="I3874" s="94" t="n"/>
      <c r="J3874" s="55" t="n"/>
      <c r="K3874" s="95" t="n"/>
      <c r="L3874" s="116">
        <f>IF($A3874="","",DATE(YEAR($A3874),MONTH($A3874)+IF(AND(IFERROR(N(INDEX(Übersicht!$M$15:$M$22,MATCH($B3874,Übersicht!$A$15:$A$22,0))),0)&gt;1,DAY($A3874)&gt;=IFERROR(N(INDEX(Übersicht!$M$15:$M$22,MATCH($B3874,Übersicht!$A$15:$A$22,0))),0)),1,0),1))</f>
        <v/>
      </c>
    </row>
    <row r="3875">
      <c r="A3875" s="92" t="n"/>
      <c r="B3875" s="55" t="n"/>
      <c r="C3875" s="55" t="n"/>
      <c r="D3875" s="55" t="n"/>
      <c r="E3875" s="93" t="n"/>
      <c r="F3875" s="94" t="n"/>
      <c r="G3875" s="94" t="n"/>
      <c r="H3875" s="94" t="n"/>
      <c r="I3875" s="94" t="n"/>
      <c r="J3875" s="55" t="n"/>
      <c r="K3875" s="95" t="n"/>
      <c r="L3875" s="116">
        <f>IF($A3875="","",DATE(YEAR($A3875),MONTH($A3875)+IF(AND(IFERROR(N(INDEX(Übersicht!$M$15:$M$22,MATCH($B3875,Übersicht!$A$15:$A$22,0))),0)&gt;1,DAY($A3875)&gt;=IFERROR(N(INDEX(Übersicht!$M$15:$M$22,MATCH($B3875,Übersicht!$A$15:$A$22,0))),0)),1,0),1))</f>
        <v/>
      </c>
    </row>
    <row r="3876">
      <c r="A3876" s="92" t="n"/>
      <c r="B3876" s="55" t="n"/>
      <c r="C3876" s="55" t="n"/>
      <c r="D3876" s="55" t="n"/>
      <c r="E3876" s="93" t="n"/>
      <c r="F3876" s="94" t="n"/>
      <c r="G3876" s="94" t="n"/>
      <c r="H3876" s="94" t="n"/>
      <c r="I3876" s="94" t="n"/>
      <c r="J3876" s="55" t="n"/>
      <c r="K3876" s="95" t="n"/>
      <c r="L3876" s="116">
        <f>IF($A3876="","",DATE(YEAR($A3876),MONTH($A3876)+IF(AND(IFERROR(N(INDEX(Übersicht!$M$15:$M$22,MATCH($B3876,Übersicht!$A$15:$A$22,0))),0)&gt;1,DAY($A3876)&gt;=IFERROR(N(INDEX(Übersicht!$M$15:$M$22,MATCH($B3876,Übersicht!$A$15:$A$22,0))),0)),1,0),1))</f>
        <v/>
      </c>
    </row>
    <row r="3877">
      <c r="A3877" s="92" t="n"/>
      <c r="B3877" s="55" t="n"/>
      <c r="C3877" s="55" t="n"/>
      <c r="D3877" s="55" t="n"/>
      <c r="E3877" s="93" t="n"/>
      <c r="F3877" s="94" t="n"/>
      <c r="G3877" s="94" t="n"/>
      <c r="H3877" s="94" t="n"/>
      <c r="I3877" s="94" t="n"/>
      <c r="J3877" s="55" t="n"/>
      <c r="K3877" s="95" t="n"/>
      <c r="L3877" s="116">
        <f>IF($A3877="","",DATE(YEAR($A3877),MONTH($A3877)+IF(AND(IFERROR(N(INDEX(Übersicht!$M$15:$M$22,MATCH($B3877,Übersicht!$A$15:$A$22,0))),0)&gt;1,DAY($A3877)&gt;=IFERROR(N(INDEX(Übersicht!$M$15:$M$22,MATCH($B3877,Übersicht!$A$15:$A$22,0))),0)),1,0),1))</f>
        <v/>
      </c>
    </row>
    <row r="3878">
      <c r="A3878" s="92" t="n"/>
      <c r="B3878" s="55" t="n"/>
      <c r="C3878" s="55" t="n"/>
      <c r="D3878" s="55" t="n"/>
      <c r="E3878" s="93" t="n"/>
      <c r="F3878" s="94" t="n"/>
      <c r="G3878" s="94" t="n"/>
      <c r="H3878" s="94" t="n"/>
      <c r="I3878" s="94" t="n"/>
      <c r="J3878" s="55" t="n"/>
      <c r="K3878" s="95" t="n"/>
      <c r="L3878" s="116">
        <f>IF($A3878="","",DATE(YEAR($A3878),MONTH($A3878)+IF(AND(IFERROR(N(INDEX(Übersicht!$M$15:$M$22,MATCH($B3878,Übersicht!$A$15:$A$22,0))),0)&gt;1,DAY($A3878)&gt;=IFERROR(N(INDEX(Übersicht!$M$15:$M$22,MATCH($B3878,Übersicht!$A$15:$A$22,0))),0)),1,0),1))</f>
        <v/>
      </c>
    </row>
    <row r="3879">
      <c r="A3879" s="92" t="n"/>
      <c r="B3879" s="55" t="n"/>
      <c r="C3879" s="55" t="n"/>
      <c r="D3879" s="55" t="n"/>
      <c r="E3879" s="93" t="n"/>
      <c r="F3879" s="94" t="n"/>
      <c r="G3879" s="94" t="n"/>
      <c r="H3879" s="94" t="n"/>
      <c r="I3879" s="94" t="n"/>
      <c r="J3879" s="55" t="n"/>
      <c r="K3879" s="95" t="n"/>
      <c r="L3879" s="116">
        <f>IF($A3879="","",DATE(YEAR($A3879),MONTH($A3879)+IF(AND(IFERROR(N(INDEX(Übersicht!$M$15:$M$22,MATCH($B3879,Übersicht!$A$15:$A$22,0))),0)&gt;1,DAY($A3879)&gt;=IFERROR(N(INDEX(Übersicht!$M$15:$M$22,MATCH($B3879,Übersicht!$A$15:$A$22,0))),0)),1,0),1))</f>
        <v/>
      </c>
    </row>
    <row r="3880">
      <c r="A3880" s="92" t="n"/>
      <c r="B3880" s="55" t="n"/>
      <c r="C3880" s="55" t="n"/>
      <c r="D3880" s="55" t="n"/>
      <c r="E3880" s="93" t="n"/>
      <c r="F3880" s="94" t="n"/>
      <c r="G3880" s="94" t="n"/>
      <c r="H3880" s="94" t="n"/>
      <c r="I3880" s="94" t="n"/>
      <c r="J3880" s="55" t="n"/>
      <c r="K3880" s="95" t="n"/>
      <c r="L3880" s="116">
        <f>IF($A3880="","",DATE(YEAR($A3880),MONTH($A3880)+IF(AND(IFERROR(N(INDEX(Übersicht!$M$15:$M$22,MATCH($B3880,Übersicht!$A$15:$A$22,0))),0)&gt;1,DAY($A3880)&gt;=IFERROR(N(INDEX(Übersicht!$M$15:$M$22,MATCH($B3880,Übersicht!$A$15:$A$22,0))),0)),1,0),1))</f>
        <v/>
      </c>
    </row>
    <row r="3881">
      <c r="A3881" s="92" t="n"/>
      <c r="B3881" s="55" t="n"/>
      <c r="C3881" s="55" t="n"/>
      <c r="D3881" s="55" t="n"/>
      <c r="E3881" s="93" t="n"/>
      <c r="F3881" s="94" t="n"/>
      <c r="G3881" s="94" t="n"/>
      <c r="H3881" s="94" t="n"/>
      <c r="I3881" s="94" t="n"/>
      <c r="J3881" s="55" t="n"/>
      <c r="K3881" s="95" t="n"/>
      <c r="L3881" s="116">
        <f>IF($A3881="","",DATE(YEAR($A3881),MONTH($A3881)+IF(AND(IFERROR(N(INDEX(Übersicht!$M$15:$M$22,MATCH($B3881,Übersicht!$A$15:$A$22,0))),0)&gt;1,DAY($A3881)&gt;=IFERROR(N(INDEX(Übersicht!$M$15:$M$22,MATCH($B3881,Übersicht!$A$15:$A$22,0))),0)),1,0),1))</f>
        <v/>
      </c>
    </row>
    <row r="3882">
      <c r="A3882" s="92" t="n"/>
      <c r="B3882" s="55" t="n"/>
      <c r="C3882" s="55" t="n"/>
      <c r="D3882" s="55" t="n"/>
      <c r="E3882" s="93" t="n"/>
      <c r="F3882" s="94" t="n"/>
      <c r="G3882" s="94" t="n"/>
      <c r="H3882" s="94" t="n"/>
      <c r="I3882" s="94" t="n"/>
      <c r="J3882" s="55" t="n"/>
      <c r="K3882" s="95" t="n"/>
      <c r="L3882" s="116">
        <f>IF($A3882="","",DATE(YEAR($A3882),MONTH($A3882)+IF(AND(IFERROR(N(INDEX(Übersicht!$M$15:$M$22,MATCH($B3882,Übersicht!$A$15:$A$22,0))),0)&gt;1,DAY($A3882)&gt;=IFERROR(N(INDEX(Übersicht!$M$15:$M$22,MATCH($B3882,Übersicht!$A$15:$A$22,0))),0)),1,0),1))</f>
        <v/>
      </c>
    </row>
    <row r="3883">
      <c r="A3883" s="92" t="n"/>
      <c r="B3883" s="55" t="n"/>
      <c r="C3883" s="55" t="n"/>
      <c r="D3883" s="55" t="n"/>
      <c r="E3883" s="93" t="n"/>
      <c r="F3883" s="94" t="n"/>
      <c r="G3883" s="94" t="n"/>
      <c r="H3883" s="94" t="n"/>
      <c r="I3883" s="94" t="n"/>
      <c r="J3883" s="55" t="n"/>
      <c r="K3883" s="95" t="n"/>
      <c r="L3883" s="116">
        <f>IF($A3883="","",DATE(YEAR($A3883),MONTH($A3883)+IF(AND(IFERROR(N(INDEX(Übersicht!$M$15:$M$22,MATCH($B3883,Übersicht!$A$15:$A$22,0))),0)&gt;1,DAY($A3883)&gt;=IFERROR(N(INDEX(Übersicht!$M$15:$M$22,MATCH($B3883,Übersicht!$A$15:$A$22,0))),0)),1,0),1))</f>
        <v/>
      </c>
    </row>
    <row r="3884">
      <c r="A3884" s="92" t="n"/>
      <c r="B3884" s="55" t="n"/>
      <c r="C3884" s="55" t="n"/>
      <c r="D3884" s="55" t="n"/>
      <c r="E3884" s="93" t="n"/>
      <c r="F3884" s="94" t="n"/>
      <c r="G3884" s="94" t="n"/>
      <c r="H3884" s="94" t="n"/>
      <c r="I3884" s="94" t="n"/>
      <c r="J3884" s="55" t="n"/>
      <c r="K3884" s="95" t="n"/>
      <c r="L3884" s="116">
        <f>IF($A3884="","",DATE(YEAR($A3884),MONTH($A3884)+IF(AND(IFERROR(N(INDEX(Übersicht!$M$15:$M$22,MATCH($B3884,Übersicht!$A$15:$A$22,0))),0)&gt;1,DAY($A3884)&gt;=IFERROR(N(INDEX(Übersicht!$M$15:$M$22,MATCH($B3884,Übersicht!$A$15:$A$22,0))),0)),1,0),1))</f>
        <v/>
      </c>
    </row>
    <row r="3885">
      <c r="A3885" s="92" t="n"/>
      <c r="B3885" s="55" t="n"/>
      <c r="C3885" s="55" t="n"/>
      <c r="D3885" s="55" t="n"/>
      <c r="E3885" s="93" t="n"/>
      <c r="F3885" s="94" t="n"/>
      <c r="G3885" s="94" t="n"/>
      <c r="H3885" s="94" t="n"/>
      <c r="I3885" s="94" t="n"/>
      <c r="J3885" s="55" t="n"/>
      <c r="K3885" s="95" t="n"/>
      <c r="L3885" s="116">
        <f>IF($A3885="","",DATE(YEAR($A3885),MONTH($A3885)+IF(AND(IFERROR(N(INDEX(Übersicht!$M$15:$M$22,MATCH($B3885,Übersicht!$A$15:$A$22,0))),0)&gt;1,DAY($A3885)&gt;=IFERROR(N(INDEX(Übersicht!$M$15:$M$22,MATCH($B3885,Übersicht!$A$15:$A$22,0))),0)),1,0),1))</f>
        <v/>
      </c>
    </row>
    <row r="3886">
      <c r="A3886" s="92" t="n"/>
      <c r="B3886" s="55" t="n"/>
      <c r="C3886" s="55" t="n"/>
      <c r="D3886" s="55" t="n"/>
      <c r="E3886" s="93" t="n"/>
      <c r="F3886" s="94" t="n"/>
      <c r="G3886" s="94" t="n"/>
      <c r="H3886" s="94" t="n"/>
      <c r="I3886" s="94" t="n"/>
      <c r="J3886" s="55" t="n"/>
      <c r="K3886" s="95" t="n"/>
      <c r="L3886" s="116">
        <f>IF($A3886="","",DATE(YEAR($A3886),MONTH($A3886)+IF(AND(IFERROR(N(INDEX(Übersicht!$M$15:$M$22,MATCH($B3886,Übersicht!$A$15:$A$22,0))),0)&gt;1,DAY($A3886)&gt;=IFERROR(N(INDEX(Übersicht!$M$15:$M$22,MATCH($B3886,Übersicht!$A$15:$A$22,0))),0)),1,0),1))</f>
        <v/>
      </c>
    </row>
    <row r="3887">
      <c r="A3887" s="92" t="n"/>
      <c r="B3887" s="55" t="n"/>
      <c r="C3887" s="55" t="n"/>
      <c r="D3887" s="55" t="n"/>
      <c r="E3887" s="93" t="n"/>
      <c r="F3887" s="94" t="n"/>
      <c r="G3887" s="94" t="n"/>
      <c r="H3887" s="94" t="n"/>
      <c r="I3887" s="94" t="n"/>
      <c r="J3887" s="55" t="n"/>
      <c r="K3887" s="95" t="n"/>
      <c r="L3887" s="116">
        <f>IF($A3887="","",DATE(YEAR($A3887),MONTH($A3887)+IF(AND(IFERROR(N(INDEX(Übersicht!$M$15:$M$22,MATCH($B3887,Übersicht!$A$15:$A$22,0))),0)&gt;1,DAY($A3887)&gt;=IFERROR(N(INDEX(Übersicht!$M$15:$M$22,MATCH($B3887,Übersicht!$A$15:$A$22,0))),0)),1,0),1))</f>
        <v/>
      </c>
    </row>
    <row r="3888">
      <c r="A3888" s="92" t="n"/>
      <c r="B3888" s="55" t="n"/>
      <c r="C3888" s="55" t="n"/>
      <c r="D3888" s="55" t="n"/>
      <c r="E3888" s="93" t="n"/>
      <c r="F3888" s="94" t="n"/>
      <c r="G3888" s="94" t="n"/>
      <c r="H3888" s="94" t="n"/>
      <c r="I3888" s="94" t="n"/>
      <c r="J3888" s="55" t="n"/>
      <c r="K3888" s="95" t="n"/>
      <c r="L3888" s="116">
        <f>IF($A3888="","",DATE(YEAR($A3888),MONTH($A3888)+IF(AND(IFERROR(N(INDEX(Übersicht!$M$15:$M$22,MATCH($B3888,Übersicht!$A$15:$A$22,0))),0)&gt;1,DAY($A3888)&gt;=IFERROR(N(INDEX(Übersicht!$M$15:$M$22,MATCH($B3888,Übersicht!$A$15:$A$22,0))),0)),1,0),1))</f>
        <v/>
      </c>
    </row>
    <row r="3889">
      <c r="A3889" s="92" t="n"/>
      <c r="B3889" s="55" t="n"/>
      <c r="C3889" s="55" t="n"/>
      <c r="D3889" s="55" t="n"/>
      <c r="E3889" s="93" t="n"/>
      <c r="F3889" s="94" t="n"/>
      <c r="G3889" s="94" t="n"/>
      <c r="H3889" s="94" t="n"/>
      <c r="I3889" s="94" t="n"/>
      <c r="J3889" s="55" t="n"/>
      <c r="K3889" s="95" t="n"/>
      <c r="L3889" s="116">
        <f>IF($A3889="","",DATE(YEAR($A3889),MONTH($A3889)+IF(AND(IFERROR(N(INDEX(Übersicht!$M$15:$M$22,MATCH($B3889,Übersicht!$A$15:$A$22,0))),0)&gt;1,DAY($A3889)&gt;=IFERROR(N(INDEX(Übersicht!$M$15:$M$22,MATCH($B3889,Übersicht!$A$15:$A$22,0))),0)),1,0),1))</f>
        <v/>
      </c>
    </row>
    <row r="3890">
      <c r="A3890" s="92" t="n"/>
      <c r="B3890" s="55" t="n"/>
      <c r="C3890" s="55" t="n"/>
      <c r="D3890" s="55" t="n"/>
      <c r="E3890" s="93" t="n"/>
      <c r="F3890" s="94" t="n"/>
      <c r="G3890" s="94" t="n"/>
      <c r="H3890" s="94" t="n"/>
      <c r="I3890" s="94" t="n"/>
      <c r="J3890" s="55" t="n"/>
      <c r="K3890" s="95" t="n"/>
      <c r="L3890" s="116">
        <f>IF($A3890="","",DATE(YEAR($A3890),MONTH($A3890)+IF(AND(IFERROR(N(INDEX(Übersicht!$M$15:$M$22,MATCH($B3890,Übersicht!$A$15:$A$22,0))),0)&gt;1,DAY($A3890)&gt;=IFERROR(N(INDEX(Übersicht!$M$15:$M$22,MATCH($B3890,Übersicht!$A$15:$A$22,0))),0)),1,0),1))</f>
        <v/>
      </c>
    </row>
    <row r="3891">
      <c r="A3891" s="92" t="n"/>
      <c r="B3891" s="55" t="n"/>
      <c r="C3891" s="55" t="n"/>
      <c r="D3891" s="55" t="n"/>
      <c r="E3891" s="93" t="n"/>
      <c r="F3891" s="94" t="n"/>
      <c r="G3891" s="94" t="n"/>
      <c r="H3891" s="94" t="n"/>
      <c r="I3891" s="94" t="n"/>
      <c r="J3891" s="55" t="n"/>
      <c r="K3891" s="95" t="n"/>
      <c r="L3891" s="116">
        <f>IF($A3891="","",DATE(YEAR($A3891),MONTH($A3891)+IF(AND(IFERROR(N(INDEX(Übersicht!$M$15:$M$22,MATCH($B3891,Übersicht!$A$15:$A$22,0))),0)&gt;1,DAY($A3891)&gt;=IFERROR(N(INDEX(Übersicht!$M$15:$M$22,MATCH($B3891,Übersicht!$A$15:$A$22,0))),0)),1,0),1))</f>
        <v/>
      </c>
    </row>
    <row r="3892">
      <c r="A3892" s="92" t="n"/>
      <c r="B3892" s="55" t="n"/>
      <c r="C3892" s="55" t="n"/>
      <c r="D3892" s="55" t="n"/>
      <c r="E3892" s="93" t="n"/>
      <c r="F3892" s="94" t="n"/>
      <c r="G3892" s="94" t="n"/>
      <c r="H3892" s="94" t="n"/>
      <c r="I3892" s="94" t="n"/>
      <c r="J3892" s="55" t="n"/>
      <c r="K3892" s="95" t="n"/>
      <c r="L3892" s="116">
        <f>IF($A3892="","",DATE(YEAR($A3892),MONTH($A3892)+IF(AND(IFERROR(N(INDEX(Übersicht!$M$15:$M$22,MATCH($B3892,Übersicht!$A$15:$A$22,0))),0)&gt;1,DAY($A3892)&gt;=IFERROR(N(INDEX(Übersicht!$M$15:$M$22,MATCH($B3892,Übersicht!$A$15:$A$22,0))),0)),1,0),1))</f>
        <v/>
      </c>
    </row>
    <row r="3893">
      <c r="A3893" s="92" t="n"/>
      <c r="B3893" s="55" t="n"/>
      <c r="C3893" s="55" t="n"/>
      <c r="D3893" s="55" t="n"/>
      <c r="E3893" s="93" t="n"/>
      <c r="F3893" s="94" t="n"/>
      <c r="G3893" s="94" t="n"/>
      <c r="H3893" s="94" t="n"/>
      <c r="I3893" s="94" t="n"/>
      <c r="J3893" s="55" t="n"/>
      <c r="K3893" s="95" t="n"/>
      <c r="L3893" s="116">
        <f>IF($A3893="","",DATE(YEAR($A3893),MONTH($A3893)+IF(AND(IFERROR(N(INDEX(Übersicht!$M$15:$M$22,MATCH($B3893,Übersicht!$A$15:$A$22,0))),0)&gt;1,DAY($A3893)&gt;=IFERROR(N(INDEX(Übersicht!$M$15:$M$22,MATCH($B3893,Übersicht!$A$15:$A$22,0))),0)),1,0),1))</f>
        <v/>
      </c>
    </row>
    <row r="3894">
      <c r="A3894" s="92" t="n"/>
      <c r="B3894" s="55" t="n"/>
      <c r="C3894" s="55" t="n"/>
      <c r="D3894" s="55" t="n"/>
      <c r="E3894" s="93" t="n"/>
      <c r="F3894" s="94" t="n"/>
      <c r="G3894" s="94" t="n"/>
      <c r="H3894" s="94" t="n"/>
      <c r="I3894" s="94" t="n"/>
      <c r="J3894" s="55" t="n"/>
      <c r="K3894" s="95" t="n"/>
      <c r="L3894" s="116">
        <f>IF($A3894="","",DATE(YEAR($A3894),MONTH($A3894)+IF(AND(IFERROR(N(INDEX(Übersicht!$M$15:$M$22,MATCH($B3894,Übersicht!$A$15:$A$22,0))),0)&gt;1,DAY($A3894)&gt;=IFERROR(N(INDEX(Übersicht!$M$15:$M$22,MATCH($B3894,Übersicht!$A$15:$A$22,0))),0)),1,0),1))</f>
        <v/>
      </c>
    </row>
    <row r="3895">
      <c r="A3895" s="92" t="n"/>
      <c r="B3895" s="55" t="n"/>
      <c r="C3895" s="55" t="n"/>
      <c r="D3895" s="55" t="n"/>
      <c r="E3895" s="93" t="n"/>
      <c r="F3895" s="94" t="n"/>
      <c r="G3895" s="94" t="n"/>
      <c r="H3895" s="94" t="n"/>
      <c r="I3895" s="94" t="n"/>
      <c r="J3895" s="55" t="n"/>
      <c r="K3895" s="95" t="n"/>
      <c r="L3895" s="116">
        <f>IF($A3895="","",DATE(YEAR($A3895),MONTH($A3895)+IF(AND(IFERROR(N(INDEX(Übersicht!$M$15:$M$22,MATCH($B3895,Übersicht!$A$15:$A$22,0))),0)&gt;1,DAY($A3895)&gt;=IFERROR(N(INDEX(Übersicht!$M$15:$M$22,MATCH($B3895,Übersicht!$A$15:$A$22,0))),0)),1,0),1))</f>
        <v/>
      </c>
    </row>
    <row r="3896">
      <c r="A3896" s="92" t="n"/>
      <c r="B3896" s="55" t="n"/>
      <c r="C3896" s="55" t="n"/>
      <c r="D3896" s="55" t="n"/>
      <c r="E3896" s="93" t="n"/>
      <c r="F3896" s="94" t="n"/>
      <c r="G3896" s="94" t="n"/>
      <c r="H3896" s="94" t="n"/>
      <c r="I3896" s="94" t="n"/>
      <c r="J3896" s="55" t="n"/>
      <c r="K3896" s="95" t="n"/>
      <c r="L3896" s="116">
        <f>IF($A3896="","",DATE(YEAR($A3896),MONTH($A3896)+IF(AND(IFERROR(N(INDEX(Übersicht!$M$15:$M$22,MATCH($B3896,Übersicht!$A$15:$A$22,0))),0)&gt;1,DAY($A3896)&gt;=IFERROR(N(INDEX(Übersicht!$M$15:$M$22,MATCH($B3896,Übersicht!$A$15:$A$22,0))),0)),1,0),1))</f>
        <v/>
      </c>
    </row>
    <row r="3897">
      <c r="A3897" s="92" t="n"/>
      <c r="B3897" s="55" t="n"/>
      <c r="C3897" s="55" t="n"/>
      <c r="D3897" s="55" t="n"/>
      <c r="E3897" s="93" t="n"/>
      <c r="F3897" s="94" t="n"/>
      <c r="G3897" s="94" t="n"/>
      <c r="H3897" s="94" t="n"/>
      <c r="I3897" s="94" t="n"/>
      <c r="J3897" s="55" t="n"/>
      <c r="K3897" s="95" t="n"/>
      <c r="L3897" s="116">
        <f>IF($A3897="","",DATE(YEAR($A3897),MONTH($A3897)+IF(AND(IFERROR(N(INDEX(Übersicht!$M$15:$M$22,MATCH($B3897,Übersicht!$A$15:$A$22,0))),0)&gt;1,DAY($A3897)&gt;=IFERROR(N(INDEX(Übersicht!$M$15:$M$22,MATCH($B3897,Übersicht!$A$15:$A$22,0))),0)),1,0),1))</f>
        <v/>
      </c>
    </row>
    <row r="3898">
      <c r="A3898" s="92" t="n"/>
      <c r="B3898" s="55" t="n"/>
      <c r="C3898" s="55" t="n"/>
      <c r="D3898" s="55" t="n"/>
      <c r="E3898" s="93" t="n"/>
      <c r="F3898" s="94" t="n"/>
      <c r="G3898" s="94" t="n"/>
      <c r="H3898" s="94" t="n"/>
      <c r="I3898" s="94" t="n"/>
      <c r="J3898" s="55" t="n"/>
      <c r="K3898" s="95" t="n"/>
      <c r="L3898" s="116">
        <f>IF($A3898="","",DATE(YEAR($A3898),MONTH($A3898)+IF(AND(IFERROR(N(INDEX(Übersicht!$M$15:$M$22,MATCH($B3898,Übersicht!$A$15:$A$22,0))),0)&gt;1,DAY($A3898)&gt;=IFERROR(N(INDEX(Übersicht!$M$15:$M$22,MATCH($B3898,Übersicht!$A$15:$A$22,0))),0)),1,0),1))</f>
        <v/>
      </c>
    </row>
    <row r="3899">
      <c r="A3899" s="92" t="n"/>
      <c r="B3899" s="55" t="n"/>
      <c r="C3899" s="55" t="n"/>
      <c r="D3899" s="55" t="n"/>
      <c r="E3899" s="93" t="n"/>
      <c r="F3899" s="94" t="n"/>
      <c r="G3899" s="94" t="n"/>
      <c r="H3899" s="94" t="n"/>
      <c r="I3899" s="94" t="n"/>
      <c r="J3899" s="55" t="n"/>
      <c r="K3899" s="95" t="n"/>
      <c r="L3899" s="116">
        <f>IF($A3899="","",DATE(YEAR($A3899),MONTH($A3899)+IF(AND(IFERROR(N(INDEX(Übersicht!$M$15:$M$22,MATCH($B3899,Übersicht!$A$15:$A$22,0))),0)&gt;1,DAY($A3899)&gt;=IFERROR(N(INDEX(Übersicht!$M$15:$M$22,MATCH($B3899,Übersicht!$A$15:$A$22,0))),0)),1,0),1))</f>
        <v/>
      </c>
    </row>
    <row r="3900">
      <c r="A3900" s="92" t="n"/>
      <c r="B3900" s="55" t="n"/>
      <c r="C3900" s="55" t="n"/>
      <c r="D3900" s="55" t="n"/>
      <c r="E3900" s="93" t="n"/>
      <c r="F3900" s="94" t="n"/>
      <c r="G3900" s="94" t="n"/>
      <c r="H3900" s="94" t="n"/>
      <c r="I3900" s="94" t="n"/>
      <c r="J3900" s="55" t="n"/>
      <c r="K3900" s="95" t="n"/>
      <c r="L3900" s="116">
        <f>IF($A3900="","",DATE(YEAR($A3900),MONTH($A3900)+IF(AND(IFERROR(N(INDEX(Übersicht!$M$15:$M$22,MATCH($B3900,Übersicht!$A$15:$A$22,0))),0)&gt;1,DAY($A3900)&gt;=IFERROR(N(INDEX(Übersicht!$M$15:$M$22,MATCH($B3900,Übersicht!$A$15:$A$22,0))),0)),1,0),1))</f>
        <v/>
      </c>
    </row>
    <row r="3901">
      <c r="A3901" s="92" t="n"/>
      <c r="B3901" s="55" t="n"/>
      <c r="C3901" s="55" t="n"/>
      <c r="D3901" s="55" t="n"/>
      <c r="E3901" s="93" t="n"/>
      <c r="F3901" s="94" t="n"/>
      <c r="G3901" s="94" t="n"/>
      <c r="H3901" s="94" t="n"/>
      <c r="I3901" s="94" t="n"/>
      <c r="J3901" s="55" t="n"/>
      <c r="K3901" s="95" t="n"/>
      <c r="L3901" s="116">
        <f>IF($A3901="","",DATE(YEAR($A3901),MONTH($A3901)+IF(AND(IFERROR(N(INDEX(Übersicht!$M$15:$M$22,MATCH($B3901,Übersicht!$A$15:$A$22,0))),0)&gt;1,DAY($A3901)&gt;=IFERROR(N(INDEX(Übersicht!$M$15:$M$22,MATCH($B3901,Übersicht!$A$15:$A$22,0))),0)),1,0),1))</f>
        <v/>
      </c>
    </row>
    <row r="3902">
      <c r="A3902" s="92" t="n"/>
      <c r="B3902" s="55" t="n"/>
      <c r="C3902" s="55" t="n"/>
      <c r="D3902" s="55" t="n"/>
      <c r="E3902" s="93" t="n"/>
      <c r="F3902" s="94" t="n"/>
      <c r="G3902" s="94" t="n"/>
      <c r="H3902" s="94" t="n"/>
      <c r="I3902" s="94" t="n"/>
      <c r="J3902" s="55" t="n"/>
      <c r="K3902" s="95" t="n"/>
      <c r="L3902" s="116">
        <f>IF($A3902="","",DATE(YEAR($A3902),MONTH($A3902)+IF(AND(IFERROR(N(INDEX(Übersicht!$M$15:$M$22,MATCH($B3902,Übersicht!$A$15:$A$22,0))),0)&gt;1,DAY($A3902)&gt;=IFERROR(N(INDEX(Übersicht!$M$15:$M$22,MATCH($B3902,Übersicht!$A$15:$A$22,0))),0)),1,0),1))</f>
        <v/>
      </c>
    </row>
    <row r="3903">
      <c r="A3903" s="92" t="n"/>
      <c r="B3903" s="55" t="n"/>
      <c r="C3903" s="55" t="n"/>
      <c r="D3903" s="55" t="n"/>
      <c r="E3903" s="93" t="n"/>
      <c r="F3903" s="94" t="n"/>
      <c r="G3903" s="94" t="n"/>
      <c r="H3903" s="94" t="n"/>
      <c r="I3903" s="94" t="n"/>
      <c r="J3903" s="55" t="n"/>
      <c r="K3903" s="95" t="n"/>
      <c r="L3903" s="116">
        <f>IF($A3903="","",DATE(YEAR($A3903),MONTH($A3903)+IF(AND(IFERROR(N(INDEX(Übersicht!$M$15:$M$22,MATCH($B3903,Übersicht!$A$15:$A$22,0))),0)&gt;1,DAY($A3903)&gt;=IFERROR(N(INDEX(Übersicht!$M$15:$M$22,MATCH($B3903,Übersicht!$A$15:$A$22,0))),0)),1,0),1))</f>
        <v/>
      </c>
    </row>
    <row r="3904">
      <c r="A3904" s="92" t="n"/>
      <c r="B3904" s="55" t="n"/>
      <c r="C3904" s="55" t="n"/>
      <c r="D3904" s="55" t="n"/>
      <c r="E3904" s="93" t="n"/>
      <c r="F3904" s="94" t="n"/>
      <c r="G3904" s="94" t="n"/>
      <c r="H3904" s="94" t="n"/>
      <c r="I3904" s="94" t="n"/>
      <c r="J3904" s="55" t="n"/>
      <c r="K3904" s="95" t="n"/>
      <c r="L3904" s="116">
        <f>IF($A3904="","",DATE(YEAR($A3904),MONTH($A3904)+IF(AND(IFERROR(N(INDEX(Übersicht!$M$15:$M$22,MATCH($B3904,Übersicht!$A$15:$A$22,0))),0)&gt;1,DAY($A3904)&gt;=IFERROR(N(INDEX(Übersicht!$M$15:$M$22,MATCH($B3904,Übersicht!$A$15:$A$22,0))),0)),1,0),1))</f>
        <v/>
      </c>
    </row>
    <row r="3905">
      <c r="A3905" s="92" t="n"/>
      <c r="B3905" s="55" t="n"/>
      <c r="C3905" s="55" t="n"/>
      <c r="D3905" s="55" t="n"/>
      <c r="E3905" s="93" t="n"/>
      <c r="F3905" s="94" t="n"/>
      <c r="G3905" s="94" t="n"/>
      <c r="H3905" s="94" t="n"/>
      <c r="I3905" s="94" t="n"/>
      <c r="J3905" s="55" t="n"/>
      <c r="K3905" s="95" t="n"/>
      <c r="L3905" s="116">
        <f>IF($A3905="","",DATE(YEAR($A3905),MONTH($A3905)+IF(AND(IFERROR(N(INDEX(Übersicht!$M$15:$M$22,MATCH($B3905,Übersicht!$A$15:$A$22,0))),0)&gt;1,DAY($A3905)&gt;=IFERROR(N(INDEX(Übersicht!$M$15:$M$22,MATCH($B3905,Übersicht!$A$15:$A$22,0))),0)),1,0),1))</f>
        <v/>
      </c>
    </row>
    <row r="3906">
      <c r="A3906" s="92" t="n"/>
      <c r="B3906" s="55" t="n"/>
      <c r="C3906" s="55" t="n"/>
      <c r="D3906" s="55" t="n"/>
      <c r="E3906" s="93" t="n"/>
      <c r="F3906" s="94" t="n"/>
      <c r="G3906" s="94" t="n"/>
      <c r="H3906" s="94" t="n"/>
      <c r="I3906" s="94" t="n"/>
      <c r="J3906" s="55" t="n"/>
      <c r="K3906" s="95" t="n"/>
      <c r="L3906" s="116">
        <f>IF($A3906="","",DATE(YEAR($A3906),MONTH($A3906)+IF(AND(IFERROR(N(INDEX(Übersicht!$M$15:$M$22,MATCH($B3906,Übersicht!$A$15:$A$22,0))),0)&gt;1,DAY($A3906)&gt;=IFERROR(N(INDEX(Übersicht!$M$15:$M$22,MATCH($B3906,Übersicht!$A$15:$A$22,0))),0)),1,0),1))</f>
        <v/>
      </c>
    </row>
    <row r="3907">
      <c r="A3907" s="92" t="n"/>
      <c r="B3907" s="55" t="n"/>
      <c r="C3907" s="55" t="n"/>
      <c r="D3907" s="55" t="n"/>
      <c r="E3907" s="93" t="n"/>
      <c r="F3907" s="94" t="n"/>
      <c r="G3907" s="94" t="n"/>
      <c r="H3907" s="94" t="n"/>
      <c r="I3907" s="94" t="n"/>
      <c r="J3907" s="55" t="n"/>
      <c r="K3907" s="95" t="n"/>
      <c r="L3907" s="116">
        <f>IF($A3907="","",DATE(YEAR($A3907),MONTH($A3907)+IF(AND(IFERROR(N(INDEX(Übersicht!$M$15:$M$22,MATCH($B3907,Übersicht!$A$15:$A$22,0))),0)&gt;1,DAY($A3907)&gt;=IFERROR(N(INDEX(Übersicht!$M$15:$M$22,MATCH($B3907,Übersicht!$A$15:$A$22,0))),0)),1,0),1))</f>
        <v/>
      </c>
    </row>
    <row r="3908">
      <c r="A3908" s="92" t="n"/>
      <c r="B3908" s="55" t="n"/>
      <c r="C3908" s="55" t="n"/>
      <c r="D3908" s="55" t="n"/>
      <c r="E3908" s="93" t="n"/>
      <c r="F3908" s="94" t="n"/>
      <c r="G3908" s="94" t="n"/>
      <c r="H3908" s="94" t="n"/>
      <c r="I3908" s="94" t="n"/>
      <c r="J3908" s="55" t="n"/>
      <c r="K3908" s="95" t="n"/>
      <c r="L3908" s="116">
        <f>IF($A3908="","",DATE(YEAR($A3908),MONTH($A3908)+IF(AND(IFERROR(N(INDEX(Übersicht!$M$15:$M$22,MATCH($B3908,Übersicht!$A$15:$A$22,0))),0)&gt;1,DAY($A3908)&gt;=IFERROR(N(INDEX(Übersicht!$M$15:$M$22,MATCH($B3908,Übersicht!$A$15:$A$22,0))),0)),1,0),1))</f>
        <v/>
      </c>
    </row>
    <row r="3909">
      <c r="A3909" s="92" t="n"/>
      <c r="B3909" s="55" t="n"/>
      <c r="C3909" s="55" t="n"/>
      <c r="D3909" s="55" t="n"/>
      <c r="E3909" s="93" t="n"/>
      <c r="F3909" s="94" t="n"/>
      <c r="G3909" s="94" t="n"/>
      <c r="H3909" s="94" t="n"/>
      <c r="I3909" s="94" t="n"/>
      <c r="J3909" s="55" t="n"/>
      <c r="K3909" s="95" t="n"/>
      <c r="L3909" s="116">
        <f>IF($A3909="","",DATE(YEAR($A3909),MONTH($A3909)+IF(AND(IFERROR(N(INDEX(Übersicht!$M$15:$M$22,MATCH($B3909,Übersicht!$A$15:$A$22,0))),0)&gt;1,DAY($A3909)&gt;=IFERROR(N(INDEX(Übersicht!$M$15:$M$22,MATCH($B3909,Übersicht!$A$15:$A$22,0))),0)),1,0),1))</f>
        <v/>
      </c>
    </row>
    <row r="3910">
      <c r="A3910" s="92" t="n"/>
      <c r="B3910" s="55" t="n"/>
      <c r="C3910" s="55" t="n"/>
      <c r="D3910" s="55" t="n"/>
      <c r="E3910" s="93" t="n"/>
      <c r="F3910" s="94" t="n"/>
      <c r="G3910" s="94" t="n"/>
      <c r="H3910" s="94" t="n"/>
      <c r="I3910" s="94" t="n"/>
      <c r="J3910" s="55" t="n"/>
      <c r="K3910" s="95" t="n"/>
      <c r="L3910" s="116">
        <f>IF($A3910="","",DATE(YEAR($A3910),MONTH($A3910)+IF(AND(IFERROR(N(INDEX(Übersicht!$M$15:$M$22,MATCH($B3910,Übersicht!$A$15:$A$22,0))),0)&gt;1,DAY($A3910)&gt;=IFERROR(N(INDEX(Übersicht!$M$15:$M$22,MATCH($B3910,Übersicht!$A$15:$A$22,0))),0)),1,0),1))</f>
        <v/>
      </c>
    </row>
    <row r="3911">
      <c r="A3911" s="92" t="n"/>
      <c r="B3911" s="55" t="n"/>
      <c r="C3911" s="55" t="n"/>
      <c r="D3911" s="55" t="n"/>
      <c r="E3911" s="93" t="n"/>
      <c r="F3911" s="94" t="n"/>
      <c r="G3911" s="94" t="n"/>
      <c r="H3911" s="94" t="n"/>
      <c r="I3911" s="94" t="n"/>
      <c r="J3911" s="55" t="n"/>
      <c r="K3911" s="95" t="n"/>
      <c r="L3911" s="116">
        <f>IF($A3911="","",DATE(YEAR($A3911),MONTH($A3911)+IF(AND(IFERROR(N(INDEX(Übersicht!$M$15:$M$22,MATCH($B3911,Übersicht!$A$15:$A$22,0))),0)&gt;1,DAY($A3911)&gt;=IFERROR(N(INDEX(Übersicht!$M$15:$M$22,MATCH($B3911,Übersicht!$A$15:$A$22,0))),0)),1,0),1))</f>
        <v/>
      </c>
    </row>
    <row r="3912">
      <c r="A3912" s="92" t="n"/>
      <c r="B3912" s="55" t="n"/>
      <c r="C3912" s="55" t="n"/>
      <c r="D3912" s="55" t="n"/>
      <c r="E3912" s="93" t="n"/>
      <c r="F3912" s="94" t="n"/>
      <c r="G3912" s="94" t="n"/>
      <c r="H3912" s="94" t="n"/>
      <c r="I3912" s="94" t="n"/>
      <c r="J3912" s="55" t="n"/>
      <c r="K3912" s="95" t="n"/>
      <c r="L3912" s="116">
        <f>IF($A3912="","",DATE(YEAR($A3912),MONTH($A3912)+IF(AND(IFERROR(N(INDEX(Übersicht!$M$15:$M$22,MATCH($B3912,Übersicht!$A$15:$A$22,0))),0)&gt;1,DAY($A3912)&gt;=IFERROR(N(INDEX(Übersicht!$M$15:$M$22,MATCH($B3912,Übersicht!$A$15:$A$22,0))),0)),1,0),1))</f>
        <v/>
      </c>
    </row>
    <row r="3913">
      <c r="A3913" s="92" t="n"/>
      <c r="B3913" s="55" t="n"/>
      <c r="C3913" s="55" t="n"/>
      <c r="D3913" s="55" t="n"/>
      <c r="E3913" s="93" t="n"/>
      <c r="F3913" s="94" t="n"/>
      <c r="G3913" s="94" t="n"/>
      <c r="H3913" s="94" t="n"/>
      <c r="I3913" s="94" t="n"/>
      <c r="J3913" s="55" t="n"/>
      <c r="K3913" s="95" t="n"/>
      <c r="L3913" s="116">
        <f>IF($A3913="","",DATE(YEAR($A3913),MONTH($A3913)+IF(AND(IFERROR(N(INDEX(Übersicht!$M$15:$M$22,MATCH($B3913,Übersicht!$A$15:$A$22,0))),0)&gt;1,DAY($A3913)&gt;=IFERROR(N(INDEX(Übersicht!$M$15:$M$22,MATCH($B3913,Übersicht!$A$15:$A$22,0))),0)),1,0),1))</f>
        <v/>
      </c>
    </row>
    <row r="3914">
      <c r="A3914" s="92" t="n"/>
      <c r="B3914" s="55" t="n"/>
      <c r="C3914" s="55" t="n"/>
      <c r="D3914" s="55" t="n"/>
      <c r="E3914" s="93" t="n"/>
      <c r="F3914" s="94" t="n"/>
      <c r="G3914" s="94" t="n"/>
      <c r="H3914" s="94" t="n"/>
      <c r="I3914" s="94" t="n"/>
      <c r="J3914" s="55" t="n"/>
      <c r="K3914" s="95" t="n"/>
      <c r="L3914" s="116">
        <f>IF($A3914="","",DATE(YEAR($A3914),MONTH($A3914)+IF(AND(IFERROR(N(INDEX(Übersicht!$M$15:$M$22,MATCH($B3914,Übersicht!$A$15:$A$22,0))),0)&gt;1,DAY($A3914)&gt;=IFERROR(N(INDEX(Übersicht!$M$15:$M$22,MATCH($B3914,Übersicht!$A$15:$A$22,0))),0)),1,0),1))</f>
        <v/>
      </c>
    </row>
    <row r="3915">
      <c r="A3915" s="92" t="n"/>
      <c r="B3915" s="55" t="n"/>
      <c r="C3915" s="55" t="n"/>
      <c r="D3915" s="55" t="n"/>
      <c r="E3915" s="93" t="n"/>
      <c r="F3915" s="94" t="n"/>
      <c r="G3915" s="94" t="n"/>
      <c r="H3915" s="94" t="n"/>
      <c r="I3915" s="94" t="n"/>
      <c r="J3915" s="55" t="n"/>
      <c r="K3915" s="95" t="n"/>
      <c r="L3915" s="116">
        <f>IF($A3915="","",DATE(YEAR($A3915),MONTH($A3915)+IF(AND(IFERROR(N(INDEX(Übersicht!$M$15:$M$22,MATCH($B3915,Übersicht!$A$15:$A$22,0))),0)&gt;1,DAY($A3915)&gt;=IFERROR(N(INDEX(Übersicht!$M$15:$M$22,MATCH($B3915,Übersicht!$A$15:$A$22,0))),0)),1,0),1))</f>
        <v/>
      </c>
    </row>
    <row r="3916">
      <c r="A3916" s="92" t="n"/>
      <c r="B3916" s="55" t="n"/>
      <c r="C3916" s="55" t="n"/>
      <c r="D3916" s="55" t="n"/>
      <c r="E3916" s="93" t="n"/>
      <c r="F3916" s="94" t="n"/>
      <c r="G3916" s="94" t="n"/>
      <c r="H3916" s="94" t="n"/>
      <c r="I3916" s="94" t="n"/>
      <c r="J3916" s="55" t="n"/>
      <c r="K3916" s="95" t="n"/>
      <c r="L3916" s="116">
        <f>IF($A3916="","",DATE(YEAR($A3916),MONTH($A3916)+IF(AND(IFERROR(N(INDEX(Übersicht!$M$15:$M$22,MATCH($B3916,Übersicht!$A$15:$A$22,0))),0)&gt;1,DAY($A3916)&gt;=IFERROR(N(INDEX(Übersicht!$M$15:$M$22,MATCH($B3916,Übersicht!$A$15:$A$22,0))),0)),1,0),1))</f>
        <v/>
      </c>
    </row>
    <row r="3917">
      <c r="A3917" s="92" t="n"/>
      <c r="B3917" s="55" t="n"/>
      <c r="C3917" s="55" t="n"/>
      <c r="D3917" s="55" t="n"/>
      <c r="E3917" s="93" t="n"/>
      <c r="F3917" s="94" t="n"/>
      <c r="G3917" s="94" t="n"/>
      <c r="H3917" s="94" t="n"/>
      <c r="I3917" s="94" t="n"/>
      <c r="J3917" s="55" t="n"/>
      <c r="K3917" s="95" t="n"/>
      <c r="L3917" s="116">
        <f>IF($A3917="","",DATE(YEAR($A3917),MONTH($A3917)+IF(AND(IFERROR(N(INDEX(Übersicht!$M$15:$M$22,MATCH($B3917,Übersicht!$A$15:$A$22,0))),0)&gt;1,DAY($A3917)&gt;=IFERROR(N(INDEX(Übersicht!$M$15:$M$22,MATCH($B3917,Übersicht!$A$15:$A$22,0))),0)),1,0),1))</f>
        <v/>
      </c>
    </row>
    <row r="3918">
      <c r="A3918" s="92" t="n"/>
      <c r="B3918" s="55" t="n"/>
      <c r="C3918" s="55" t="n"/>
      <c r="D3918" s="55" t="n"/>
      <c r="E3918" s="93" t="n"/>
      <c r="F3918" s="94" t="n"/>
      <c r="G3918" s="94" t="n"/>
      <c r="H3918" s="94" t="n"/>
      <c r="I3918" s="94" t="n"/>
      <c r="J3918" s="55" t="n"/>
      <c r="K3918" s="95" t="n"/>
      <c r="L3918" s="116">
        <f>IF($A3918="","",DATE(YEAR($A3918),MONTH($A3918)+IF(AND(IFERROR(N(INDEX(Übersicht!$M$15:$M$22,MATCH($B3918,Übersicht!$A$15:$A$22,0))),0)&gt;1,DAY($A3918)&gt;=IFERROR(N(INDEX(Übersicht!$M$15:$M$22,MATCH($B3918,Übersicht!$A$15:$A$22,0))),0)),1,0),1))</f>
        <v/>
      </c>
    </row>
    <row r="3919">
      <c r="A3919" s="92" t="n"/>
      <c r="B3919" s="55" t="n"/>
      <c r="C3919" s="55" t="n"/>
      <c r="D3919" s="55" t="n"/>
      <c r="E3919" s="93" t="n"/>
      <c r="F3919" s="94" t="n"/>
      <c r="G3919" s="94" t="n"/>
      <c r="H3919" s="94" t="n"/>
      <c r="I3919" s="94" t="n"/>
      <c r="J3919" s="55" t="n"/>
      <c r="K3919" s="95" t="n"/>
      <c r="L3919" s="116">
        <f>IF($A3919="","",DATE(YEAR($A3919),MONTH($A3919)+IF(AND(IFERROR(N(INDEX(Übersicht!$M$15:$M$22,MATCH($B3919,Übersicht!$A$15:$A$22,0))),0)&gt;1,DAY($A3919)&gt;=IFERROR(N(INDEX(Übersicht!$M$15:$M$22,MATCH($B3919,Übersicht!$A$15:$A$22,0))),0)),1,0),1))</f>
        <v/>
      </c>
    </row>
    <row r="3920">
      <c r="A3920" s="92" t="n"/>
      <c r="B3920" s="55" t="n"/>
      <c r="C3920" s="55" t="n"/>
      <c r="D3920" s="55" t="n"/>
      <c r="E3920" s="93" t="n"/>
      <c r="F3920" s="94" t="n"/>
      <c r="G3920" s="94" t="n"/>
      <c r="H3920" s="94" t="n"/>
      <c r="I3920" s="94" t="n"/>
      <c r="J3920" s="55" t="n"/>
      <c r="K3920" s="95" t="n"/>
      <c r="L3920" s="116">
        <f>IF($A3920="","",DATE(YEAR($A3920),MONTH($A3920)+IF(AND(IFERROR(N(INDEX(Übersicht!$M$15:$M$22,MATCH($B3920,Übersicht!$A$15:$A$22,0))),0)&gt;1,DAY($A3920)&gt;=IFERROR(N(INDEX(Übersicht!$M$15:$M$22,MATCH($B3920,Übersicht!$A$15:$A$22,0))),0)),1,0),1))</f>
        <v/>
      </c>
    </row>
    <row r="3921">
      <c r="A3921" s="92" t="n"/>
      <c r="B3921" s="55" t="n"/>
      <c r="C3921" s="55" t="n"/>
      <c r="D3921" s="55" t="n"/>
      <c r="E3921" s="93" t="n"/>
      <c r="F3921" s="94" t="n"/>
      <c r="G3921" s="94" t="n"/>
      <c r="H3921" s="94" t="n"/>
      <c r="I3921" s="94" t="n"/>
      <c r="J3921" s="55" t="n"/>
      <c r="K3921" s="95" t="n"/>
      <c r="L3921" s="116">
        <f>IF($A3921="","",DATE(YEAR($A3921),MONTH($A3921)+IF(AND(IFERROR(N(INDEX(Übersicht!$M$15:$M$22,MATCH($B3921,Übersicht!$A$15:$A$22,0))),0)&gt;1,DAY($A3921)&gt;=IFERROR(N(INDEX(Übersicht!$M$15:$M$22,MATCH($B3921,Übersicht!$A$15:$A$22,0))),0)),1,0),1))</f>
        <v/>
      </c>
    </row>
    <row r="3922">
      <c r="A3922" s="92" t="n"/>
      <c r="B3922" s="55" t="n"/>
      <c r="C3922" s="55" t="n"/>
      <c r="D3922" s="55" t="n"/>
      <c r="E3922" s="93" t="n"/>
      <c r="F3922" s="94" t="n"/>
      <c r="G3922" s="94" t="n"/>
      <c r="H3922" s="94" t="n"/>
      <c r="I3922" s="94" t="n"/>
      <c r="J3922" s="55" t="n"/>
      <c r="K3922" s="95" t="n"/>
      <c r="L3922" s="116">
        <f>IF($A3922="","",DATE(YEAR($A3922),MONTH($A3922)+IF(AND(IFERROR(N(INDEX(Übersicht!$M$15:$M$22,MATCH($B3922,Übersicht!$A$15:$A$22,0))),0)&gt;1,DAY($A3922)&gt;=IFERROR(N(INDEX(Übersicht!$M$15:$M$22,MATCH($B3922,Übersicht!$A$15:$A$22,0))),0)),1,0),1))</f>
        <v/>
      </c>
    </row>
    <row r="3923">
      <c r="A3923" s="92" t="n"/>
      <c r="B3923" s="55" t="n"/>
      <c r="C3923" s="55" t="n"/>
      <c r="D3923" s="55" t="n"/>
      <c r="E3923" s="93" t="n"/>
      <c r="F3923" s="94" t="n"/>
      <c r="G3923" s="94" t="n"/>
      <c r="H3923" s="94" t="n"/>
      <c r="I3923" s="94" t="n"/>
      <c r="J3923" s="55" t="n"/>
      <c r="K3923" s="95" t="n"/>
      <c r="L3923" s="116">
        <f>IF($A3923="","",DATE(YEAR($A3923),MONTH($A3923)+IF(AND(IFERROR(N(INDEX(Übersicht!$M$15:$M$22,MATCH($B3923,Übersicht!$A$15:$A$22,0))),0)&gt;1,DAY($A3923)&gt;=IFERROR(N(INDEX(Übersicht!$M$15:$M$22,MATCH($B3923,Übersicht!$A$15:$A$22,0))),0)),1,0),1))</f>
        <v/>
      </c>
    </row>
    <row r="3924">
      <c r="A3924" s="92" t="n"/>
      <c r="B3924" s="55" t="n"/>
      <c r="C3924" s="55" t="n"/>
      <c r="D3924" s="55" t="n"/>
      <c r="E3924" s="93" t="n"/>
      <c r="F3924" s="94" t="n"/>
      <c r="G3924" s="94" t="n"/>
      <c r="H3924" s="94" t="n"/>
      <c r="I3924" s="94" t="n"/>
      <c r="J3924" s="55" t="n"/>
      <c r="K3924" s="95" t="n"/>
      <c r="L3924" s="116">
        <f>IF($A3924="","",DATE(YEAR($A3924),MONTH($A3924)+IF(AND(IFERROR(N(INDEX(Übersicht!$M$15:$M$22,MATCH($B3924,Übersicht!$A$15:$A$22,0))),0)&gt;1,DAY($A3924)&gt;=IFERROR(N(INDEX(Übersicht!$M$15:$M$22,MATCH($B3924,Übersicht!$A$15:$A$22,0))),0)),1,0),1))</f>
        <v/>
      </c>
    </row>
    <row r="3925">
      <c r="A3925" s="92" t="n"/>
      <c r="B3925" s="55" t="n"/>
      <c r="C3925" s="55" t="n"/>
      <c r="D3925" s="55" t="n"/>
      <c r="E3925" s="93" t="n"/>
      <c r="F3925" s="94" t="n"/>
      <c r="G3925" s="94" t="n"/>
      <c r="H3925" s="94" t="n"/>
      <c r="I3925" s="94" t="n"/>
      <c r="J3925" s="55" t="n"/>
      <c r="K3925" s="95" t="n"/>
      <c r="L3925" s="116">
        <f>IF($A3925="","",DATE(YEAR($A3925),MONTH($A3925)+IF(AND(IFERROR(N(INDEX(Übersicht!$M$15:$M$22,MATCH($B3925,Übersicht!$A$15:$A$22,0))),0)&gt;1,DAY($A3925)&gt;=IFERROR(N(INDEX(Übersicht!$M$15:$M$22,MATCH($B3925,Übersicht!$A$15:$A$22,0))),0)),1,0),1))</f>
        <v/>
      </c>
    </row>
    <row r="3926">
      <c r="A3926" s="92" t="n"/>
      <c r="B3926" s="55" t="n"/>
      <c r="C3926" s="55" t="n"/>
      <c r="D3926" s="55" t="n"/>
      <c r="E3926" s="93" t="n"/>
      <c r="F3926" s="94" t="n"/>
      <c r="G3926" s="94" t="n"/>
      <c r="H3926" s="94" t="n"/>
      <c r="I3926" s="94" t="n"/>
      <c r="J3926" s="55" t="n"/>
      <c r="K3926" s="95" t="n"/>
      <c r="L3926" s="116">
        <f>IF($A3926="","",DATE(YEAR($A3926),MONTH($A3926)+IF(AND(IFERROR(N(INDEX(Übersicht!$M$15:$M$22,MATCH($B3926,Übersicht!$A$15:$A$22,0))),0)&gt;1,DAY($A3926)&gt;=IFERROR(N(INDEX(Übersicht!$M$15:$M$22,MATCH($B3926,Übersicht!$A$15:$A$22,0))),0)),1,0),1))</f>
        <v/>
      </c>
    </row>
    <row r="3927">
      <c r="A3927" s="92" t="n"/>
      <c r="B3927" s="55" t="n"/>
      <c r="C3927" s="55" t="n"/>
      <c r="D3927" s="55" t="n"/>
      <c r="E3927" s="93" t="n"/>
      <c r="F3927" s="94" t="n"/>
      <c r="G3927" s="94" t="n"/>
      <c r="H3927" s="94" t="n"/>
      <c r="I3927" s="94" t="n"/>
      <c r="J3927" s="55" t="n"/>
      <c r="K3927" s="95" t="n"/>
      <c r="L3927" s="116">
        <f>IF($A3927="","",DATE(YEAR($A3927),MONTH($A3927)+IF(AND(IFERROR(N(INDEX(Übersicht!$M$15:$M$22,MATCH($B3927,Übersicht!$A$15:$A$22,0))),0)&gt;1,DAY($A3927)&gt;=IFERROR(N(INDEX(Übersicht!$M$15:$M$22,MATCH($B3927,Übersicht!$A$15:$A$22,0))),0)),1,0),1))</f>
        <v/>
      </c>
    </row>
    <row r="3928">
      <c r="A3928" s="92" t="n"/>
      <c r="B3928" s="55" t="n"/>
      <c r="C3928" s="55" t="n"/>
      <c r="D3928" s="55" t="n"/>
      <c r="E3928" s="93" t="n"/>
      <c r="F3928" s="94" t="n"/>
      <c r="G3928" s="94" t="n"/>
      <c r="H3928" s="94" t="n"/>
      <c r="I3928" s="94" t="n"/>
      <c r="J3928" s="55" t="n"/>
      <c r="K3928" s="95" t="n"/>
      <c r="L3928" s="116">
        <f>IF($A3928="","",DATE(YEAR($A3928),MONTH($A3928)+IF(AND(IFERROR(N(INDEX(Übersicht!$M$15:$M$22,MATCH($B3928,Übersicht!$A$15:$A$22,0))),0)&gt;1,DAY($A3928)&gt;=IFERROR(N(INDEX(Übersicht!$M$15:$M$22,MATCH($B3928,Übersicht!$A$15:$A$22,0))),0)),1,0),1))</f>
        <v/>
      </c>
    </row>
    <row r="3929">
      <c r="A3929" s="92" t="n"/>
      <c r="B3929" s="55" t="n"/>
      <c r="C3929" s="55" t="n"/>
      <c r="D3929" s="55" t="n"/>
      <c r="E3929" s="93" t="n"/>
      <c r="F3929" s="94" t="n"/>
      <c r="G3929" s="94" t="n"/>
      <c r="H3929" s="94" t="n"/>
      <c r="I3929" s="94" t="n"/>
      <c r="J3929" s="55" t="n"/>
      <c r="K3929" s="95" t="n"/>
      <c r="L3929" s="116">
        <f>IF($A3929="","",DATE(YEAR($A3929),MONTH($A3929)+IF(AND(IFERROR(N(INDEX(Übersicht!$M$15:$M$22,MATCH($B3929,Übersicht!$A$15:$A$22,0))),0)&gt;1,DAY($A3929)&gt;=IFERROR(N(INDEX(Übersicht!$M$15:$M$22,MATCH($B3929,Übersicht!$A$15:$A$22,0))),0)),1,0),1))</f>
        <v/>
      </c>
    </row>
    <row r="3930">
      <c r="A3930" s="92" t="n"/>
      <c r="B3930" s="55" t="n"/>
      <c r="C3930" s="55" t="n"/>
      <c r="D3930" s="55" t="n"/>
      <c r="E3930" s="93" t="n"/>
      <c r="F3930" s="94" t="n"/>
      <c r="G3930" s="94" t="n"/>
      <c r="H3930" s="94" t="n"/>
      <c r="I3930" s="94" t="n"/>
      <c r="J3930" s="55" t="n"/>
      <c r="K3930" s="95" t="n"/>
      <c r="L3930" s="116">
        <f>IF($A3930="","",DATE(YEAR($A3930),MONTH($A3930)+IF(AND(IFERROR(N(INDEX(Übersicht!$M$15:$M$22,MATCH($B3930,Übersicht!$A$15:$A$22,0))),0)&gt;1,DAY($A3930)&gt;=IFERROR(N(INDEX(Übersicht!$M$15:$M$22,MATCH($B3930,Übersicht!$A$15:$A$22,0))),0)),1,0),1))</f>
        <v/>
      </c>
    </row>
    <row r="3931">
      <c r="A3931" s="92" t="n"/>
      <c r="B3931" s="55" t="n"/>
      <c r="C3931" s="55" t="n"/>
      <c r="D3931" s="55" t="n"/>
      <c r="E3931" s="93" t="n"/>
      <c r="F3931" s="94" t="n"/>
      <c r="G3931" s="94" t="n"/>
      <c r="H3931" s="94" t="n"/>
      <c r="I3931" s="94" t="n"/>
      <c r="J3931" s="55" t="n"/>
      <c r="K3931" s="95" t="n"/>
      <c r="L3931" s="116">
        <f>IF($A3931="","",DATE(YEAR($A3931),MONTH($A3931)+IF(AND(IFERROR(N(INDEX(Übersicht!$M$15:$M$22,MATCH($B3931,Übersicht!$A$15:$A$22,0))),0)&gt;1,DAY($A3931)&gt;=IFERROR(N(INDEX(Übersicht!$M$15:$M$22,MATCH($B3931,Übersicht!$A$15:$A$22,0))),0)),1,0),1))</f>
        <v/>
      </c>
    </row>
    <row r="3932">
      <c r="A3932" s="92" t="n"/>
      <c r="B3932" s="55" t="n"/>
      <c r="C3932" s="55" t="n"/>
      <c r="D3932" s="55" t="n"/>
      <c r="E3932" s="93" t="n"/>
      <c r="F3932" s="94" t="n"/>
      <c r="G3932" s="94" t="n"/>
      <c r="H3932" s="94" t="n"/>
      <c r="I3932" s="94" t="n"/>
      <c r="J3932" s="55" t="n"/>
      <c r="K3932" s="95" t="n"/>
      <c r="L3932" s="116">
        <f>IF($A3932="","",DATE(YEAR($A3932),MONTH($A3932)+IF(AND(IFERROR(N(INDEX(Übersicht!$M$15:$M$22,MATCH($B3932,Übersicht!$A$15:$A$22,0))),0)&gt;1,DAY($A3932)&gt;=IFERROR(N(INDEX(Übersicht!$M$15:$M$22,MATCH($B3932,Übersicht!$A$15:$A$22,0))),0)),1,0),1))</f>
        <v/>
      </c>
    </row>
    <row r="3933">
      <c r="A3933" s="92" t="n"/>
      <c r="B3933" s="55" t="n"/>
      <c r="C3933" s="55" t="n"/>
      <c r="D3933" s="55" t="n"/>
      <c r="E3933" s="93" t="n"/>
      <c r="F3933" s="94" t="n"/>
      <c r="G3933" s="94" t="n"/>
      <c r="H3933" s="94" t="n"/>
      <c r="I3933" s="94" t="n"/>
      <c r="J3933" s="55" t="n"/>
      <c r="K3933" s="95" t="n"/>
      <c r="L3933" s="116">
        <f>IF($A3933="","",DATE(YEAR($A3933),MONTH($A3933)+IF(AND(IFERROR(N(INDEX(Übersicht!$M$15:$M$22,MATCH($B3933,Übersicht!$A$15:$A$22,0))),0)&gt;1,DAY($A3933)&gt;=IFERROR(N(INDEX(Übersicht!$M$15:$M$22,MATCH($B3933,Übersicht!$A$15:$A$22,0))),0)),1,0),1))</f>
        <v/>
      </c>
    </row>
    <row r="3934">
      <c r="A3934" s="92" t="n"/>
      <c r="B3934" s="55" t="n"/>
      <c r="C3934" s="55" t="n"/>
      <c r="D3934" s="55" t="n"/>
      <c r="E3934" s="93" t="n"/>
      <c r="F3934" s="94" t="n"/>
      <c r="G3934" s="94" t="n"/>
      <c r="H3934" s="94" t="n"/>
      <c r="I3934" s="94" t="n"/>
      <c r="J3934" s="55" t="n"/>
      <c r="K3934" s="95" t="n"/>
      <c r="L3934" s="116">
        <f>IF($A3934="","",DATE(YEAR($A3934),MONTH($A3934)+IF(AND(IFERROR(N(INDEX(Übersicht!$M$15:$M$22,MATCH($B3934,Übersicht!$A$15:$A$22,0))),0)&gt;1,DAY($A3934)&gt;=IFERROR(N(INDEX(Übersicht!$M$15:$M$22,MATCH($B3934,Übersicht!$A$15:$A$22,0))),0)),1,0),1))</f>
        <v/>
      </c>
    </row>
    <row r="3935">
      <c r="A3935" s="92" t="n"/>
      <c r="B3935" s="55" t="n"/>
      <c r="C3935" s="55" t="n"/>
      <c r="D3935" s="55" t="n"/>
      <c r="E3935" s="93" t="n"/>
      <c r="F3935" s="94" t="n"/>
      <c r="G3935" s="94" t="n"/>
      <c r="H3935" s="94" t="n"/>
      <c r="I3935" s="94" t="n"/>
      <c r="J3935" s="55" t="n"/>
      <c r="K3935" s="95" t="n"/>
      <c r="L3935" s="116">
        <f>IF($A3935="","",DATE(YEAR($A3935),MONTH($A3935)+IF(AND(IFERROR(N(INDEX(Übersicht!$M$15:$M$22,MATCH($B3935,Übersicht!$A$15:$A$22,0))),0)&gt;1,DAY($A3935)&gt;=IFERROR(N(INDEX(Übersicht!$M$15:$M$22,MATCH($B3935,Übersicht!$A$15:$A$22,0))),0)),1,0),1))</f>
        <v/>
      </c>
    </row>
    <row r="3936">
      <c r="A3936" s="92" t="n"/>
      <c r="B3936" s="55" t="n"/>
      <c r="C3936" s="55" t="n"/>
      <c r="D3936" s="55" t="n"/>
      <c r="E3936" s="93" t="n"/>
      <c r="F3936" s="94" t="n"/>
      <c r="G3936" s="94" t="n"/>
      <c r="H3936" s="94" t="n"/>
      <c r="I3936" s="94" t="n"/>
      <c r="J3936" s="55" t="n"/>
      <c r="K3936" s="95" t="n"/>
      <c r="L3936" s="116">
        <f>IF($A3936="","",DATE(YEAR($A3936),MONTH($A3936)+IF(AND(IFERROR(N(INDEX(Übersicht!$M$15:$M$22,MATCH($B3936,Übersicht!$A$15:$A$22,0))),0)&gt;1,DAY($A3936)&gt;=IFERROR(N(INDEX(Übersicht!$M$15:$M$22,MATCH($B3936,Übersicht!$A$15:$A$22,0))),0)),1,0),1))</f>
        <v/>
      </c>
    </row>
    <row r="3937">
      <c r="A3937" s="92" t="n"/>
      <c r="B3937" s="55" t="n"/>
      <c r="C3937" s="55" t="n"/>
      <c r="D3937" s="55" t="n"/>
      <c r="E3937" s="93" t="n"/>
      <c r="F3937" s="94" t="n"/>
      <c r="G3937" s="94" t="n"/>
      <c r="H3937" s="94" t="n"/>
      <c r="I3937" s="94" t="n"/>
      <c r="J3937" s="55" t="n"/>
      <c r="K3937" s="95" t="n"/>
      <c r="L3937" s="116">
        <f>IF($A3937="","",DATE(YEAR($A3937),MONTH($A3937)+IF(AND(IFERROR(N(INDEX(Übersicht!$M$15:$M$22,MATCH($B3937,Übersicht!$A$15:$A$22,0))),0)&gt;1,DAY($A3937)&gt;=IFERROR(N(INDEX(Übersicht!$M$15:$M$22,MATCH($B3937,Übersicht!$A$15:$A$22,0))),0)),1,0),1))</f>
        <v/>
      </c>
    </row>
    <row r="3938">
      <c r="A3938" s="92" t="n"/>
      <c r="B3938" s="55" t="n"/>
      <c r="C3938" s="55" t="n"/>
      <c r="D3938" s="55" t="n"/>
      <c r="E3938" s="93" t="n"/>
      <c r="F3938" s="94" t="n"/>
      <c r="G3938" s="94" t="n"/>
      <c r="H3938" s="94" t="n"/>
      <c r="I3938" s="94" t="n"/>
      <c r="J3938" s="55" t="n"/>
      <c r="K3938" s="95" t="n"/>
      <c r="L3938" s="116">
        <f>IF($A3938="","",DATE(YEAR($A3938),MONTH($A3938)+IF(AND(IFERROR(N(INDEX(Übersicht!$M$15:$M$22,MATCH($B3938,Übersicht!$A$15:$A$22,0))),0)&gt;1,DAY($A3938)&gt;=IFERROR(N(INDEX(Übersicht!$M$15:$M$22,MATCH($B3938,Übersicht!$A$15:$A$22,0))),0)),1,0),1))</f>
        <v/>
      </c>
    </row>
    <row r="3939">
      <c r="A3939" s="92" t="n"/>
      <c r="B3939" s="55" t="n"/>
      <c r="C3939" s="55" t="n"/>
      <c r="D3939" s="55" t="n"/>
      <c r="E3939" s="93" t="n"/>
      <c r="F3939" s="94" t="n"/>
      <c r="G3939" s="94" t="n"/>
      <c r="H3939" s="94" t="n"/>
      <c r="I3939" s="94" t="n"/>
      <c r="J3939" s="55" t="n"/>
      <c r="K3939" s="95" t="n"/>
      <c r="L3939" s="116">
        <f>IF($A3939="","",DATE(YEAR($A3939),MONTH($A3939)+IF(AND(IFERROR(N(INDEX(Übersicht!$M$15:$M$22,MATCH($B3939,Übersicht!$A$15:$A$22,0))),0)&gt;1,DAY($A3939)&gt;=IFERROR(N(INDEX(Übersicht!$M$15:$M$22,MATCH($B3939,Übersicht!$A$15:$A$22,0))),0)),1,0),1))</f>
        <v/>
      </c>
    </row>
    <row r="3940">
      <c r="A3940" s="92" t="n"/>
      <c r="B3940" s="55" t="n"/>
      <c r="C3940" s="55" t="n"/>
      <c r="D3940" s="55" t="n"/>
      <c r="E3940" s="93" t="n"/>
      <c r="F3940" s="94" t="n"/>
      <c r="G3940" s="94" t="n"/>
      <c r="H3940" s="94" t="n"/>
      <c r="I3940" s="94" t="n"/>
      <c r="J3940" s="55" t="n"/>
      <c r="K3940" s="95" t="n"/>
      <c r="L3940" s="116">
        <f>IF($A3940="","",DATE(YEAR($A3940),MONTH($A3940)+IF(AND(IFERROR(N(INDEX(Übersicht!$M$15:$M$22,MATCH($B3940,Übersicht!$A$15:$A$22,0))),0)&gt;1,DAY($A3940)&gt;=IFERROR(N(INDEX(Übersicht!$M$15:$M$22,MATCH($B3940,Übersicht!$A$15:$A$22,0))),0)),1,0),1))</f>
        <v/>
      </c>
    </row>
    <row r="3941">
      <c r="A3941" s="92" t="n"/>
      <c r="B3941" s="55" t="n"/>
      <c r="C3941" s="55" t="n"/>
      <c r="D3941" s="55" t="n"/>
      <c r="E3941" s="93" t="n"/>
      <c r="F3941" s="94" t="n"/>
      <c r="G3941" s="94" t="n"/>
      <c r="H3941" s="94" t="n"/>
      <c r="I3941" s="94" t="n"/>
      <c r="J3941" s="55" t="n"/>
      <c r="K3941" s="95" t="n"/>
      <c r="L3941" s="116">
        <f>IF($A3941="","",DATE(YEAR($A3941),MONTH($A3941)+IF(AND(IFERROR(N(INDEX(Übersicht!$M$15:$M$22,MATCH($B3941,Übersicht!$A$15:$A$22,0))),0)&gt;1,DAY($A3941)&gt;=IFERROR(N(INDEX(Übersicht!$M$15:$M$22,MATCH($B3941,Übersicht!$A$15:$A$22,0))),0)),1,0),1))</f>
        <v/>
      </c>
    </row>
    <row r="3942">
      <c r="A3942" s="92" t="n"/>
      <c r="B3942" s="55" t="n"/>
      <c r="C3942" s="55" t="n"/>
      <c r="D3942" s="55" t="n"/>
      <c r="E3942" s="93" t="n"/>
      <c r="F3942" s="94" t="n"/>
      <c r="G3942" s="94" t="n"/>
      <c r="H3942" s="94" t="n"/>
      <c r="I3942" s="94" t="n"/>
      <c r="J3942" s="55" t="n"/>
      <c r="K3942" s="95" t="n"/>
      <c r="L3942" s="116">
        <f>IF($A3942="","",DATE(YEAR($A3942),MONTH($A3942)+IF(AND(IFERROR(N(INDEX(Übersicht!$M$15:$M$22,MATCH($B3942,Übersicht!$A$15:$A$22,0))),0)&gt;1,DAY($A3942)&gt;=IFERROR(N(INDEX(Übersicht!$M$15:$M$22,MATCH($B3942,Übersicht!$A$15:$A$22,0))),0)),1,0),1))</f>
        <v/>
      </c>
    </row>
    <row r="3943">
      <c r="A3943" s="92" t="n"/>
      <c r="B3943" s="55" t="n"/>
      <c r="C3943" s="55" t="n"/>
      <c r="D3943" s="55" t="n"/>
      <c r="E3943" s="93" t="n"/>
      <c r="F3943" s="94" t="n"/>
      <c r="G3943" s="94" t="n"/>
      <c r="H3943" s="94" t="n"/>
      <c r="I3943" s="94" t="n"/>
      <c r="J3943" s="55" t="n"/>
      <c r="K3943" s="95" t="n"/>
      <c r="L3943" s="116">
        <f>IF($A3943="","",DATE(YEAR($A3943),MONTH($A3943)+IF(AND(IFERROR(N(INDEX(Übersicht!$M$15:$M$22,MATCH($B3943,Übersicht!$A$15:$A$22,0))),0)&gt;1,DAY($A3943)&gt;=IFERROR(N(INDEX(Übersicht!$M$15:$M$22,MATCH($B3943,Übersicht!$A$15:$A$22,0))),0)),1,0),1))</f>
        <v/>
      </c>
    </row>
    <row r="3944">
      <c r="A3944" s="92" t="n"/>
      <c r="B3944" s="55" t="n"/>
      <c r="C3944" s="55" t="n"/>
      <c r="D3944" s="55" t="n"/>
      <c r="E3944" s="93" t="n"/>
      <c r="F3944" s="94" t="n"/>
      <c r="G3944" s="94" t="n"/>
      <c r="H3944" s="94" t="n"/>
      <c r="I3944" s="94" t="n"/>
      <c r="J3944" s="55" t="n"/>
      <c r="K3944" s="95" t="n"/>
      <c r="L3944" s="116">
        <f>IF($A3944="","",DATE(YEAR($A3944),MONTH($A3944)+IF(AND(IFERROR(N(INDEX(Übersicht!$M$15:$M$22,MATCH($B3944,Übersicht!$A$15:$A$22,0))),0)&gt;1,DAY($A3944)&gt;=IFERROR(N(INDEX(Übersicht!$M$15:$M$22,MATCH($B3944,Übersicht!$A$15:$A$22,0))),0)),1,0),1))</f>
        <v/>
      </c>
    </row>
    <row r="3945">
      <c r="A3945" s="92" t="n"/>
      <c r="B3945" s="55" t="n"/>
      <c r="C3945" s="55" t="n"/>
      <c r="D3945" s="55" t="n"/>
      <c r="E3945" s="93" t="n"/>
      <c r="F3945" s="94" t="n"/>
      <c r="G3945" s="94" t="n"/>
      <c r="H3945" s="94" t="n"/>
      <c r="I3945" s="94" t="n"/>
      <c r="J3945" s="55" t="n"/>
      <c r="K3945" s="95" t="n"/>
      <c r="L3945" s="116">
        <f>IF($A3945="","",DATE(YEAR($A3945),MONTH($A3945)+IF(AND(IFERROR(N(INDEX(Übersicht!$M$15:$M$22,MATCH($B3945,Übersicht!$A$15:$A$22,0))),0)&gt;1,DAY($A3945)&gt;=IFERROR(N(INDEX(Übersicht!$M$15:$M$22,MATCH($B3945,Übersicht!$A$15:$A$22,0))),0)),1,0),1))</f>
        <v/>
      </c>
    </row>
    <row r="3946">
      <c r="A3946" s="92" t="n"/>
      <c r="B3946" s="55" t="n"/>
      <c r="C3946" s="55" t="n"/>
      <c r="D3946" s="55" t="n"/>
      <c r="E3946" s="93" t="n"/>
      <c r="F3946" s="94" t="n"/>
      <c r="G3946" s="94" t="n"/>
      <c r="H3946" s="94" t="n"/>
      <c r="I3946" s="94" t="n"/>
      <c r="J3946" s="55" t="n"/>
      <c r="K3946" s="95" t="n"/>
      <c r="L3946" s="116">
        <f>IF($A3946="","",DATE(YEAR($A3946),MONTH($A3946)+IF(AND(IFERROR(N(INDEX(Übersicht!$M$15:$M$22,MATCH($B3946,Übersicht!$A$15:$A$22,0))),0)&gt;1,DAY($A3946)&gt;=IFERROR(N(INDEX(Übersicht!$M$15:$M$22,MATCH($B3946,Übersicht!$A$15:$A$22,0))),0)),1,0),1))</f>
        <v/>
      </c>
    </row>
    <row r="3947">
      <c r="A3947" s="92" t="n"/>
      <c r="B3947" s="55" t="n"/>
      <c r="C3947" s="55" t="n"/>
      <c r="D3947" s="55" t="n"/>
      <c r="E3947" s="93" t="n"/>
      <c r="F3947" s="94" t="n"/>
      <c r="G3947" s="94" t="n"/>
      <c r="H3947" s="94" t="n"/>
      <c r="I3947" s="94" t="n"/>
      <c r="J3947" s="55" t="n"/>
      <c r="K3947" s="95" t="n"/>
      <c r="L3947" s="116">
        <f>IF($A3947="","",DATE(YEAR($A3947),MONTH($A3947)+IF(AND(IFERROR(N(INDEX(Übersicht!$M$15:$M$22,MATCH($B3947,Übersicht!$A$15:$A$22,0))),0)&gt;1,DAY($A3947)&gt;=IFERROR(N(INDEX(Übersicht!$M$15:$M$22,MATCH($B3947,Übersicht!$A$15:$A$22,0))),0)),1,0),1))</f>
        <v/>
      </c>
    </row>
    <row r="3948">
      <c r="A3948" s="92" t="n"/>
      <c r="B3948" s="55" t="n"/>
      <c r="C3948" s="55" t="n"/>
      <c r="D3948" s="55" t="n"/>
      <c r="E3948" s="93" t="n"/>
      <c r="F3948" s="94" t="n"/>
      <c r="G3948" s="94" t="n"/>
      <c r="H3948" s="94" t="n"/>
      <c r="I3948" s="94" t="n"/>
      <c r="J3948" s="55" t="n"/>
      <c r="K3948" s="95" t="n"/>
      <c r="L3948" s="116">
        <f>IF($A3948="","",DATE(YEAR($A3948),MONTH($A3948)+IF(AND(IFERROR(N(INDEX(Übersicht!$M$15:$M$22,MATCH($B3948,Übersicht!$A$15:$A$22,0))),0)&gt;1,DAY($A3948)&gt;=IFERROR(N(INDEX(Übersicht!$M$15:$M$22,MATCH($B3948,Übersicht!$A$15:$A$22,0))),0)),1,0),1))</f>
        <v/>
      </c>
    </row>
    <row r="3949">
      <c r="A3949" s="92" t="n"/>
      <c r="B3949" s="55" t="n"/>
      <c r="C3949" s="55" t="n"/>
      <c r="D3949" s="55" t="n"/>
      <c r="E3949" s="93" t="n"/>
      <c r="F3949" s="94" t="n"/>
      <c r="G3949" s="94" t="n"/>
      <c r="H3949" s="94" t="n"/>
      <c r="I3949" s="94" t="n"/>
      <c r="J3949" s="55" t="n"/>
      <c r="K3949" s="95" t="n"/>
      <c r="L3949" s="116">
        <f>IF($A3949="","",DATE(YEAR($A3949),MONTH($A3949)+IF(AND(IFERROR(N(INDEX(Übersicht!$M$15:$M$22,MATCH($B3949,Übersicht!$A$15:$A$22,0))),0)&gt;1,DAY($A3949)&gt;=IFERROR(N(INDEX(Übersicht!$M$15:$M$22,MATCH($B3949,Übersicht!$A$15:$A$22,0))),0)),1,0),1))</f>
        <v/>
      </c>
    </row>
    <row r="3950">
      <c r="A3950" s="92" t="n"/>
      <c r="B3950" s="55" t="n"/>
      <c r="C3950" s="55" t="n"/>
      <c r="D3950" s="55" t="n"/>
      <c r="E3950" s="93" t="n"/>
      <c r="F3950" s="94" t="n"/>
      <c r="G3950" s="94" t="n"/>
      <c r="H3950" s="94" t="n"/>
      <c r="I3950" s="94" t="n"/>
      <c r="J3950" s="55" t="n"/>
      <c r="K3950" s="95" t="n"/>
      <c r="L3950" s="116">
        <f>IF($A3950="","",DATE(YEAR($A3950),MONTH($A3950)+IF(AND(IFERROR(N(INDEX(Übersicht!$M$15:$M$22,MATCH($B3950,Übersicht!$A$15:$A$22,0))),0)&gt;1,DAY($A3950)&gt;=IFERROR(N(INDEX(Übersicht!$M$15:$M$22,MATCH($B3950,Übersicht!$A$15:$A$22,0))),0)),1,0),1))</f>
        <v/>
      </c>
    </row>
    <row r="3951">
      <c r="A3951" s="92" t="n"/>
      <c r="B3951" s="55" t="n"/>
      <c r="C3951" s="55" t="n"/>
      <c r="D3951" s="55" t="n"/>
      <c r="E3951" s="93" t="n"/>
      <c r="F3951" s="94" t="n"/>
      <c r="G3951" s="94" t="n"/>
      <c r="H3951" s="94" t="n"/>
      <c r="I3951" s="94" t="n"/>
      <c r="J3951" s="55" t="n"/>
      <c r="K3951" s="95" t="n"/>
      <c r="L3951" s="116">
        <f>IF($A3951="","",DATE(YEAR($A3951),MONTH($A3951)+IF(AND(IFERROR(N(INDEX(Übersicht!$M$15:$M$22,MATCH($B3951,Übersicht!$A$15:$A$22,0))),0)&gt;1,DAY($A3951)&gt;=IFERROR(N(INDEX(Übersicht!$M$15:$M$22,MATCH($B3951,Übersicht!$A$15:$A$22,0))),0)),1,0),1))</f>
        <v/>
      </c>
    </row>
    <row r="3952">
      <c r="A3952" s="92" t="n"/>
      <c r="B3952" s="55" t="n"/>
      <c r="C3952" s="55" t="n"/>
      <c r="D3952" s="55" t="n"/>
      <c r="E3952" s="93" t="n"/>
      <c r="F3952" s="94" t="n"/>
      <c r="G3952" s="94" t="n"/>
      <c r="H3952" s="94" t="n"/>
      <c r="I3952" s="94" t="n"/>
      <c r="J3952" s="55" t="n"/>
      <c r="K3952" s="95" t="n"/>
      <c r="L3952" s="116">
        <f>IF($A3952="","",DATE(YEAR($A3952),MONTH($A3952)+IF(AND(IFERROR(N(INDEX(Übersicht!$M$15:$M$22,MATCH($B3952,Übersicht!$A$15:$A$22,0))),0)&gt;1,DAY($A3952)&gt;=IFERROR(N(INDEX(Übersicht!$M$15:$M$22,MATCH($B3952,Übersicht!$A$15:$A$22,0))),0)),1,0),1))</f>
        <v/>
      </c>
    </row>
    <row r="3953">
      <c r="A3953" s="92" t="n"/>
      <c r="B3953" s="55" t="n"/>
      <c r="C3953" s="55" t="n"/>
      <c r="D3953" s="55" t="n"/>
      <c r="E3953" s="93" t="n"/>
      <c r="F3953" s="94" t="n"/>
      <c r="G3953" s="94" t="n"/>
      <c r="H3953" s="94" t="n"/>
      <c r="I3953" s="94" t="n"/>
      <c r="J3953" s="55" t="n"/>
      <c r="K3953" s="95" t="n"/>
      <c r="L3953" s="116">
        <f>IF($A3953="","",DATE(YEAR($A3953),MONTH($A3953)+IF(AND(IFERROR(N(INDEX(Übersicht!$M$15:$M$22,MATCH($B3953,Übersicht!$A$15:$A$22,0))),0)&gt;1,DAY($A3953)&gt;=IFERROR(N(INDEX(Übersicht!$M$15:$M$22,MATCH($B3953,Übersicht!$A$15:$A$22,0))),0)),1,0),1))</f>
        <v/>
      </c>
    </row>
    <row r="3954">
      <c r="A3954" s="92" t="n"/>
      <c r="B3954" s="55" t="n"/>
      <c r="C3954" s="55" t="n"/>
      <c r="D3954" s="55" t="n"/>
      <c r="E3954" s="93" t="n"/>
      <c r="F3954" s="94" t="n"/>
      <c r="G3954" s="94" t="n"/>
      <c r="H3954" s="94" t="n"/>
      <c r="I3954" s="94" t="n"/>
      <c r="J3954" s="55" t="n"/>
      <c r="K3954" s="95" t="n"/>
      <c r="L3954" s="116">
        <f>IF($A3954="","",DATE(YEAR($A3954),MONTH($A3954)+IF(AND(IFERROR(N(INDEX(Übersicht!$M$15:$M$22,MATCH($B3954,Übersicht!$A$15:$A$22,0))),0)&gt;1,DAY($A3954)&gt;=IFERROR(N(INDEX(Übersicht!$M$15:$M$22,MATCH($B3954,Übersicht!$A$15:$A$22,0))),0)),1,0),1))</f>
        <v/>
      </c>
    </row>
    <row r="3955">
      <c r="A3955" s="92" t="n"/>
      <c r="B3955" s="55" t="n"/>
      <c r="C3955" s="55" t="n"/>
      <c r="D3955" s="55" t="n"/>
      <c r="E3955" s="93" t="n"/>
      <c r="F3955" s="94" t="n"/>
      <c r="G3955" s="94" t="n"/>
      <c r="H3955" s="94" t="n"/>
      <c r="I3955" s="94" t="n"/>
      <c r="J3955" s="55" t="n"/>
      <c r="K3955" s="95" t="n"/>
      <c r="L3955" s="116">
        <f>IF($A3955="","",DATE(YEAR($A3955),MONTH($A3955)+IF(AND(IFERROR(N(INDEX(Übersicht!$M$15:$M$22,MATCH($B3955,Übersicht!$A$15:$A$22,0))),0)&gt;1,DAY($A3955)&gt;=IFERROR(N(INDEX(Übersicht!$M$15:$M$22,MATCH($B3955,Übersicht!$A$15:$A$22,0))),0)),1,0),1))</f>
        <v/>
      </c>
    </row>
    <row r="3956">
      <c r="A3956" s="92" t="n"/>
      <c r="B3956" s="55" t="n"/>
      <c r="C3956" s="55" t="n"/>
      <c r="D3956" s="55" t="n"/>
      <c r="E3956" s="93" t="n"/>
      <c r="F3956" s="94" t="n"/>
      <c r="G3956" s="94" t="n"/>
      <c r="H3956" s="94" t="n"/>
      <c r="I3956" s="94" t="n"/>
      <c r="J3956" s="55" t="n"/>
      <c r="K3956" s="95" t="n"/>
      <c r="L3956" s="116">
        <f>IF($A3956="","",DATE(YEAR($A3956),MONTH($A3956)+IF(AND(IFERROR(N(INDEX(Übersicht!$M$15:$M$22,MATCH($B3956,Übersicht!$A$15:$A$22,0))),0)&gt;1,DAY($A3956)&gt;=IFERROR(N(INDEX(Übersicht!$M$15:$M$22,MATCH($B3956,Übersicht!$A$15:$A$22,0))),0)),1,0),1))</f>
        <v/>
      </c>
    </row>
    <row r="3957">
      <c r="A3957" s="92" t="n"/>
      <c r="B3957" s="55" t="n"/>
      <c r="C3957" s="55" t="n"/>
      <c r="D3957" s="55" t="n"/>
      <c r="E3957" s="93" t="n"/>
      <c r="F3957" s="94" t="n"/>
      <c r="G3957" s="94" t="n"/>
      <c r="H3957" s="94" t="n"/>
      <c r="I3957" s="94" t="n"/>
      <c r="J3957" s="55" t="n"/>
      <c r="K3957" s="95" t="n"/>
      <c r="L3957" s="116">
        <f>IF($A3957="","",DATE(YEAR($A3957),MONTH($A3957)+IF(AND(IFERROR(N(INDEX(Übersicht!$M$15:$M$22,MATCH($B3957,Übersicht!$A$15:$A$22,0))),0)&gt;1,DAY($A3957)&gt;=IFERROR(N(INDEX(Übersicht!$M$15:$M$22,MATCH($B3957,Übersicht!$A$15:$A$22,0))),0)),1,0),1))</f>
        <v/>
      </c>
    </row>
    <row r="3958">
      <c r="A3958" s="92" t="n"/>
      <c r="B3958" s="55" t="n"/>
      <c r="C3958" s="55" t="n"/>
      <c r="D3958" s="55" t="n"/>
      <c r="E3958" s="93" t="n"/>
      <c r="F3958" s="94" t="n"/>
      <c r="G3958" s="94" t="n"/>
      <c r="H3958" s="94" t="n"/>
      <c r="I3958" s="94" t="n"/>
      <c r="J3958" s="55" t="n"/>
      <c r="K3958" s="95" t="n"/>
      <c r="L3958" s="116">
        <f>IF($A3958="","",DATE(YEAR($A3958),MONTH($A3958)+IF(AND(IFERROR(N(INDEX(Übersicht!$M$15:$M$22,MATCH($B3958,Übersicht!$A$15:$A$22,0))),0)&gt;1,DAY($A3958)&gt;=IFERROR(N(INDEX(Übersicht!$M$15:$M$22,MATCH($B3958,Übersicht!$A$15:$A$22,0))),0)),1,0),1))</f>
        <v/>
      </c>
    </row>
    <row r="3959">
      <c r="A3959" s="92" t="n"/>
      <c r="B3959" s="55" t="n"/>
      <c r="C3959" s="55" t="n"/>
      <c r="D3959" s="55" t="n"/>
      <c r="E3959" s="93" t="n"/>
      <c r="F3959" s="94" t="n"/>
      <c r="G3959" s="94" t="n"/>
      <c r="H3959" s="94" t="n"/>
      <c r="I3959" s="94" t="n"/>
      <c r="J3959" s="55" t="n"/>
      <c r="K3959" s="95" t="n"/>
      <c r="L3959" s="116">
        <f>IF($A3959="","",DATE(YEAR($A3959),MONTH($A3959)+IF(AND(IFERROR(N(INDEX(Übersicht!$M$15:$M$22,MATCH($B3959,Übersicht!$A$15:$A$22,0))),0)&gt;1,DAY($A3959)&gt;=IFERROR(N(INDEX(Übersicht!$M$15:$M$22,MATCH($B3959,Übersicht!$A$15:$A$22,0))),0)),1,0),1))</f>
        <v/>
      </c>
    </row>
    <row r="3960">
      <c r="A3960" s="92" t="n"/>
      <c r="B3960" s="55" t="n"/>
      <c r="C3960" s="55" t="n"/>
      <c r="D3960" s="55" t="n"/>
      <c r="E3960" s="93" t="n"/>
      <c r="F3960" s="94" t="n"/>
      <c r="G3960" s="94" t="n"/>
      <c r="H3960" s="94" t="n"/>
      <c r="I3960" s="94" t="n"/>
      <c r="J3960" s="55" t="n"/>
      <c r="K3960" s="95" t="n"/>
      <c r="L3960" s="116">
        <f>IF($A3960="","",DATE(YEAR($A3960),MONTH($A3960)+IF(AND(IFERROR(N(INDEX(Übersicht!$M$15:$M$22,MATCH($B3960,Übersicht!$A$15:$A$22,0))),0)&gt;1,DAY($A3960)&gt;=IFERROR(N(INDEX(Übersicht!$M$15:$M$22,MATCH($B3960,Übersicht!$A$15:$A$22,0))),0)),1,0),1))</f>
        <v/>
      </c>
    </row>
    <row r="3961">
      <c r="A3961" s="92" t="n"/>
      <c r="B3961" s="55" t="n"/>
      <c r="C3961" s="55" t="n"/>
      <c r="D3961" s="55" t="n"/>
      <c r="E3961" s="93" t="n"/>
      <c r="F3961" s="94" t="n"/>
      <c r="G3961" s="94" t="n"/>
      <c r="H3961" s="94" t="n"/>
      <c r="I3961" s="94" t="n"/>
      <c r="J3961" s="55" t="n"/>
      <c r="K3961" s="95" t="n"/>
      <c r="L3961" s="116">
        <f>IF($A3961="","",DATE(YEAR($A3961),MONTH($A3961)+IF(AND(IFERROR(N(INDEX(Übersicht!$M$15:$M$22,MATCH($B3961,Übersicht!$A$15:$A$22,0))),0)&gt;1,DAY($A3961)&gt;=IFERROR(N(INDEX(Übersicht!$M$15:$M$22,MATCH($B3961,Übersicht!$A$15:$A$22,0))),0)),1,0),1))</f>
        <v/>
      </c>
    </row>
    <row r="3962">
      <c r="A3962" s="92" t="n"/>
      <c r="B3962" s="55" t="n"/>
      <c r="C3962" s="55" t="n"/>
      <c r="D3962" s="55" t="n"/>
      <c r="E3962" s="93" t="n"/>
      <c r="F3962" s="94" t="n"/>
      <c r="G3962" s="94" t="n"/>
      <c r="H3962" s="94" t="n"/>
      <c r="I3962" s="94" t="n"/>
      <c r="J3962" s="55" t="n"/>
      <c r="K3962" s="95" t="n"/>
      <c r="L3962" s="116">
        <f>IF($A3962="","",DATE(YEAR($A3962),MONTH($A3962)+IF(AND(IFERROR(N(INDEX(Übersicht!$M$15:$M$22,MATCH($B3962,Übersicht!$A$15:$A$22,0))),0)&gt;1,DAY($A3962)&gt;=IFERROR(N(INDEX(Übersicht!$M$15:$M$22,MATCH($B3962,Übersicht!$A$15:$A$22,0))),0)),1,0),1))</f>
        <v/>
      </c>
    </row>
    <row r="3963">
      <c r="A3963" s="92" t="n"/>
      <c r="B3963" s="55" t="n"/>
      <c r="C3963" s="55" t="n"/>
      <c r="D3963" s="55" t="n"/>
      <c r="E3963" s="93" t="n"/>
      <c r="F3963" s="94" t="n"/>
      <c r="G3963" s="94" t="n"/>
      <c r="H3963" s="94" t="n"/>
      <c r="I3963" s="94" t="n"/>
      <c r="J3963" s="55" t="n"/>
      <c r="K3963" s="95" t="n"/>
      <c r="L3963" s="116">
        <f>IF($A3963="","",DATE(YEAR($A3963),MONTH($A3963)+IF(AND(IFERROR(N(INDEX(Übersicht!$M$15:$M$22,MATCH($B3963,Übersicht!$A$15:$A$22,0))),0)&gt;1,DAY($A3963)&gt;=IFERROR(N(INDEX(Übersicht!$M$15:$M$22,MATCH($B3963,Übersicht!$A$15:$A$22,0))),0)),1,0),1))</f>
        <v/>
      </c>
    </row>
    <row r="3964">
      <c r="A3964" s="92" t="n"/>
      <c r="B3964" s="55" t="n"/>
      <c r="C3964" s="55" t="n"/>
      <c r="D3964" s="55" t="n"/>
      <c r="E3964" s="93" t="n"/>
      <c r="F3964" s="94" t="n"/>
      <c r="G3964" s="94" t="n"/>
      <c r="H3964" s="94" t="n"/>
      <c r="I3964" s="94" t="n"/>
      <c r="J3964" s="55" t="n"/>
      <c r="K3964" s="95" t="n"/>
      <c r="L3964" s="116">
        <f>IF($A3964="","",DATE(YEAR($A3964),MONTH($A3964)+IF(AND(IFERROR(N(INDEX(Übersicht!$M$15:$M$22,MATCH($B3964,Übersicht!$A$15:$A$22,0))),0)&gt;1,DAY($A3964)&gt;=IFERROR(N(INDEX(Übersicht!$M$15:$M$22,MATCH($B3964,Übersicht!$A$15:$A$22,0))),0)),1,0),1))</f>
        <v/>
      </c>
    </row>
    <row r="3965">
      <c r="A3965" s="92" t="n"/>
      <c r="B3965" s="55" t="n"/>
      <c r="C3965" s="55" t="n"/>
      <c r="D3965" s="55" t="n"/>
      <c r="E3965" s="93" t="n"/>
      <c r="F3965" s="94" t="n"/>
      <c r="G3965" s="94" t="n"/>
      <c r="H3965" s="94" t="n"/>
      <c r="I3965" s="94" t="n"/>
      <c r="J3965" s="55" t="n"/>
      <c r="K3965" s="95" t="n"/>
      <c r="L3965" s="116">
        <f>IF($A3965="","",DATE(YEAR($A3965),MONTH($A3965)+IF(AND(IFERROR(N(INDEX(Übersicht!$M$15:$M$22,MATCH($B3965,Übersicht!$A$15:$A$22,0))),0)&gt;1,DAY($A3965)&gt;=IFERROR(N(INDEX(Übersicht!$M$15:$M$22,MATCH($B3965,Übersicht!$A$15:$A$22,0))),0)),1,0),1))</f>
        <v/>
      </c>
    </row>
    <row r="3966">
      <c r="A3966" s="92" t="n"/>
      <c r="B3966" s="55" t="n"/>
      <c r="C3966" s="55" t="n"/>
      <c r="D3966" s="55" t="n"/>
      <c r="E3966" s="93" t="n"/>
      <c r="F3966" s="94" t="n"/>
      <c r="G3966" s="94" t="n"/>
      <c r="H3966" s="94" t="n"/>
      <c r="I3966" s="94" t="n"/>
      <c r="J3966" s="55" t="n"/>
      <c r="K3966" s="95" t="n"/>
      <c r="L3966" s="116">
        <f>IF($A3966="","",DATE(YEAR($A3966),MONTH($A3966)+IF(AND(IFERROR(N(INDEX(Übersicht!$M$15:$M$22,MATCH($B3966,Übersicht!$A$15:$A$22,0))),0)&gt;1,DAY($A3966)&gt;=IFERROR(N(INDEX(Übersicht!$M$15:$M$22,MATCH($B3966,Übersicht!$A$15:$A$22,0))),0)),1,0),1))</f>
        <v/>
      </c>
    </row>
    <row r="3967">
      <c r="A3967" s="92" t="n"/>
      <c r="B3967" s="55" t="n"/>
      <c r="C3967" s="55" t="n"/>
      <c r="D3967" s="55" t="n"/>
      <c r="E3967" s="93" t="n"/>
      <c r="F3967" s="94" t="n"/>
      <c r="G3967" s="94" t="n"/>
      <c r="H3967" s="94" t="n"/>
      <c r="I3967" s="94" t="n"/>
      <c r="J3967" s="55" t="n"/>
      <c r="K3967" s="95" t="n"/>
      <c r="L3967" s="116">
        <f>IF($A3967="","",DATE(YEAR($A3967),MONTH($A3967)+IF(AND(IFERROR(N(INDEX(Übersicht!$M$15:$M$22,MATCH($B3967,Übersicht!$A$15:$A$22,0))),0)&gt;1,DAY($A3967)&gt;=IFERROR(N(INDEX(Übersicht!$M$15:$M$22,MATCH($B3967,Übersicht!$A$15:$A$22,0))),0)),1,0),1))</f>
        <v/>
      </c>
    </row>
    <row r="3968">
      <c r="A3968" s="92" t="n"/>
      <c r="B3968" s="55" t="n"/>
      <c r="C3968" s="55" t="n"/>
      <c r="D3968" s="55" t="n"/>
      <c r="E3968" s="93" t="n"/>
      <c r="F3968" s="94" t="n"/>
      <c r="G3968" s="94" t="n"/>
      <c r="H3968" s="94" t="n"/>
      <c r="I3968" s="94" t="n"/>
      <c r="J3968" s="55" t="n"/>
      <c r="K3968" s="95" t="n"/>
      <c r="L3968" s="116">
        <f>IF($A3968="","",DATE(YEAR($A3968),MONTH($A3968)+IF(AND(IFERROR(N(INDEX(Übersicht!$M$15:$M$22,MATCH($B3968,Übersicht!$A$15:$A$22,0))),0)&gt;1,DAY($A3968)&gt;=IFERROR(N(INDEX(Übersicht!$M$15:$M$22,MATCH($B3968,Übersicht!$A$15:$A$22,0))),0)),1,0),1))</f>
        <v/>
      </c>
    </row>
    <row r="3969">
      <c r="A3969" s="92" t="n"/>
      <c r="B3969" s="55" t="n"/>
      <c r="C3969" s="55" t="n"/>
      <c r="D3969" s="55" t="n"/>
      <c r="E3969" s="93" t="n"/>
      <c r="F3969" s="94" t="n"/>
      <c r="G3969" s="94" t="n"/>
      <c r="H3969" s="94" t="n"/>
      <c r="I3969" s="94" t="n"/>
      <c r="J3969" s="55" t="n"/>
      <c r="K3969" s="95" t="n"/>
      <c r="L3969" s="116">
        <f>IF($A3969="","",DATE(YEAR($A3969),MONTH($A3969)+IF(AND(IFERROR(N(INDEX(Übersicht!$M$15:$M$22,MATCH($B3969,Übersicht!$A$15:$A$22,0))),0)&gt;1,DAY($A3969)&gt;=IFERROR(N(INDEX(Übersicht!$M$15:$M$22,MATCH($B3969,Übersicht!$A$15:$A$22,0))),0)),1,0),1))</f>
        <v/>
      </c>
    </row>
    <row r="3970">
      <c r="A3970" s="92" t="n"/>
      <c r="B3970" s="55" t="n"/>
      <c r="C3970" s="55" t="n"/>
      <c r="D3970" s="55" t="n"/>
      <c r="E3970" s="93" t="n"/>
      <c r="F3970" s="94" t="n"/>
      <c r="G3970" s="94" t="n"/>
      <c r="H3970" s="94" t="n"/>
      <c r="I3970" s="94" t="n"/>
      <c r="J3970" s="55" t="n"/>
      <c r="K3970" s="95" t="n"/>
      <c r="L3970" s="116">
        <f>IF($A3970="","",DATE(YEAR($A3970),MONTH($A3970)+IF(AND(IFERROR(N(INDEX(Übersicht!$M$15:$M$22,MATCH($B3970,Übersicht!$A$15:$A$22,0))),0)&gt;1,DAY($A3970)&gt;=IFERROR(N(INDEX(Übersicht!$M$15:$M$22,MATCH($B3970,Übersicht!$A$15:$A$22,0))),0)),1,0),1))</f>
        <v/>
      </c>
    </row>
    <row r="3971">
      <c r="A3971" s="92" t="n"/>
      <c r="B3971" s="55" t="n"/>
      <c r="C3971" s="55" t="n"/>
      <c r="D3971" s="55" t="n"/>
      <c r="E3971" s="93" t="n"/>
      <c r="F3971" s="94" t="n"/>
      <c r="G3971" s="94" t="n"/>
      <c r="H3971" s="94" t="n"/>
      <c r="I3971" s="94" t="n"/>
      <c r="J3971" s="55" t="n"/>
      <c r="K3971" s="95" t="n"/>
      <c r="L3971" s="116">
        <f>IF($A3971="","",DATE(YEAR($A3971),MONTH($A3971)+IF(AND(IFERROR(N(INDEX(Übersicht!$M$15:$M$22,MATCH($B3971,Übersicht!$A$15:$A$22,0))),0)&gt;1,DAY($A3971)&gt;=IFERROR(N(INDEX(Übersicht!$M$15:$M$22,MATCH($B3971,Übersicht!$A$15:$A$22,0))),0)),1,0),1))</f>
        <v/>
      </c>
    </row>
    <row r="3972">
      <c r="A3972" s="92" t="n"/>
      <c r="B3972" s="55" t="n"/>
      <c r="C3972" s="55" t="n"/>
      <c r="D3972" s="55" t="n"/>
      <c r="E3972" s="93" t="n"/>
      <c r="F3972" s="94" t="n"/>
      <c r="G3972" s="94" t="n"/>
      <c r="H3972" s="94" t="n"/>
      <c r="I3972" s="94" t="n"/>
      <c r="J3972" s="55" t="n"/>
      <c r="K3972" s="95" t="n"/>
      <c r="L3972" s="116">
        <f>IF($A3972="","",DATE(YEAR($A3972),MONTH($A3972)+IF(AND(IFERROR(N(INDEX(Übersicht!$M$15:$M$22,MATCH($B3972,Übersicht!$A$15:$A$22,0))),0)&gt;1,DAY($A3972)&gt;=IFERROR(N(INDEX(Übersicht!$M$15:$M$22,MATCH($B3972,Übersicht!$A$15:$A$22,0))),0)),1,0),1))</f>
        <v/>
      </c>
    </row>
    <row r="3973">
      <c r="A3973" s="92" t="n"/>
      <c r="B3973" s="55" t="n"/>
      <c r="C3973" s="55" t="n"/>
      <c r="D3973" s="55" t="n"/>
      <c r="E3973" s="93" t="n"/>
      <c r="F3973" s="94" t="n"/>
      <c r="G3973" s="94" t="n"/>
      <c r="H3973" s="94" t="n"/>
      <c r="I3973" s="94" t="n"/>
      <c r="J3973" s="55" t="n"/>
      <c r="K3973" s="95" t="n"/>
      <c r="L3973" s="116">
        <f>IF($A3973="","",DATE(YEAR($A3973),MONTH($A3973)+IF(AND(IFERROR(N(INDEX(Übersicht!$M$15:$M$22,MATCH($B3973,Übersicht!$A$15:$A$22,0))),0)&gt;1,DAY($A3973)&gt;=IFERROR(N(INDEX(Übersicht!$M$15:$M$22,MATCH($B3973,Übersicht!$A$15:$A$22,0))),0)),1,0),1))</f>
        <v/>
      </c>
    </row>
    <row r="3974">
      <c r="A3974" s="92" t="n"/>
      <c r="B3974" s="55" t="n"/>
      <c r="C3974" s="55" t="n"/>
      <c r="D3974" s="55" t="n"/>
      <c r="E3974" s="93" t="n"/>
      <c r="F3974" s="94" t="n"/>
      <c r="G3974" s="94" t="n"/>
      <c r="H3974" s="94" t="n"/>
      <c r="I3974" s="94" t="n"/>
      <c r="J3974" s="55" t="n"/>
      <c r="K3974" s="95" t="n"/>
      <c r="L3974" s="116">
        <f>IF($A3974="","",DATE(YEAR($A3974),MONTH($A3974)+IF(AND(IFERROR(N(INDEX(Übersicht!$M$15:$M$22,MATCH($B3974,Übersicht!$A$15:$A$22,0))),0)&gt;1,DAY($A3974)&gt;=IFERROR(N(INDEX(Übersicht!$M$15:$M$22,MATCH($B3974,Übersicht!$A$15:$A$22,0))),0)),1,0),1))</f>
        <v/>
      </c>
    </row>
    <row r="3975">
      <c r="A3975" s="92" t="n"/>
      <c r="B3975" s="55" t="n"/>
      <c r="C3975" s="55" t="n"/>
      <c r="D3975" s="55" t="n"/>
      <c r="E3975" s="93" t="n"/>
      <c r="F3975" s="94" t="n"/>
      <c r="G3975" s="94" t="n"/>
      <c r="H3975" s="94" t="n"/>
      <c r="I3975" s="94" t="n"/>
      <c r="J3975" s="55" t="n"/>
      <c r="K3975" s="95" t="n"/>
      <c r="L3975" s="116">
        <f>IF($A3975="","",DATE(YEAR($A3975),MONTH($A3975)+IF(AND(IFERROR(N(INDEX(Übersicht!$M$15:$M$22,MATCH($B3975,Übersicht!$A$15:$A$22,0))),0)&gt;1,DAY($A3975)&gt;=IFERROR(N(INDEX(Übersicht!$M$15:$M$22,MATCH($B3975,Übersicht!$A$15:$A$22,0))),0)),1,0),1))</f>
        <v/>
      </c>
    </row>
    <row r="3976">
      <c r="A3976" s="92" t="n"/>
      <c r="B3976" s="55" t="n"/>
      <c r="C3976" s="55" t="n"/>
      <c r="D3976" s="55" t="n"/>
      <c r="E3976" s="93" t="n"/>
      <c r="F3976" s="94" t="n"/>
      <c r="G3976" s="94" t="n"/>
      <c r="H3976" s="94" t="n"/>
      <c r="I3976" s="94" t="n"/>
      <c r="J3976" s="55" t="n"/>
      <c r="K3976" s="95" t="n"/>
      <c r="L3976" s="116">
        <f>IF($A3976="","",DATE(YEAR($A3976),MONTH($A3976)+IF(AND(IFERROR(N(INDEX(Übersicht!$M$15:$M$22,MATCH($B3976,Übersicht!$A$15:$A$22,0))),0)&gt;1,DAY($A3976)&gt;=IFERROR(N(INDEX(Übersicht!$M$15:$M$22,MATCH($B3976,Übersicht!$A$15:$A$22,0))),0)),1,0),1))</f>
        <v/>
      </c>
    </row>
    <row r="3977">
      <c r="A3977" s="92" t="n"/>
      <c r="B3977" s="55" t="n"/>
      <c r="C3977" s="55" t="n"/>
      <c r="D3977" s="55" t="n"/>
      <c r="E3977" s="93" t="n"/>
      <c r="F3977" s="94" t="n"/>
      <c r="G3977" s="94" t="n"/>
      <c r="H3977" s="94" t="n"/>
      <c r="I3977" s="94" t="n"/>
      <c r="J3977" s="55" t="n"/>
      <c r="K3977" s="95" t="n"/>
      <c r="L3977" s="116">
        <f>IF($A3977="","",DATE(YEAR($A3977),MONTH($A3977)+IF(AND(IFERROR(N(INDEX(Übersicht!$M$15:$M$22,MATCH($B3977,Übersicht!$A$15:$A$22,0))),0)&gt;1,DAY($A3977)&gt;=IFERROR(N(INDEX(Übersicht!$M$15:$M$22,MATCH($B3977,Übersicht!$A$15:$A$22,0))),0)),1,0),1))</f>
        <v/>
      </c>
    </row>
    <row r="3978">
      <c r="A3978" s="92" t="n"/>
      <c r="B3978" s="55" t="n"/>
      <c r="C3978" s="55" t="n"/>
      <c r="D3978" s="55" t="n"/>
      <c r="E3978" s="93" t="n"/>
      <c r="F3978" s="94" t="n"/>
      <c r="G3978" s="94" t="n"/>
      <c r="H3978" s="94" t="n"/>
      <c r="I3978" s="94" t="n"/>
      <c r="J3978" s="55" t="n"/>
      <c r="K3978" s="95" t="n"/>
      <c r="L3978" s="116">
        <f>IF($A3978="","",DATE(YEAR($A3978),MONTH($A3978)+IF(AND(IFERROR(N(INDEX(Übersicht!$M$15:$M$22,MATCH($B3978,Übersicht!$A$15:$A$22,0))),0)&gt;1,DAY($A3978)&gt;=IFERROR(N(INDEX(Übersicht!$M$15:$M$22,MATCH($B3978,Übersicht!$A$15:$A$22,0))),0)),1,0),1))</f>
        <v/>
      </c>
    </row>
    <row r="3979">
      <c r="A3979" s="92" t="n"/>
      <c r="B3979" s="55" t="n"/>
      <c r="C3979" s="55" t="n"/>
      <c r="D3979" s="55" t="n"/>
      <c r="E3979" s="93" t="n"/>
      <c r="F3979" s="94" t="n"/>
      <c r="G3979" s="94" t="n"/>
      <c r="H3979" s="94" t="n"/>
      <c r="I3979" s="94" t="n"/>
      <c r="J3979" s="55" t="n"/>
      <c r="K3979" s="95" t="n"/>
      <c r="L3979" s="116">
        <f>IF($A3979="","",DATE(YEAR($A3979),MONTH($A3979)+IF(AND(IFERROR(N(INDEX(Übersicht!$M$15:$M$22,MATCH($B3979,Übersicht!$A$15:$A$22,0))),0)&gt;1,DAY($A3979)&gt;=IFERROR(N(INDEX(Übersicht!$M$15:$M$22,MATCH($B3979,Übersicht!$A$15:$A$22,0))),0)),1,0),1))</f>
        <v/>
      </c>
    </row>
    <row r="3980">
      <c r="A3980" s="92" t="n"/>
      <c r="B3980" s="55" t="n"/>
      <c r="C3980" s="55" t="n"/>
      <c r="D3980" s="55" t="n"/>
      <c r="E3980" s="93" t="n"/>
      <c r="F3980" s="94" t="n"/>
      <c r="G3980" s="94" t="n"/>
      <c r="H3980" s="94" t="n"/>
      <c r="I3980" s="94" t="n"/>
      <c r="J3980" s="55" t="n"/>
      <c r="K3980" s="95" t="n"/>
      <c r="L3980" s="116">
        <f>IF($A3980="","",DATE(YEAR($A3980),MONTH($A3980)+IF(AND(IFERROR(N(INDEX(Übersicht!$M$15:$M$22,MATCH($B3980,Übersicht!$A$15:$A$22,0))),0)&gt;1,DAY($A3980)&gt;=IFERROR(N(INDEX(Übersicht!$M$15:$M$22,MATCH($B3980,Übersicht!$A$15:$A$22,0))),0)),1,0),1))</f>
        <v/>
      </c>
    </row>
    <row r="3981">
      <c r="A3981" s="92" t="n"/>
      <c r="B3981" s="55" t="n"/>
      <c r="C3981" s="55" t="n"/>
      <c r="D3981" s="55" t="n"/>
      <c r="E3981" s="93" t="n"/>
      <c r="F3981" s="94" t="n"/>
      <c r="G3981" s="94" t="n"/>
      <c r="H3981" s="94" t="n"/>
      <c r="I3981" s="94" t="n"/>
      <c r="J3981" s="55" t="n"/>
      <c r="K3981" s="95" t="n"/>
      <c r="L3981" s="116">
        <f>IF($A3981="","",DATE(YEAR($A3981),MONTH($A3981)+IF(AND(IFERROR(N(INDEX(Übersicht!$M$15:$M$22,MATCH($B3981,Übersicht!$A$15:$A$22,0))),0)&gt;1,DAY($A3981)&gt;=IFERROR(N(INDEX(Übersicht!$M$15:$M$22,MATCH($B3981,Übersicht!$A$15:$A$22,0))),0)),1,0),1))</f>
        <v/>
      </c>
    </row>
    <row r="3982">
      <c r="A3982" s="92" t="n"/>
      <c r="B3982" s="55" t="n"/>
      <c r="C3982" s="55" t="n"/>
      <c r="D3982" s="55" t="n"/>
      <c r="E3982" s="93" t="n"/>
      <c r="F3982" s="94" t="n"/>
      <c r="G3982" s="94" t="n"/>
      <c r="H3982" s="94" t="n"/>
      <c r="I3982" s="94" t="n"/>
      <c r="J3982" s="55" t="n"/>
      <c r="K3982" s="95" t="n"/>
      <c r="L3982" s="116">
        <f>IF($A3982="","",DATE(YEAR($A3982),MONTH($A3982)+IF(AND(IFERROR(N(INDEX(Übersicht!$M$15:$M$22,MATCH($B3982,Übersicht!$A$15:$A$22,0))),0)&gt;1,DAY($A3982)&gt;=IFERROR(N(INDEX(Übersicht!$M$15:$M$22,MATCH($B3982,Übersicht!$A$15:$A$22,0))),0)),1,0),1))</f>
        <v/>
      </c>
    </row>
    <row r="3983">
      <c r="A3983" s="92" t="n"/>
      <c r="B3983" s="55" t="n"/>
      <c r="C3983" s="55" t="n"/>
      <c r="D3983" s="55" t="n"/>
      <c r="E3983" s="93" t="n"/>
      <c r="F3983" s="94" t="n"/>
      <c r="G3983" s="94" t="n"/>
      <c r="H3983" s="94" t="n"/>
      <c r="I3983" s="94" t="n"/>
      <c r="J3983" s="55" t="n"/>
      <c r="K3983" s="95" t="n"/>
      <c r="L3983" s="116">
        <f>IF($A3983="","",DATE(YEAR($A3983),MONTH($A3983)+IF(AND(IFERROR(N(INDEX(Übersicht!$M$15:$M$22,MATCH($B3983,Übersicht!$A$15:$A$22,0))),0)&gt;1,DAY($A3983)&gt;=IFERROR(N(INDEX(Übersicht!$M$15:$M$22,MATCH($B3983,Übersicht!$A$15:$A$22,0))),0)),1,0),1))</f>
        <v/>
      </c>
    </row>
    <row r="3984">
      <c r="A3984" s="92" t="n"/>
      <c r="B3984" s="55" t="n"/>
      <c r="C3984" s="55" t="n"/>
      <c r="D3984" s="55" t="n"/>
      <c r="E3984" s="93" t="n"/>
      <c r="F3984" s="94" t="n"/>
      <c r="G3984" s="94" t="n"/>
      <c r="H3984" s="94" t="n"/>
      <c r="I3984" s="94" t="n"/>
      <c r="J3984" s="55" t="n"/>
      <c r="K3984" s="95" t="n"/>
      <c r="L3984" s="116">
        <f>IF($A3984="","",DATE(YEAR($A3984),MONTH($A3984)+IF(AND(IFERROR(N(INDEX(Übersicht!$M$15:$M$22,MATCH($B3984,Übersicht!$A$15:$A$22,0))),0)&gt;1,DAY($A3984)&gt;=IFERROR(N(INDEX(Übersicht!$M$15:$M$22,MATCH($B3984,Übersicht!$A$15:$A$22,0))),0)),1,0),1))</f>
        <v/>
      </c>
    </row>
    <row r="3985">
      <c r="A3985" s="92" t="n"/>
      <c r="B3985" s="55" t="n"/>
      <c r="C3985" s="55" t="n"/>
      <c r="D3985" s="55" t="n"/>
      <c r="E3985" s="93" t="n"/>
      <c r="F3985" s="94" t="n"/>
      <c r="G3985" s="94" t="n"/>
      <c r="H3985" s="94" t="n"/>
      <c r="I3985" s="94" t="n"/>
      <c r="J3985" s="55" t="n"/>
      <c r="K3985" s="95" t="n"/>
      <c r="L3985" s="116">
        <f>IF($A3985="","",DATE(YEAR($A3985),MONTH($A3985)+IF(AND(IFERROR(N(INDEX(Übersicht!$M$15:$M$22,MATCH($B3985,Übersicht!$A$15:$A$22,0))),0)&gt;1,DAY($A3985)&gt;=IFERROR(N(INDEX(Übersicht!$M$15:$M$22,MATCH($B3985,Übersicht!$A$15:$A$22,0))),0)),1,0),1))</f>
        <v/>
      </c>
    </row>
    <row r="3986">
      <c r="A3986" s="92" t="n"/>
      <c r="B3986" s="55" t="n"/>
      <c r="C3986" s="55" t="n"/>
      <c r="D3986" s="55" t="n"/>
      <c r="E3986" s="93" t="n"/>
      <c r="F3986" s="94" t="n"/>
      <c r="G3986" s="94" t="n"/>
      <c r="H3986" s="94" t="n"/>
      <c r="I3986" s="94" t="n"/>
      <c r="J3986" s="55" t="n"/>
      <c r="K3986" s="95" t="n"/>
      <c r="L3986" s="116">
        <f>IF($A3986="","",DATE(YEAR($A3986),MONTH($A3986)+IF(AND(IFERROR(N(INDEX(Übersicht!$M$15:$M$22,MATCH($B3986,Übersicht!$A$15:$A$22,0))),0)&gt;1,DAY($A3986)&gt;=IFERROR(N(INDEX(Übersicht!$M$15:$M$22,MATCH($B3986,Übersicht!$A$15:$A$22,0))),0)),1,0),1))</f>
        <v/>
      </c>
    </row>
    <row r="3987">
      <c r="A3987" s="92" t="n"/>
      <c r="B3987" s="55" t="n"/>
      <c r="C3987" s="55" t="n"/>
      <c r="D3987" s="55" t="n"/>
      <c r="E3987" s="93" t="n"/>
      <c r="F3987" s="94" t="n"/>
      <c r="G3987" s="94" t="n"/>
      <c r="H3987" s="94" t="n"/>
      <c r="I3987" s="94" t="n"/>
      <c r="J3987" s="55" t="n"/>
      <c r="K3987" s="95" t="n"/>
      <c r="L3987" s="116">
        <f>IF($A3987="","",DATE(YEAR($A3987),MONTH($A3987)+IF(AND(IFERROR(N(INDEX(Übersicht!$M$15:$M$22,MATCH($B3987,Übersicht!$A$15:$A$22,0))),0)&gt;1,DAY($A3987)&gt;=IFERROR(N(INDEX(Übersicht!$M$15:$M$22,MATCH($B3987,Übersicht!$A$15:$A$22,0))),0)),1,0),1))</f>
        <v/>
      </c>
    </row>
    <row r="3988">
      <c r="A3988" s="92" t="n"/>
      <c r="B3988" s="55" t="n"/>
      <c r="C3988" s="55" t="n"/>
      <c r="D3988" s="55" t="n"/>
      <c r="E3988" s="93" t="n"/>
      <c r="F3988" s="94" t="n"/>
      <c r="G3988" s="94" t="n"/>
      <c r="H3988" s="94" t="n"/>
      <c r="I3988" s="94" t="n"/>
      <c r="J3988" s="55" t="n"/>
      <c r="K3988" s="95" t="n"/>
      <c r="L3988" s="116">
        <f>IF($A3988="","",DATE(YEAR($A3988),MONTH($A3988)+IF(AND(IFERROR(N(INDEX(Übersicht!$M$15:$M$22,MATCH($B3988,Übersicht!$A$15:$A$22,0))),0)&gt;1,DAY($A3988)&gt;=IFERROR(N(INDEX(Übersicht!$M$15:$M$22,MATCH($B3988,Übersicht!$A$15:$A$22,0))),0)),1,0),1))</f>
        <v/>
      </c>
    </row>
    <row r="3989">
      <c r="A3989" s="92" t="n"/>
      <c r="B3989" s="55" t="n"/>
      <c r="C3989" s="55" t="n"/>
      <c r="D3989" s="55" t="n"/>
      <c r="E3989" s="93" t="n"/>
      <c r="F3989" s="94" t="n"/>
      <c r="G3989" s="94" t="n"/>
      <c r="H3989" s="94" t="n"/>
      <c r="I3989" s="94" t="n"/>
      <c r="J3989" s="55" t="n"/>
      <c r="K3989" s="95" t="n"/>
      <c r="L3989" s="116">
        <f>IF($A3989="","",DATE(YEAR($A3989),MONTH($A3989)+IF(AND(IFERROR(N(INDEX(Übersicht!$M$15:$M$22,MATCH($B3989,Übersicht!$A$15:$A$22,0))),0)&gt;1,DAY($A3989)&gt;=IFERROR(N(INDEX(Übersicht!$M$15:$M$22,MATCH($B3989,Übersicht!$A$15:$A$22,0))),0)),1,0),1))</f>
        <v/>
      </c>
    </row>
    <row r="3990">
      <c r="A3990" s="92" t="n"/>
      <c r="B3990" s="55" t="n"/>
      <c r="C3990" s="55" t="n"/>
      <c r="D3990" s="55" t="n"/>
      <c r="E3990" s="93" t="n"/>
      <c r="F3990" s="94" t="n"/>
      <c r="G3990" s="94" t="n"/>
      <c r="H3990" s="94" t="n"/>
      <c r="I3990" s="94" t="n"/>
      <c r="J3990" s="55" t="n"/>
      <c r="K3990" s="95" t="n"/>
      <c r="L3990" s="116">
        <f>IF($A3990="","",DATE(YEAR($A3990),MONTH($A3990)+IF(AND(IFERROR(N(INDEX(Übersicht!$M$15:$M$22,MATCH($B3990,Übersicht!$A$15:$A$22,0))),0)&gt;1,DAY($A3990)&gt;=IFERROR(N(INDEX(Übersicht!$M$15:$M$22,MATCH($B3990,Übersicht!$A$15:$A$22,0))),0)),1,0),1))</f>
        <v/>
      </c>
    </row>
    <row r="3991">
      <c r="A3991" s="92" t="n"/>
      <c r="B3991" s="55" t="n"/>
      <c r="C3991" s="55" t="n"/>
      <c r="D3991" s="55" t="n"/>
      <c r="E3991" s="93" t="n"/>
      <c r="F3991" s="94" t="n"/>
      <c r="G3991" s="94" t="n"/>
      <c r="H3991" s="94" t="n"/>
      <c r="I3991" s="94" t="n"/>
      <c r="J3991" s="55" t="n"/>
      <c r="K3991" s="95" t="n"/>
      <c r="L3991" s="116">
        <f>IF($A3991="","",DATE(YEAR($A3991),MONTH($A3991)+IF(AND(IFERROR(N(INDEX(Übersicht!$M$15:$M$22,MATCH($B3991,Übersicht!$A$15:$A$22,0))),0)&gt;1,DAY($A3991)&gt;=IFERROR(N(INDEX(Übersicht!$M$15:$M$22,MATCH($B3991,Übersicht!$A$15:$A$22,0))),0)),1,0),1))</f>
        <v/>
      </c>
    </row>
    <row r="3992">
      <c r="A3992" s="92" t="n"/>
      <c r="B3992" s="55" t="n"/>
      <c r="C3992" s="55" t="n"/>
      <c r="D3992" s="55" t="n"/>
      <c r="E3992" s="93" t="n"/>
      <c r="F3992" s="94" t="n"/>
      <c r="G3992" s="94" t="n"/>
      <c r="H3992" s="94" t="n"/>
      <c r="I3992" s="94" t="n"/>
      <c r="J3992" s="55" t="n"/>
      <c r="K3992" s="95" t="n"/>
      <c r="L3992" s="116">
        <f>IF($A3992="","",DATE(YEAR($A3992),MONTH($A3992)+IF(AND(IFERROR(N(INDEX(Übersicht!$M$15:$M$22,MATCH($B3992,Übersicht!$A$15:$A$22,0))),0)&gt;1,DAY($A3992)&gt;=IFERROR(N(INDEX(Übersicht!$M$15:$M$22,MATCH($B3992,Übersicht!$A$15:$A$22,0))),0)),1,0),1))</f>
        <v/>
      </c>
    </row>
    <row r="3993">
      <c r="A3993" s="92" t="n"/>
      <c r="B3993" s="55" t="n"/>
      <c r="C3993" s="55" t="n"/>
      <c r="D3993" s="55" t="n"/>
      <c r="E3993" s="93" t="n"/>
      <c r="F3993" s="94" t="n"/>
      <c r="G3993" s="94" t="n"/>
      <c r="H3993" s="94" t="n"/>
      <c r="I3993" s="94" t="n"/>
      <c r="J3993" s="55" t="n"/>
      <c r="K3993" s="95" t="n"/>
      <c r="L3993" s="116">
        <f>IF($A3993="","",DATE(YEAR($A3993),MONTH($A3993)+IF(AND(IFERROR(N(INDEX(Übersicht!$M$15:$M$22,MATCH($B3993,Übersicht!$A$15:$A$22,0))),0)&gt;1,DAY($A3993)&gt;=IFERROR(N(INDEX(Übersicht!$M$15:$M$22,MATCH($B3993,Übersicht!$A$15:$A$22,0))),0)),1,0),1))</f>
        <v/>
      </c>
    </row>
    <row r="3994">
      <c r="A3994" s="92" t="n"/>
      <c r="B3994" s="55" t="n"/>
      <c r="C3994" s="55" t="n"/>
      <c r="D3994" s="55" t="n"/>
      <c r="E3994" s="93" t="n"/>
      <c r="F3994" s="94" t="n"/>
      <c r="G3994" s="94" t="n"/>
      <c r="H3994" s="94" t="n"/>
      <c r="I3994" s="94" t="n"/>
      <c r="J3994" s="55" t="n"/>
      <c r="K3994" s="95" t="n"/>
      <c r="L3994" s="116">
        <f>IF($A3994="","",DATE(YEAR($A3994),MONTH($A3994)+IF(AND(IFERROR(N(INDEX(Übersicht!$M$15:$M$22,MATCH($B3994,Übersicht!$A$15:$A$22,0))),0)&gt;1,DAY($A3994)&gt;=IFERROR(N(INDEX(Übersicht!$M$15:$M$22,MATCH($B3994,Übersicht!$A$15:$A$22,0))),0)),1,0),1))</f>
        <v/>
      </c>
    </row>
    <row r="3995">
      <c r="A3995" s="92" t="n"/>
      <c r="B3995" s="55" t="n"/>
      <c r="C3995" s="55" t="n"/>
      <c r="D3995" s="55" t="n"/>
      <c r="E3995" s="93" t="n"/>
      <c r="F3995" s="94" t="n"/>
      <c r="G3995" s="94" t="n"/>
      <c r="H3995" s="94" t="n"/>
      <c r="I3995" s="94" t="n"/>
      <c r="J3995" s="55" t="n"/>
      <c r="K3995" s="95" t="n"/>
      <c r="L3995" s="116">
        <f>IF($A3995="","",DATE(YEAR($A3995),MONTH($A3995)+IF(AND(IFERROR(N(INDEX(Übersicht!$M$15:$M$22,MATCH($B3995,Übersicht!$A$15:$A$22,0))),0)&gt;1,DAY($A3995)&gt;=IFERROR(N(INDEX(Übersicht!$M$15:$M$22,MATCH($B3995,Übersicht!$A$15:$A$22,0))),0)),1,0),1))</f>
        <v/>
      </c>
    </row>
    <row r="3996">
      <c r="A3996" s="92" t="n"/>
      <c r="B3996" s="55" t="n"/>
      <c r="C3996" s="55" t="n"/>
      <c r="D3996" s="55" t="n"/>
      <c r="E3996" s="93" t="n"/>
      <c r="F3996" s="94" t="n"/>
      <c r="G3996" s="94" t="n"/>
      <c r="H3996" s="94" t="n"/>
      <c r="I3996" s="94" t="n"/>
      <c r="J3996" s="55" t="n"/>
      <c r="K3996" s="95" t="n"/>
      <c r="L3996" s="116">
        <f>IF($A3996="","",DATE(YEAR($A3996),MONTH($A3996)+IF(AND(IFERROR(N(INDEX(Übersicht!$M$15:$M$22,MATCH($B3996,Übersicht!$A$15:$A$22,0))),0)&gt;1,DAY($A3996)&gt;=IFERROR(N(INDEX(Übersicht!$M$15:$M$22,MATCH($B3996,Übersicht!$A$15:$A$22,0))),0)),1,0),1))</f>
        <v/>
      </c>
    </row>
    <row r="3997">
      <c r="A3997" s="92" t="n"/>
      <c r="B3997" s="55" t="n"/>
      <c r="C3997" s="55" t="n"/>
      <c r="D3997" s="55" t="n"/>
      <c r="E3997" s="93" t="n"/>
      <c r="F3997" s="94" t="n"/>
      <c r="G3997" s="94" t="n"/>
      <c r="H3997" s="94" t="n"/>
      <c r="I3997" s="94" t="n"/>
      <c r="J3997" s="55" t="n"/>
      <c r="K3997" s="95" t="n"/>
      <c r="L3997" s="116">
        <f>IF($A3997="","",DATE(YEAR($A3997),MONTH($A3997)+IF(AND(IFERROR(N(INDEX(Übersicht!$M$15:$M$22,MATCH($B3997,Übersicht!$A$15:$A$22,0))),0)&gt;1,DAY($A3997)&gt;=IFERROR(N(INDEX(Übersicht!$M$15:$M$22,MATCH($B3997,Übersicht!$A$15:$A$22,0))),0)),1,0),1))</f>
        <v/>
      </c>
    </row>
    <row r="3998">
      <c r="A3998" s="92" t="n"/>
      <c r="B3998" s="55" t="n"/>
      <c r="C3998" s="55" t="n"/>
      <c r="D3998" s="55" t="n"/>
      <c r="E3998" s="93" t="n"/>
      <c r="F3998" s="94" t="n"/>
      <c r="G3998" s="94" t="n"/>
      <c r="H3998" s="94" t="n"/>
      <c r="I3998" s="94" t="n"/>
      <c r="J3998" s="55" t="n"/>
      <c r="K3998" s="95" t="n"/>
      <c r="L3998" s="116">
        <f>IF($A3998="","",DATE(YEAR($A3998),MONTH($A3998)+IF(AND(IFERROR(N(INDEX(Übersicht!$M$15:$M$22,MATCH($B3998,Übersicht!$A$15:$A$22,0))),0)&gt;1,DAY($A3998)&gt;=IFERROR(N(INDEX(Übersicht!$M$15:$M$22,MATCH($B3998,Übersicht!$A$15:$A$22,0))),0)),1,0),1))</f>
        <v/>
      </c>
    </row>
    <row r="3999">
      <c r="A3999" s="92" t="n"/>
      <c r="B3999" s="55" t="n"/>
      <c r="C3999" s="55" t="n"/>
      <c r="D3999" s="55" t="n"/>
      <c r="E3999" s="93" t="n"/>
      <c r="F3999" s="94" t="n"/>
      <c r="G3999" s="94" t="n"/>
      <c r="H3999" s="94" t="n"/>
      <c r="I3999" s="94" t="n"/>
      <c r="J3999" s="55" t="n"/>
      <c r="K3999" s="95" t="n"/>
      <c r="L3999" s="116">
        <f>IF($A3999="","",DATE(YEAR($A3999),MONTH($A3999)+IF(AND(IFERROR(N(INDEX(Übersicht!$M$15:$M$22,MATCH($B3999,Übersicht!$A$15:$A$22,0))),0)&gt;1,DAY($A3999)&gt;=IFERROR(N(INDEX(Übersicht!$M$15:$M$22,MATCH($B3999,Übersicht!$A$15:$A$22,0))),0)),1,0),1))</f>
        <v/>
      </c>
    </row>
    <row r="4000">
      <c r="A4000" s="92" t="n"/>
      <c r="B4000" s="55" t="n"/>
      <c r="C4000" s="55" t="n"/>
      <c r="D4000" s="55" t="n"/>
      <c r="E4000" s="93" t="n"/>
      <c r="F4000" s="94" t="n"/>
      <c r="G4000" s="94" t="n"/>
      <c r="H4000" s="94" t="n"/>
      <c r="I4000" s="94" t="n"/>
      <c r="J4000" s="55" t="n"/>
      <c r="K4000" s="95" t="n"/>
      <c r="L4000" s="116">
        <f>IF($A4000="","",DATE(YEAR($A4000),MONTH($A4000)+IF(AND(IFERROR(N(INDEX(Übersicht!$M$15:$M$22,MATCH($B4000,Übersicht!$A$15:$A$22,0))),0)&gt;1,DAY($A4000)&gt;=IFERROR(N(INDEX(Übersicht!$M$15:$M$22,MATCH($B4000,Übersicht!$A$15:$A$22,0))),0)),1,0),1))</f>
        <v/>
      </c>
    </row>
    <row r="4001">
      <c r="A4001" s="92" t="n"/>
      <c r="B4001" s="55" t="n"/>
      <c r="C4001" s="55" t="n"/>
      <c r="D4001" s="55" t="n"/>
      <c r="E4001" s="93" t="n"/>
      <c r="F4001" s="94" t="n"/>
      <c r="G4001" s="94" t="n"/>
      <c r="H4001" s="94" t="n"/>
      <c r="I4001" s="94" t="n"/>
      <c r="J4001" s="55" t="n"/>
      <c r="K4001" s="95" t="n"/>
      <c r="L4001" s="116">
        <f>IF($A4001="","",DATE(YEAR($A4001),MONTH($A4001)+IF(AND(IFERROR(N(INDEX(Übersicht!$M$15:$M$22,MATCH($B4001,Übersicht!$A$15:$A$22,0))),0)&gt;1,DAY($A4001)&gt;=IFERROR(N(INDEX(Übersicht!$M$15:$M$22,MATCH($B4001,Übersicht!$A$15:$A$22,0))),0)),1,0),1))</f>
        <v/>
      </c>
    </row>
    <row r="4002">
      <c r="A4002" s="92" t="n"/>
      <c r="B4002" s="55" t="n"/>
      <c r="C4002" s="55" t="n"/>
      <c r="D4002" s="55" t="n"/>
      <c r="E4002" s="93" t="n"/>
      <c r="F4002" s="94" t="n"/>
      <c r="G4002" s="94" t="n"/>
      <c r="H4002" s="94" t="n"/>
      <c r="I4002" s="94" t="n"/>
      <c r="J4002" s="55" t="n"/>
      <c r="K4002" s="95" t="n"/>
      <c r="L4002" s="116">
        <f>IF($A4002="","",DATE(YEAR($A4002),MONTH($A4002)+IF(AND(IFERROR(N(INDEX(Übersicht!$M$15:$M$22,MATCH($B4002,Übersicht!$A$15:$A$22,0))),0)&gt;1,DAY($A4002)&gt;=IFERROR(N(INDEX(Übersicht!$M$15:$M$22,MATCH($B4002,Übersicht!$A$15:$A$22,0))),0)),1,0),1))</f>
        <v/>
      </c>
    </row>
    <row r="4003">
      <c r="A4003" s="92" t="n"/>
      <c r="B4003" s="55" t="n"/>
      <c r="C4003" s="55" t="n"/>
      <c r="D4003" s="55" t="n"/>
      <c r="E4003" s="93" t="n"/>
      <c r="F4003" s="94" t="n"/>
      <c r="G4003" s="94" t="n"/>
      <c r="H4003" s="94" t="n"/>
      <c r="I4003" s="94" t="n"/>
      <c r="J4003" s="55" t="n"/>
      <c r="K4003" s="95" t="n"/>
      <c r="L4003" s="116">
        <f>IF($A4003="","",DATE(YEAR($A4003),MONTH($A4003)+IF(AND(IFERROR(N(INDEX(Übersicht!$M$15:$M$22,MATCH($B4003,Übersicht!$A$15:$A$22,0))),0)&gt;1,DAY($A4003)&gt;=IFERROR(N(INDEX(Übersicht!$M$15:$M$22,MATCH($B4003,Übersicht!$A$15:$A$22,0))),0)),1,0),1))</f>
        <v/>
      </c>
    </row>
    <row r="4004">
      <c r="A4004" s="92" t="n"/>
      <c r="B4004" s="55" t="n"/>
      <c r="C4004" s="55" t="n"/>
      <c r="D4004" s="55" t="n"/>
      <c r="E4004" s="93" t="n"/>
      <c r="F4004" s="94" t="n"/>
      <c r="G4004" s="94" t="n"/>
      <c r="H4004" s="94" t="n"/>
      <c r="I4004" s="94" t="n"/>
      <c r="J4004" s="55" t="n"/>
      <c r="K4004" s="95" t="n"/>
      <c r="L4004" s="116">
        <f>IF($A4004="","",DATE(YEAR($A4004),MONTH($A4004)+IF(AND(IFERROR(N(INDEX(Übersicht!$M$15:$M$22,MATCH($B4004,Übersicht!$A$15:$A$22,0))),0)&gt;1,DAY($A4004)&gt;=IFERROR(N(INDEX(Übersicht!$M$15:$M$22,MATCH($B4004,Übersicht!$A$15:$A$22,0))),0)),1,0),1))</f>
        <v/>
      </c>
    </row>
    <row r="4005">
      <c r="A4005" s="92" t="n"/>
      <c r="B4005" s="55" t="n"/>
      <c r="C4005" s="55" t="n"/>
      <c r="D4005" s="55" t="n"/>
      <c r="E4005" s="93" t="n"/>
      <c r="F4005" s="94" t="n"/>
      <c r="G4005" s="94" t="n"/>
      <c r="H4005" s="94" t="n"/>
      <c r="I4005" s="94" t="n"/>
      <c r="J4005" s="55" t="n"/>
      <c r="K4005" s="95" t="n"/>
      <c r="L4005" s="116">
        <f>IF($A4005="","",DATE(YEAR($A4005),MONTH($A4005)+IF(AND(IFERROR(N(INDEX(Übersicht!$M$15:$M$22,MATCH($B4005,Übersicht!$A$15:$A$22,0))),0)&gt;1,DAY($A4005)&gt;=IFERROR(N(INDEX(Übersicht!$M$15:$M$22,MATCH($B4005,Übersicht!$A$15:$A$22,0))),0)),1,0),1))</f>
        <v/>
      </c>
    </row>
    <row r="4006">
      <c r="A4006" s="92" t="n"/>
      <c r="B4006" s="55" t="n"/>
      <c r="C4006" s="55" t="n"/>
      <c r="D4006" s="55" t="n"/>
      <c r="E4006" s="93" t="n"/>
      <c r="F4006" s="94" t="n"/>
      <c r="G4006" s="94" t="n"/>
      <c r="H4006" s="94" t="n"/>
      <c r="I4006" s="94" t="n"/>
      <c r="J4006" s="55" t="n"/>
      <c r="K4006" s="95" t="n"/>
      <c r="L4006" s="116">
        <f>IF($A4006="","",DATE(YEAR($A4006),MONTH($A4006)+IF(AND(IFERROR(N(INDEX(Übersicht!$M$15:$M$22,MATCH($B4006,Übersicht!$A$15:$A$22,0))),0)&gt;1,DAY($A4006)&gt;=IFERROR(N(INDEX(Übersicht!$M$15:$M$22,MATCH($B4006,Übersicht!$A$15:$A$22,0))),0)),1,0),1))</f>
        <v/>
      </c>
    </row>
    <row r="4007">
      <c r="A4007" s="92" t="n"/>
      <c r="B4007" s="55" t="n"/>
      <c r="C4007" s="55" t="n"/>
      <c r="D4007" s="55" t="n"/>
      <c r="E4007" s="93" t="n"/>
      <c r="F4007" s="94" t="n"/>
      <c r="G4007" s="94" t="n"/>
      <c r="H4007" s="94" t="n"/>
      <c r="I4007" s="94" t="n"/>
      <c r="J4007" s="55" t="n"/>
      <c r="K4007" s="95" t="n"/>
      <c r="L4007" s="116">
        <f>IF($A4007="","",DATE(YEAR($A4007),MONTH($A4007)+IF(AND(IFERROR(N(INDEX(Übersicht!$M$15:$M$22,MATCH($B4007,Übersicht!$A$15:$A$22,0))),0)&gt;1,DAY($A4007)&gt;=IFERROR(N(INDEX(Übersicht!$M$15:$M$22,MATCH($B4007,Übersicht!$A$15:$A$22,0))),0)),1,0),1))</f>
        <v/>
      </c>
    </row>
    <row r="4008">
      <c r="A4008" s="92" t="n"/>
      <c r="B4008" s="55" t="n"/>
      <c r="C4008" s="55" t="n"/>
      <c r="D4008" s="55" t="n"/>
      <c r="E4008" s="93" t="n"/>
      <c r="F4008" s="94" t="n"/>
      <c r="G4008" s="94" t="n"/>
      <c r="H4008" s="94" t="n"/>
      <c r="I4008" s="94" t="n"/>
      <c r="J4008" s="55" t="n"/>
      <c r="K4008" s="95" t="n"/>
      <c r="L4008" s="116">
        <f>IF($A4008="","",DATE(YEAR($A4008),MONTH($A4008)+IF(AND(IFERROR(N(INDEX(Übersicht!$M$15:$M$22,MATCH($B4008,Übersicht!$A$15:$A$22,0))),0)&gt;1,DAY($A4008)&gt;=IFERROR(N(INDEX(Übersicht!$M$15:$M$22,MATCH($B4008,Übersicht!$A$15:$A$22,0))),0)),1,0),1))</f>
        <v/>
      </c>
    </row>
    <row r="4009">
      <c r="A4009" s="92" t="n"/>
      <c r="B4009" s="55" t="n"/>
      <c r="C4009" s="55" t="n"/>
      <c r="D4009" s="55" t="n"/>
      <c r="E4009" s="93" t="n"/>
      <c r="F4009" s="94" t="n"/>
      <c r="G4009" s="94" t="n"/>
      <c r="H4009" s="94" t="n"/>
      <c r="I4009" s="94" t="n"/>
      <c r="J4009" s="55" t="n"/>
      <c r="K4009" s="95" t="n"/>
      <c r="L4009" s="116">
        <f>IF($A4009="","",DATE(YEAR($A4009),MONTH($A4009)+IF(AND(IFERROR(N(INDEX(Übersicht!$M$15:$M$22,MATCH($B4009,Übersicht!$A$15:$A$22,0))),0)&gt;1,DAY($A4009)&gt;=IFERROR(N(INDEX(Übersicht!$M$15:$M$22,MATCH($B4009,Übersicht!$A$15:$A$22,0))),0)),1,0),1))</f>
        <v/>
      </c>
    </row>
    <row r="4010">
      <c r="A4010" s="92" t="n"/>
      <c r="B4010" s="55" t="n"/>
      <c r="C4010" s="55" t="n"/>
      <c r="D4010" s="55" t="n"/>
      <c r="E4010" s="93" t="n"/>
      <c r="F4010" s="94" t="n"/>
      <c r="G4010" s="94" t="n"/>
      <c r="H4010" s="94" t="n"/>
      <c r="I4010" s="94" t="n"/>
      <c r="J4010" s="55" t="n"/>
      <c r="K4010" s="95" t="n"/>
      <c r="L4010" s="116">
        <f>IF($A4010="","",DATE(YEAR($A4010),MONTH($A4010)+IF(AND(IFERROR(N(INDEX(Übersicht!$M$15:$M$22,MATCH($B4010,Übersicht!$A$15:$A$22,0))),0)&gt;1,DAY($A4010)&gt;=IFERROR(N(INDEX(Übersicht!$M$15:$M$22,MATCH($B4010,Übersicht!$A$15:$A$22,0))),0)),1,0),1))</f>
        <v/>
      </c>
    </row>
    <row r="4011">
      <c r="A4011" s="92" t="n"/>
      <c r="B4011" s="55" t="n"/>
      <c r="C4011" s="55" t="n"/>
      <c r="D4011" s="55" t="n"/>
      <c r="E4011" s="93" t="n"/>
      <c r="F4011" s="94" t="n"/>
      <c r="G4011" s="94" t="n"/>
      <c r="H4011" s="94" t="n"/>
      <c r="I4011" s="94" t="n"/>
      <c r="J4011" s="55" t="n"/>
      <c r="K4011" s="95" t="n"/>
      <c r="L4011" s="116">
        <f>IF($A4011="","",DATE(YEAR($A4011),MONTH($A4011)+IF(AND(IFERROR(N(INDEX(Übersicht!$M$15:$M$22,MATCH($B4011,Übersicht!$A$15:$A$22,0))),0)&gt;1,DAY($A4011)&gt;=IFERROR(N(INDEX(Übersicht!$M$15:$M$22,MATCH($B4011,Übersicht!$A$15:$A$22,0))),0)),1,0),1))</f>
        <v/>
      </c>
    </row>
    <row r="4012">
      <c r="A4012" s="92" t="n"/>
      <c r="B4012" s="55" t="n"/>
      <c r="C4012" s="55" t="n"/>
      <c r="D4012" s="55" t="n"/>
      <c r="E4012" s="93" t="n"/>
      <c r="F4012" s="94" t="n"/>
      <c r="G4012" s="94" t="n"/>
      <c r="H4012" s="94" t="n"/>
      <c r="I4012" s="94" t="n"/>
      <c r="J4012" s="55" t="n"/>
      <c r="K4012" s="95" t="n"/>
      <c r="L4012" s="116">
        <f>IF($A4012="","",DATE(YEAR($A4012),MONTH($A4012)+IF(AND(IFERROR(N(INDEX(Übersicht!$M$15:$M$22,MATCH($B4012,Übersicht!$A$15:$A$22,0))),0)&gt;1,DAY($A4012)&gt;=IFERROR(N(INDEX(Übersicht!$M$15:$M$22,MATCH($B4012,Übersicht!$A$15:$A$22,0))),0)),1,0),1))</f>
        <v/>
      </c>
    </row>
    <row r="4013">
      <c r="A4013" s="92" t="n"/>
      <c r="B4013" s="55" t="n"/>
      <c r="C4013" s="55" t="n"/>
      <c r="D4013" s="55" t="n"/>
      <c r="E4013" s="93" t="n"/>
      <c r="F4013" s="94" t="n"/>
      <c r="G4013" s="94" t="n"/>
      <c r="H4013" s="94" t="n"/>
      <c r="I4013" s="94" t="n"/>
      <c r="J4013" s="55" t="n"/>
      <c r="K4013" s="95" t="n"/>
      <c r="L4013" s="116">
        <f>IF($A4013="","",DATE(YEAR($A4013),MONTH($A4013)+IF(AND(IFERROR(N(INDEX(Übersicht!$M$15:$M$22,MATCH($B4013,Übersicht!$A$15:$A$22,0))),0)&gt;1,DAY($A4013)&gt;=IFERROR(N(INDEX(Übersicht!$M$15:$M$22,MATCH($B4013,Übersicht!$A$15:$A$22,0))),0)),1,0),1))</f>
        <v/>
      </c>
    </row>
    <row r="4014">
      <c r="A4014" s="92" t="n"/>
      <c r="B4014" s="55" t="n"/>
      <c r="C4014" s="55" t="n"/>
      <c r="D4014" s="55" t="n"/>
      <c r="E4014" s="93" t="n"/>
      <c r="F4014" s="94" t="n"/>
      <c r="G4014" s="94" t="n"/>
      <c r="H4014" s="94" t="n"/>
      <c r="I4014" s="94" t="n"/>
      <c r="J4014" s="55" t="n"/>
      <c r="K4014" s="95" t="n"/>
      <c r="L4014" s="116">
        <f>IF($A4014="","",DATE(YEAR($A4014),MONTH($A4014)+IF(AND(IFERROR(N(INDEX(Übersicht!$M$15:$M$22,MATCH($B4014,Übersicht!$A$15:$A$22,0))),0)&gt;1,DAY($A4014)&gt;=IFERROR(N(INDEX(Übersicht!$M$15:$M$22,MATCH($B4014,Übersicht!$A$15:$A$22,0))),0)),1,0),1))</f>
        <v/>
      </c>
    </row>
    <row r="4015">
      <c r="A4015" s="92" t="n"/>
      <c r="B4015" s="55" t="n"/>
      <c r="C4015" s="55" t="n"/>
      <c r="D4015" s="55" t="n"/>
      <c r="E4015" s="93" t="n"/>
      <c r="F4015" s="94" t="n"/>
      <c r="G4015" s="94" t="n"/>
      <c r="H4015" s="94" t="n"/>
      <c r="I4015" s="94" t="n"/>
      <c r="J4015" s="55" t="n"/>
      <c r="K4015" s="95" t="n"/>
      <c r="L4015" s="116">
        <f>IF($A4015="","",DATE(YEAR($A4015),MONTH($A4015)+IF(AND(IFERROR(N(INDEX(Übersicht!$M$15:$M$22,MATCH($B4015,Übersicht!$A$15:$A$22,0))),0)&gt;1,DAY($A4015)&gt;=IFERROR(N(INDEX(Übersicht!$M$15:$M$22,MATCH($B4015,Übersicht!$A$15:$A$22,0))),0)),1,0),1))</f>
        <v/>
      </c>
    </row>
    <row r="4016">
      <c r="A4016" s="92" t="n"/>
      <c r="B4016" s="55" t="n"/>
      <c r="C4016" s="55" t="n"/>
      <c r="D4016" s="55" t="n"/>
      <c r="E4016" s="93" t="n"/>
      <c r="F4016" s="94" t="n"/>
      <c r="G4016" s="94" t="n"/>
      <c r="H4016" s="94" t="n"/>
      <c r="I4016" s="94" t="n"/>
      <c r="J4016" s="55" t="n"/>
      <c r="K4016" s="95" t="n"/>
      <c r="L4016" s="116">
        <f>IF($A4016="","",DATE(YEAR($A4016),MONTH($A4016)+IF(AND(IFERROR(N(INDEX(Übersicht!$M$15:$M$22,MATCH($B4016,Übersicht!$A$15:$A$22,0))),0)&gt;1,DAY($A4016)&gt;=IFERROR(N(INDEX(Übersicht!$M$15:$M$22,MATCH($B4016,Übersicht!$A$15:$A$22,0))),0)),1,0),1))</f>
        <v/>
      </c>
    </row>
    <row r="4017">
      <c r="A4017" s="92" t="n"/>
      <c r="B4017" s="55" t="n"/>
      <c r="C4017" s="55" t="n"/>
      <c r="D4017" s="55" t="n"/>
      <c r="E4017" s="93" t="n"/>
      <c r="F4017" s="94" t="n"/>
      <c r="G4017" s="94" t="n"/>
      <c r="H4017" s="94" t="n"/>
      <c r="I4017" s="94" t="n"/>
      <c r="J4017" s="55" t="n"/>
      <c r="K4017" s="95" t="n"/>
      <c r="L4017" s="116">
        <f>IF($A4017="","",DATE(YEAR($A4017),MONTH($A4017)+IF(AND(IFERROR(N(INDEX(Übersicht!$M$15:$M$22,MATCH($B4017,Übersicht!$A$15:$A$22,0))),0)&gt;1,DAY($A4017)&gt;=IFERROR(N(INDEX(Übersicht!$M$15:$M$22,MATCH($B4017,Übersicht!$A$15:$A$22,0))),0)),1,0),1))</f>
        <v/>
      </c>
    </row>
    <row r="4018">
      <c r="A4018" s="92" t="n"/>
      <c r="B4018" s="55" t="n"/>
      <c r="C4018" s="55" t="n"/>
      <c r="D4018" s="55" t="n"/>
      <c r="E4018" s="93" t="n"/>
      <c r="F4018" s="94" t="n"/>
      <c r="G4018" s="94" t="n"/>
      <c r="H4018" s="94" t="n"/>
      <c r="I4018" s="94" t="n"/>
      <c r="J4018" s="55" t="n"/>
      <c r="K4018" s="95" t="n"/>
      <c r="L4018" s="116">
        <f>IF($A4018="","",DATE(YEAR($A4018),MONTH($A4018)+IF(AND(IFERROR(N(INDEX(Übersicht!$M$15:$M$22,MATCH($B4018,Übersicht!$A$15:$A$22,0))),0)&gt;1,DAY($A4018)&gt;=IFERROR(N(INDEX(Übersicht!$M$15:$M$22,MATCH($B4018,Übersicht!$A$15:$A$22,0))),0)),1,0),1))</f>
        <v/>
      </c>
    </row>
    <row r="4019">
      <c r="A4019" s="92" t="n"/>
      <c r="B4019" s="55" t="n"/>
      <c r="C4019" s="55" t="n"/>
      <c r="D4019" s="55" t="n"/>
      <c r="E4019" s="93" t="n"/>
      <c r="F4019" s="94" t="n"/>
      <c r="G4019" s="94" t="n"/>
      <c r="H4019" s="94" t="n"/>
      <c r="I4019" s="94" t="n"/>
      <c r="J4019" s="55" t="n"/>
      <c r="K4019" s="95" t="n"/>
      <c r="L4019" s="116">
        <f>IF($A4019="","",DATE(YEAR($A4019),MONTH($A4019)+IF(AND(IFERROR(N(INDEX(Übersicht!$M$15:$M$22,MATCH($B4019,Übersicht!$A$15:$A$22,0))),0)&gt;1,DAY($A4019)&gt;=IFERROR(N(INDEX(Übersicht!$M$15:$M$22,MATCH($B4019,Übersicht!$A$15:$A$22,0))),0)),1,0),1))</f>
        <v/>
      </c>
    </row>
    <row r="4020">
      <c r="A4020" s="92" t="n"/>
      <c r="B4020" s="55" t="n"/>
      <c r="C4020" s="55" t="n"/>
      <c r="D4020" s="55" t="n"/>
      <c r="E4020" s="93" t="n"/>
      <c r="F4020" s="94" t="n"/>
      <c r="G4020" s="94" t="n"/>
      <c r="H4020" s="94" t="n"/>
      <c r="I4020" s="94" t="n"/>
      <c r="J4020" s="55" t="n"/>
      <c r="K4020" s="95" t="n"/>
      <c r="L4020" s="116">
        <f>IF($A4020="","",DATE(YEAR($A4020),MONTH($A4020)+IF(AND(IFERROR(N(INDEX(Übersicht!$M$15:$M$22,MATCH($B4020,Übersicht!$A$15:$A$22,0))),0)&gt;1,DAY($A4020)&gt;=IFERROR(N(INDEX(Übersicht!$M$15:$M$22,MATCH($B4020,Übersicht!$A$15:$A$22,0))),0)),1,0),1))</f>
        <v/>
      </c>
    </row>
    <row r="4021">
      <c r="A4021" s="92" t="n"/>
      <c r="B4021" s="55" t="n"/>
      <c r="C4021" s="55" t="n"/>
      <c r="D4021" s="55" t="n"/>
      <c r="E4021" s="93" t="n"/>
      <c r="F4021" s="94" t="n"/>
      <c r="G4021" s="94" t="n"/>
      <c r="H4021" s="94" t="n"/>
      <c r="I4021" s="94" t="n"/>
      <c r="J4021" s="55" t="n"/>
      <c r="K4021" s="95" t="n"/>
      <c r="L4021" s="116">
        <f>IF($A4021="","",DATE(YEAR($A4021),MONTH($A4021)+IF(AND(IFERROR(N(INDEX(Übersicht!$M$15:$M$22,MATCH($B4021,Übersicht!$A$15:$A$22,0))),0)&gt;1,DAY($A4021)&gt;=IFERROR(N(INDEX(Übersicht!$M$15:$M$22,MATCH($B4021,Übersicht!$A$15:$A$22,0))),0)),1,0),1))</f>
        <v/>
      </c>
    </row>
    <row r="4022">
      <c r="A4022" s="92" t="n"/>
      <c r="B4022" s="55" t="n"/>
      <c r="C4022" s="55" t="n"/>
      <c r="D4022" s="55" t="n"/>
      <c r="E4022" s="93" t="n"/>
      <c r="F4022" s="94" t="n"/>
      <c r="G4022" s="94" t="n"/>
      <c r="H4022" s="94" t="n"/>
      <c r="I4022" s="94" t="n"/>
      <c r="J4022" s="55" t="n"/>
      <c r="K4022" s="95" t="n"/>
      <c r="L4022" s="116">
        <f>IF($A4022="","",DATE(YEAR($A4022),MONTH($A4022)+IF(AND(IFERROR(N(INDEX(Übersicht!$M$15:$M$22,MATCH($B4022,Übersicht!$A$15:$A$22,0))),0)&gt;1,DAY($A4022)&gt;=IFERROR(N(INDEX(Übersicht!$M$15:$M$22,MATCH($B4022,Übersicht!$A$15:$A$22,0))),0)),1,0),1))</f>
        <v/>
      </c>
    </row>
    <row r="4023">
      <c r="A4023" s="92" t="n"/>
      <c r="B4023" s="55" t="n"/>
      <c r="C4023" s="55" t="n"/>
      <c r="D4023" s="55" t="n"/>
      <c r="E4023" s="93" t="n"/>
      <c r="F4023" s="94" t="n"/>
      <c r="G4023" s="94" t="n"/>
      <c r="H4023" s="94" t="n"/>
      <c r="I4023" s="94" t="n"/>
      <c r="J4023" s="55" t="n"/>
      <c r="K4023" s="95" t="n"/>
      <c r="L4023" s="116">
        <f>IF($A4023="","",DATE(YEAR($A4023),MONTH($A4023)+IF(AND(IFERROR(N(INDEX(Übersicht!$M$15:$M$22,MATCH($B4023,Übersicht!$A$15:$A$22,0))),0)&gt;1,DAY($A4023)&gt;=IFERROR(N(INDEX(Übersicht!$M$15:$M$22,MATCH($B4023,Übersicht!$A$15:$A$22,0))),0)),1,0),1))</f>
        <v/>
      </c>
    </row>
    <row r="4024">
      <c r="A4024" s="92" t="n"/>
      <c r="B4024" s="55" t="n"/>
      <c r="C4024" s="55" t="n"/>
      <c r="D4024" s="55" t="n"/>
      <c r="E4024" s="93" t="n"/>
      <c r="F4024" s="94" t="n"/>
      <c r="G4024" s="94" t="n"/>
      <c r="H4024" s="94" t="n"/>
      <c r="I4024" s="94" t="n"/>
      <c r="J4024" s="55" t="n"/>
      <c r="K4024" s="95" t="n"/>
      <c r="L4024" s="116">
        <f>IF($A4024="","",DATE(YEAR($A4024),MONTH($A4024)+IF(AND(IFERROR(N(INDEX(Übersicht!$M$15:$M$22,MATCH($B4024,Übersicht!$A$15:$A$22,0))),0)&gt;1,DAY($A4024)&gt;=IFERROR(N(INDEX(Übersicht!$M$15:$M$22,MATCH($B4024,Übersicht!$A$15:$A$22,0))),0)),1,0),1))</f>
        <v/>
      </c>
    </row>
    <row r="4025">
      <c r="A4025" s="92" t="n"/>
      <c r="B4025" s="55" t="n"/>
      <c r="C4025" s="55" t="n"/>
      <c r="D4025" s="55" t="n"/>
      <c r="E4025" s="93" t="n"/>
      <c r="F4025" s="94" t="n"/>
      <c r="G4025" s="94" t="n"/>
      <c r="H4025" s="94" t="n"/>
      <c r="I4025" s="94" t="n"/>
      <c r="J4025" s="55" t="n"/>
      <c r="K4025" s="95" t="n"/>
      <c r="L4025" s="116">
        <f>IF($A4025="","",DATE(YEAR($A4025),MONTH($A4025)+IF(AND(IFERROR(N(INDEX(Übersicht!$M$15:$M$22,MATCH($B4025,Übersicht!$A$15:$A$22,0))),0)&gt;1,DAY($A4025)&gt;=IFERROR(N(INDEX(Übersicht!$M$15:$M$22,MATCH($B4025,Übersicht!$A$15:$A$22,0))),0)),1,0),1))</f>
        <v/>
      </c>
    </row>
    <row r="4026">
      <c r="A4026" s="92" t="n"/>
      <c r="B4026" s="55" t="n"/>
      <c r="C4026" s="55" t="n"/>
      <c r="D4026" s="55" t="n"/>
      <c r="E4026" s="93" t="n"/>
      <c r="F4026" s="94" t="n"/>
      <c r="G4026" s="94" t="n"/>
      <c r="H4026" s="94" t="n"/>
      <c r="I4026" s="94" t="n"/>
      <c r="J4026" s="55" t="n"/>
      <c r="K4026" s="95" t="n"/>
      <c r="L4026" s="116">
        <f>IF($A4026="","",DATE(YEAR($A4026),MONTH($A4026)+IF(AND(IFERROR(N(INDEX(Übersicht!$M$15:$M$22,MATCH($B4026,Übersicht!$A$15:$A$22,0))),0)&gt;1,DAY($A4026)&gt;=IFERROR(N(INDEX(Übersicht!$M$15:$M$22,MATCH($B4026,Übersicht!$A$15:$A$22,0))),0)),1,0),1))</f>
        <v/>
      </c>
    </row>
    <row r="4027">
      <c r="A4027" s="92" t="n"/>
      <c r="B4027" s="55" t="n"/>
      <c r="C4027" s="55" t="n"/>
      <c r="D4027" s="55" t="n"/>
      <c r="E4027" s="93" t="n"/>
      <c r="F4027" s="94" t="n"/>
      <c r="G4027" s="94" t="n"/>
      <c r="H4027" s="94" t="n"/>
      <c r="I4027" s="94" t="n"/>
      <c r="J4027" s="55" t="n"/>
      <c r="K4027" s="95" t="n"/>
      <c r="L4027" s="116">
        <f>IF($A4027="","",DATE(YEAR($A4027),MONTH($A4027)+IF(AND(IFERROR(N(INDEX(Übersicht!$M$15:$M$22,MATCH($B4027,Übersicht!$A$15:$A$22,0))),0)&gt;1,DAY($A4027)&gt;=IFERROR(N(INDEX(Übersicht!$M$15:$M$22,MATCH($B4027,Übersicht!$A$15:$A$22,0))),0)),1,0),1))</f>
        <v/>
      </c>
    </row>
    <row r="4028">
      <c r="A4028" s="92" t="n"/>
      <c r="B4028" s="55" t="n"/>
      <c r="C4028" s="55" t="n"/>
      <c r="D4028" s="55" t="n"/>
      <c r="E4028" s="93" t="n"/>
      <c r="F4028" s="94" t="n"/>
      <c r="G4028" s="94" t="n"/>
      <c r="H4028" s="94" t="n"/>
      <c r="I4028" s="94" t="n"/>
      <c r="J4028" s="55" t="n"/>
      <c r="K4028" s="95" t="n"/>
      <c r="L4028" s="116">
        <f>IF($A4028="","",DATE(YEAR($A4028),MONTH($A4028)+IF(AND(IFERROR(N(INDEX(Übersicht!$M$15:$M$22,MATCH($B4028,Übersicht!$A$15:$A$22,0))),0)&gt;1,DAY($A4028)&gt;=IFERROR(N(INDEX(Übersicht!$M$15:$M$22,MATCH($B4028,Übersicht!$A$15:$A$22,0))),0)),1,0),1))</f>
        <v/>
      </c>
    </row>
    <row r="4029">
      <c r="A4029" s="92" t="n"/>
      <c r="B4029" s="55" t="n"/>
      <c r="C4029" s="55" t="n"/>
      <c r="D4029" s="55" t="n"/>
      <c r="E4029" s="93" t="n"/>
      <c r="F4029" s="94" t="n"/>
      <c r="G4029" s="94" t="n"/>
      <c r="H4029" s="94" t="n"/>
      <c r="I4029" s="94" t="n"/>
      <c r="J4029" s="55" t="n"/>
      <c r="K4029" s="95" t="n"/>
      <c r="L4029" s="116">
        <f>IF($A4029="","",DATE(YEAR($A4029),MONTH($A4029)+IF(AND(IFERROR(N(INDEX(Übersicht!$M$15:$M$22,MATCH($B4029,Übersicht!$A$15:$A$22,0))),0)&gt;1,DAY($A4029)&gt;=IFERROR(N(INDEX(Übersicht!$M$15:$M$22,MATCH($B4029,Übersicht!$A$15:$A$22,0))),0)),1,0),1))</f>
        <v/>
      </c>
    </row>
    <row r="4030">
      <c r="A4030" s="92" t="n"/>
      <c r="B4030" s="55" t="n"/>
      <c r="C4030" s="55" t="n"/>
      <c r="D4030" s="55" t="n"/>
      <c r="E4030" s="93" t="n"/>
      <c r="F4030" s="94" t="n"/>
      <c r="G4030" s="94" t="n"/>
      <c r="H4030" s="94" t="n"/>
      <c r="I4030" s="94" t="n"/>
      <c r="J4030" s="55" t="n"/>
      <c r="K4030" s="95" t="n"/>
      <c r="L4030" s="116">
        <f>IF($A4030="","",DATE(YEAR($A4030),MONTH($A4030)+IF(AND(IFERROR(N(INDEX(Übersicht!$M$15:$M$22,MATCH($B4030,Übersicht!$A$15:$A$22,0))),0)&gt;1,DAY($A4030)&gt;=IFERROR(N(INDEX(Übersicht!$M$15:$M$22,MATCH($B4030,Übersicht!$A$15:$A$22,0))),0)),1,0),1))</f>
        <v/>
      </c>
    </row>
    <row r="4031">
      <c r="A4031" s="92" t="n"/>
      <c r="B4031" s="55" t="n"/>
      <c r="C4031" s="55" t="n"/>
      <c r="D4031" s="55" t="n"/>
      <c r="E4031" s="93" t="n"/>
      <c r="F4031" s="94" t="n"/>
      <c r="G4031" s="94" t="n"/>
      <c r="H4031" s="94" t="n"/>
      <c r="I4031" s="94" t="n"/>
      <c r="J4031" s="55" t="n"/>
      <c r="K4031" s="95" t="n"/>
      <c r="L4031" s="116">
        <f>IF($A4031="","",DATE(YEAR($A4031),MONTH($A4031)+IF(AND(IFERROR(N(INDEX(Übersicht!$M$15:$M$22,MATCH($B4031,Übersicht!$A$15:$A$22,0))),0)&gt;1,DAY($A4031)&gt;=IFERROR(N(INDEX(Übersicht!$M$15:$M$22,MATCH($B4031,Übersicht!$A$15:$A$22,0))),0)),1,0),1))</f>
        <v/>
      </c>
    </row>
    <row r="4032">
      <c r="A4032" s="92" t="n"/>
      <c r="B4032" s="55" t="n"/>
      <c r="C4032" s="55" t="n"/>
      <c r="D4032" s="55" t="n"/>
      <c r="E4032" s="93" t="n"/>
      <c r="F4032" s="94" t="n"/>
      <c r="G4032" s="94" t="n"/>
      <c r="H4032" s="94" t="n"/>
      <c r="I4032" s="94" t="n"/>
      <c r="J4032" s="55" t="n"/>
      <c r="K4032" s="95" t="n"/>
      <c r="L4032" s="116">
        <f>IF($A4032="","",DATE(YEAR($A4032),MONTH($A4032)+IF(AND(IFERROR(N(INDEX(Übersicht!$M$15:$M$22,MATCH($B4032,Übersicht!$A$15:$A$22,0))),0)&gt;1,DAY($A4032)&gt;=IFERROR(N(INDEX(Übersicht!$M$15:$M$22,MATCH($B4032,Übersicht!$A$15:$A$22,0))),0)),1,0),1))</f>
        <v/>
      </c>
    </row>
    <row r="4033">
      <c r="A4033" s="92" t="n"/>
      <c r="B4033" s="55" t="n"/>
      <c r="C4033" s="55" t="n"/>
      <c r="D4033" s="55" t="n"/>
      <c r="E4033" s="93" t="n"/>
      <c r="F4033" s="94" t="n"/>
      <c r="G4033" s="94" t="n"/>
      <c r="H4033" s="94" t="n"/>
      <c r="I4033" s="94" t="n"/>
      <c r="J4033" s="55" t="n"/>
      <c r="K4033" s="95" t="n"/>
      <c r="L4033" s="116">
        <f>IF($A4033="","",DATE(YEAR($A4033),MONTH($A4033)+IF(AND(IFERROR(N(INDEX(Übersicht!$M$15:$M$22,MATCH($B4033,Übersicht!$A$15:$A$22,0))),0)&gt;1,DAY($A4033)&gt;=IFERROR(N(INDEX(Übersicht!$M$15:$M$22,MATCH($B4033,Übersicht!$A$15:$A$22,0))),0)),1,0),1))</f>
        <v/>
      </c>
    </row>
    <row r="4034">
      <c r="A4034" s="92" t="n"/>
      <c r="B4034" s="55" t="n"/>
      <c r="C4034" s="55" t="n"/>
      <c r="D4034" s="55" t="n"/>
      <c r="E4034" s="93" t="n"/>
      <c r="F4034" s="94" t="n"/>
      <c r="G4034" s="94" t="n"/>
      <c r="H4034" s="94" t="n"/>
      <c r="I4034" s="94" t="n"/>
      <c r="J4034" s="55" t="n"/>
      <c r="K4034" s="95" t="n"/>
      <c r="L4034" s="116">
        <f>IF($A4034="","",DATE(YEAR($A4034),MONTH($A4034)+IF(AND(IFERROR(N(INDEX(Übersicht!$M$15:$M$22,MATCH($B4034,Übersicht!$A$15:$A$22,0))),0)&gt;1,DAY($A4034)&gt;=IFERROR(N(INDEX(Übersicht!$M$15:$M$22,MATCH($B4034,Übersicht!$A$15:$A$22,0))),0)),1,0),1))</f>
        <v/>
      </c>
    </row>
    <row r="4035">
      <c r="A4035" s="92" t="n"/>
      <c r="B4035" s="55" t="n"/>
      <c r="C4035" s="55" t="n"/>
      <c r="D4035" s="55" t="n"/>
      <c r="E4035" s="93" t="n"/>
      <c r="F4035" s="94" t="n"/>
      <c r="G4035" s="94" t="n"/>
      <c r="H4035" s="94" t="n"/>
      <c r="I4035" s="94" t="n"/>
      <c r="J4035" s="55" t="n"/>
      <c r="K4035" s="95" t="n"/>
      <c r="L4035" s="116">
        <f>IF($A4035="","",DATE(YEAR($A4035),MONTH($A4035)+IF(AND(IFERROR(N(INDEX(Übersicht!$M$15:$M$22,MATCH($B4035,Übersicht!$A$15:$A$22,0))),0)&gt;1,DAY($A4035)&gt;=IFERROR(N(INDEX(Übersicht!$M$15:$M$22,MATCH($B4035,Übersicht!$A$15:$A$22,0))),0)),1,0),1))</f>
        <v/>
      </c>
    </row>
    <row r="4036">
      <c r="A4036" s="92" t="n"/>
      <c r="B4036" s="55" t="n"/>
      <c r="C4036" s="55" t="n"/>
      <c r="D4036" s="55" t="n"/>
      <c r="E4036" s="93" t="n"/>
      <c r="F4036" s="94" t="n"/>
      <c r="G4036" s="94" t="n"/>
      <c r="H4036" s="94" t="n"/>
      <c r="I4036" s="94" t="n"/>
      <c r="J4036" s="55" t="n"/>
      <c r="K4036" s="95" t="n"/>
      <c r="L4036" s="116">
        <f>IF($A4036="","",DATE(YEAR($A4036),MONTH($A4036)+IF(AND(IFERROR(N(INDEX(Übersicht!$M$15:$M$22,MATCH($B4036,Übersicht!$A$15:$A$22,0))),0)&gt;1,DAY($A4036)&gt;=IFERROR(N(INDEX(Übersicht!$M$15:$M$22,MATCH($B4036,Übersicht!$A$15:$A$22,0))),0)),1,0),1))</f>
        <v/>
      </c>
    </row>
    <row r="4037">
      <c r="A4037" s="92" t="n"/>
      <c r="B4037" s="55" t="n"/>
      <c r="C4037" s="55" t="n"/>
      <c r="D4037" s="55" t="n"/>
      <c r="E4037" s="93" t="n"/>
      <c r="F4037" s="94" t="n"/>
      <c r="G4037" s="94" t="n"/>
      <c r="H4037" s="94" t="n"/>
      <c r="I4037" s="94" t="n"/>
      <c r="J4037" s="55" t="n"/>
      <c r="K4037" s="95" t="n"/>
      <c r="L4037" s="116">
        <f>IF($A4037="","",DATE(YEAR($A4037),MONTH($A4037)+IF(AND(IFERROR(N(INDEX(Übersicht!$M$15:$M$22,MATCH($B4037,Übersicht!$A$15:$A$22,0))),0)&gt;1,DAY($A4037)&gt;=IFERROR(N(INDEX(Übersicht!$M$15:$M$22,MATCH($B4037,Übersicht!$A$15:$A$22,0))),0)),1,0),1))</f>
        <v/>
      </c>
    </row>
    <row r="4038">
      <c r="A4038" s="92" t="n"/>
      <c r="B4038" s="55" t="n"/>
      <c r="C4038" s="55" t="n"/>
      <c r="D4038" s="55" t="n"/>
      <c r="E4038" s="93" t="n"/>
      <c r="F4038" s="94" t="n"/>
      <c r="G4038" s="94" t="n"/>
      <c r="H4038" s="94" t="n"/>
      <c r="I4038" s="94" t="n"/>
      <c r="J4038" s="55" t="n"/>
      <c r="K4038" s="95" t="n"/>
      <c r="L4038" s="116">
        <f>IF($A4038="","",DATE(YEAR($A4038),MONTH($A4038)+IF(AND(IFERROR(N(INDEX(Übersicht!$M$15:$M$22,MATCH($B4038,Übersicht!$A$15:$A$22,0))),0)&gt;1,DAY($A4038)&gt;=IFERROR(N(INDEX(Übersicht!$M$15:$M$22,MATCH($B4038,Übersicht!$A$15:$A$22,0))),0)),1,0),1))</f>
        <v/>
      </c>
    </row>
    <row r="4039">
      <c r="A4039" s="92" t="n"/>
      <c r="B4039" s="55" t="n"/>
      <c r="C4039" s="55" t="n"/>
      <c r="D4039" s="55" t="n"/>
      <c r="E4039" s="93" t="n"/>
      <c r="F4039" s="94" t="n"/>
      <c r="G4039" s="94" t="n"/>
      <c r="H4039" s="94" t="n"/>
      <c r="I4039" s="94" t="n"/>
      <c r="J4039" s="55" t="n"/>
      <c r="K4039" s="95" t="n"/>
      <c r="L4039" s="116">
        <f>IF($A4039="","",DATE(YEAR($A4039),MONTH($A4039)+IF(AND(IFERROR(N(INDEX(Übersicht!$M$15:$M$22,MATCH($B4039,Übersicht!$A$15:$A$22,0))),0)&gt;1,DAY($A4039)&gt;=IFERROR(N(INDEX(Übersicht!$M$15:$M$22,MATCH($B4039,Übersicht!$A$15:$A$22,0))),0)),1,0),1))</f>
        <v/>
      </c>
    </row>
    <row r="4040">
      <c r="A4040" s="92" t="n"/>
      <c r="B4040" s="55" t="n"/>
      <c r="C4040" s="55" t="n"/>
      <c r="D4040" s="55" t="n"/>
      <c r="E4040" s="93" t="n"/>
      <c r="F4040" s="94" t="n"/>
      <c r="G4040" s="94" t="n"/>
      <c r="H4040" s="94" t="n"/>
      <c r="I4040" s="94" t="n"/>
      <c r="J4040" s="55" t="n"/>
      <c r="K4040" s="95" t="n"/>
      <c r="L4040" s="116">
        <f>IF($A4040="","",DATE(YEAR($A4040),MONTH($A4040)+IF(AND(IFERROR(N(INDEX(Übersicht!$M$15:$M$22,MATCH($B4040,Übersicht!$A$15:$A$22,0))),0)&gt;1,DAY($A4040)&gt;=IFERROR(N(INDEX(Übersicht!$M$15:$M$22,MATCH($B4040,Übersicht!$A$15:$A$22,0))),0)),1,0),1))</f>
        <v/>
      </c>
    </row>
    <row r="4041">
      <c r="A4041" s="92" t="n"/>
      <c r="B4041" s="55" t="n"/>
      <c r="C4041" s="55" t="n"/>
      <c r="D4041" s="55" t="n"/>
      <c r="E4041" s="93" t="n"/>
      <c r="F4041" s="94" t="n"/>
      <c r="G4041" s="94" t="n"/>
      <c r="H4041" s="94" t="n"/>
      <c r="I4041" s="94" t="n"/>
      <c r="J4041" s="55" t="n"/>
      <c r="K4041" s="95" t="n"/>
      <c r="L4041" s="116">
        <f>IF($A4041="","",DATE(YEAR($A4041),MONTH($A4041)+IF(AND(IFERROR(N(INDEX(Übersicht!$M$15:$M$22,MATCH($B4041,Übersicht!$A$15:$A$22,0))),0)&gt;1,DAY($A4041)&gt;=IFERROR(N(INDEX(Übersicht!$M$15:$M$22,MATCH($B4041,Übersicht!$A$15:$A$22,0))),0)),1,0),1))</f>
        <v/>
      </c>
    </row>
    <row r="4042">
      <c r="A4042" s="92" t="n"/>
      <c r="B4042" s="55" t="n"/>
      <c r="C4042" s="55" t="n"/>
      <c r="D4042" s="55" t="n"/>
      <c r="E4042" s="93" t="n"/>
      <c r="F4042" s="94" t="n"/>
      <c r="G4042" s="94" t="n"/>
      <c r="H4042" s="94" t="n"/>
      <c r="I4042" s="94" t="n"/>
      <c r="J4042" s="55" t="n"/>
      <c r="K4042" s="95" t="n"/>
      <c r="L4042" s="116">
        <f>IF($A4042="","",DATE(YEAR($A4042),MONTH($A4042)+IF(AND(IFERROR(N(INDEX(Übersicht!$M$15:$M$22,MATCH($B4042,Übersicht!$A$15:$A$22,0))),0)&gt;1,DAY($A4042)&gt;=IFERROR(N(INDEX(Übersicht!$M$15:$M$22,MATCH($B4042,Übersicht!$A$15:$A$22,0))),0)),1,0),1))</f>
        <v/>
      </c>
    </row>
    <row r="4043">
      <c r="A4043" s="92" t="n"/>
      <c r="B4043" s="55" t="n"/>
      <c r="C4043" s="55" t="n"/>
      <c r="D4043" s="55" t="n"/>
      <c r="E4043" s="93" t="n"/>
      <c r="F4043" s="94" t="n"/>
      <c r="G4043" s="94" t="n"/>
      <c r="H4043" s="94" t="n"/>
      <c r="I4043" s="94" t="n"/>
      <c r="J4043" s="55" t="n"/>
      <c r="K4043" s="95" t="n"/>
      <c r="L4043" s="116">
        <f>IF($A4043="","",DATE(YEAR($A4043),MONTH($A4043)+IF(AND(IFERROR(N(INDEX(Übersicht!$M$15:$M$22,MATCH($B4043,Übersicht!$A$15:$A$22,0))),0)&gt;1,DAY($A4043)&gt;=IFERROR(N(INDEX(Übersicht!$M$15:$M$22,MATCH($B4043,Übersicht!$A$15:$A$22,0))),0)),1,0),1))</f>
        <v/>
      </c>
    </row>
    <row r="4044">
      <c r="A4044" s="92" t="n"/>
      <c r="B4044" s="55" t="n"/>
      <c r="C4044" s="55" t="n"/>
      <c r="D4044" s="55" t="n"/>
      <c r="E4044" s="93" t="n"/>
      <c r="F4044" s="94" t="n"/>
      <c r="G4044" s="94" t="n"/>
      <c r="H4044" s="94" t="n"/>
      <c r="I4044" s="94" t="n"/>
      <c r="J4044" s="55" t="n"/>
      <c r="K4044" s="95" t="n"/>
      <c r="L4044" s="116">
        <f>IF($A4044="","",DATE(YEAR($A4044),MONTH($A4044)+IF(AND(IFERROR(N(INDEX(Übersicht!$M$15:$M$22,MATCH($B4044,Übersicht!$A$15:$A$22,0))),0)&gt;1,DAY($A4044)&gt;=IFERROR(N(INDEX(Übersicht!$M$15:$M$22,MATCH($B4044,Übersicht!$A$15:$A$22,0))),0)),1,0),1))</f>
        <v/>
      </c>
    </row>
    <row r="4045">
      <c r="A4045" s="92" t="n"/>
      <c r="B4045" s="55" t="n"/>
      <c r="C4045" s="55" t="n"/>
      <c r="D4045" s="55" t="n"/>
      <c r="E4045" s="93" t="n"/>
      <c r="F4045" s="94" t="n"/>
      <c r="G4045" s="94" t="n"/>
      <c r="H4045" s="94" t="n"/>
      <c r="I4045" s="94" t="n"/>
      <c r="J4045" s="55" t="n"/>
      <c r="K4045" s="95" t="n"/>
      <c r="L4045" s="116">
        <f>IF($A4045="","",DATE(YEAR($A4045),MONTH($A4045)+IF(AND(IFERROR(N(INDEX(Übersicht!$M$15:$M$22,MATCH($B4045,Übersicht!$A$15:$A$22,0))),0)&gt;1,DAY($A4045)&gt;=IFERROR(N(INDEX(Übersicht!$M$15:$M$22,MATCH($B4045,Übersicht!$A$15:$A$22,0))),0)),1,0),1))</f>
        <v/>
      </c>
    </row>
    <row r="4046">
      <c r="A4046" s="92" t="n"/>
      <c r="B4046" s="55" t="n"/>
      <c r="C4046" s="55" t="n"/>
      <c r="D4046" s="55" t="n"/>
      <c r="E4046" s="93" t="n"/>
      <c r="F4046" s="94" t="n"/>
      <c r="G4046" s="94" t="n"/>
      <c r="H4046" s="94" t="n"/>
      <c r="I4046" s="94" t="n"/>
      <c r="J4046" s="55" t="n"/>
      <c r="K4046" s="95" t="n"/>
      <c r="L4046" s="116">
        <f>IF($A4046="","",DATE(YEAR($A4046),MONTH($A4046)+IF(AND(IFERROR(N(INDEX(Übersicht!$M$15:$M$22,MATCH($B4046,Übersicht!$A$15:$A$22,0))),0)&gt;1,DAY($A4046)&gt;=IFERROR(N(INDEX(Übersicht!$M$15:$M$22,MATCH($B4046,Übersicht!$A$15:$A$22,0))),0)),1,0),1))</f>
        <v/>
      </c>
    </row>
    <row r="4047">
      <c r="A4047" s="92" t="n"/>
      <c r="B4047" s="55" t="n"/>
      <c r="C4047" s="55" t="n"/>
      <c r="D4047" s="55" t="n"/>
      <c r="E4047" s="93" t="n"/>
      <c r="F4047" s="94" t="n"/>
      <c r="G4047" s="94" t="n"/>
      <c r="H4047" s="94" t="n"/>
      <c r="I4047" s="94" t="n"/>
      <c r="J4047" s="55" t="n"/>
      <c r="K4047" s="95" t="n"/>
      <c r="L4047" s="116">
        <f>IF($A4047="","",DATE(YEAR($A4047),MONTH($A4047)+IF(AND(IFERROR(N(INDEX(Übersicht!$M$15:$M$22,MATCH($B4047,Übersicht!$A$15:$A$22,0))),0)&gt;1,DAY($A4047)&gt;=IFERROR(N(INDEX(Übersicht!$M$15:$M$22,MATCH($B4047,Übersicht!$A$15:$A$22,0))),0)),1,0),1))</f>
        <v/>
      </c>
    </row>
    <row r="4048">
      <c r="A4048" s="92" t="n"/>
      <c r="B4048" s="55" t="n"/>
      <c r="C4048" s="55" t="n"/>
      <c r="D4048" s="55" t="n"/>
      <c r="E4048" s="93" t="n"/>
      <c r="F4048" s="94" t="n"/>
      <c r="G4048" s="94" t="n"/>
      <c r="H4048" s="94" t="n"/>
      <c r="I4048" s="94" t="n"/>
      <c r="J4048" s="55" t="n"/>
      <c r="K4048" s="95" t="n"/>
      <c r="L4048" s="116">
        <f>IF($A4048="","",DATE(YEAR($A4048),MONTH($A4048)+IF(AND(IFERROR(N(INDEX(Übersicht!$M$15:$M$22,MATCH($B4048,Übersicht!$A$15:$A$22,0))),0)&gt;1,DAY($A4048)&gt;=IFERROR(N(INDEX(Übersicht!$M$15:$M$22,MATCH($B4048,Übersicht!$A$15:$A$22,0))),0)),1,0),1))</f>
        <v/>
      </c>
    </row>
    <row r="4049">
      <c r="A4049" s="92" t="n"/>
      <c r="B4049" s="55" t="n"/>
      <c r="C4049" s="55" t="n"/>
      <c r="D4049" s="55" t="n"/>
      <c r="E4049" s="93" t="n"/>
      <c r="F4049" s="94" t="n"/>
      <c r="G4049" s="94" t="n"/>
      <c r="H4049" s="94" t="n"/>
      <c r="I4049" s="94" t="n"/>
      <c r="J4049" s="55" t="n"/>
      <c r="K4049" s="95" t="n"/>
      <c r="L4049" s="116">
        <f>IF($A4049="","",DATE(YEAR($A4049),MONTH($A4049)+IF(AND(IFERROR(N(INDEX(Übersicht!$M$15:$M$22,MATCH($B4049,Übersicht!$A$15:$A$22,0))),0)&gt;1,DAY($A4049)&gt;=IFERROR(N(INDEX(Übersicht!$M$15:$M$22,MATCH($B4049,Übersicht!$A$15:$A$22,0))),0)),1,0),1))</f>
        <v/>
      </c>
    </row>
    <row r="4050">
      <c r="A4050" s="92" t="n"/>
      <c r="B4050" s="55" t="n"/>
      <c r="C4050" s="55" t="n"/>
      <c r="D4050" s="55" t="n"/>
      <c r="E4050" s="93" t="n"/>
      <c r="F4050" s="94" t="n"/>
      <c r="G4050" s="94" t="n"/>
      <c r="H4050" s="94" t="n"/>
      <c r="I4050" s="94" t="n"/>
      <c r="J4050" s="55" t="n"/>
      <c r="K4050" s="95" t="n"/>
      <c r="L4050" s="116">
        <f>IF($A4050="","",DATE(YEAR($A4050),MONTH($A4050)+IF(AND(IFERROR(N(INDEX(Übersicht!$M$15:$M$22,MATCH($B4050,Übersicht!$A$15:$A$22,0))),0)&gt;1,DAY($A4050)&gt;=IFERROR(N(INDEX(Übersicht!$M$15:$M$22,MATCH($B4050,Übersicht!$A$15:$A$22,0))),0)),1,0),1))</f>
        <v/>
      </c>
    </row>
    <row r="4051">
      <c r="A4051" s="92" t="n"/>
      <c r="B4051" s="55" t="n"/>
      <c r="C4051" s="55" t="n"/>
      <c r="D4051" s="55" t="n"/>
      <c r="E4051" s="93" t="n"/>
      <c r="F4051" s="94" t="n"/>
      <c r="G4051" s="94" t="n"/>
      <c r="H4051" s="94" t="n"/>
      <c r="I4051" s="94" t="n"/>
      <c r="J4051" s="55" t="n"/>
      <c r="K4051" s="95" t="n"/>
      <c r="L4051" s="116">
        <f>IF($A4051="","",DATE(YEAR($A4051),MONTH($A4051)+IF(AND(IFERROR(N(INDEX(Übersicht!$M$15:$M$22,MATCH($B4051,Übersicht!$A$15:$A$22,0))),0)&gt;1,DAY($A4051)&gt;=IFERROR(N(INDEX(Übersicht!$M$15:$M$22,MATCH($B4051,Übersicht!$A$15:$A$22,0))),0)),1,0),1))</f>
        <v/>
      </c>
    </row>
    <row r="4052">
      <c r="A4052" s="92" t="n"/>
      <c r="B4052" s="55" t="n"/>
      <c r="C4052" s="55" t="n"/>
      <c r="D4052" s="55" t="n"/>
      <c r="E4052" s="93" t="n"/>
      <c r="F4052" s="94" t="n"/>
      <c r="G4052" s="94" t="n"/>
      <c r="H4052" s="94" t="n"/>
      <c r="I4052" s="94" t="n"/>
      <c r="J4052" s="55" t="n"/>
      <c r="K4052" s="95" t="n"/>
      <c r="L4052" s="116">
        <f>IF($A4052="","",DATE(YEAR($A4052),MONTH($A4052)+IF(AND(IFERROR(N(INDEX(Übersicht!$M$15:$M$22,MATCH($B4052,Übersicht!$A$15:$A$22,0))),0)&gt;1,DAY($A4052)&gt;=IFERROR(N(INDEX(Übersicht!$M$15:$M$22,MATCH($B4052,Übersicht!$A$15:$A$22,0))),0)),1,0),1))</f>
        <v/>
      </c>
    </row>
    <row r="4053">
      <c r="A4053" s="92" t="n"/>
      <c r="B4053" s="55" t="n"/>
      <c r="C4053" s="55" t="n"/>
      <c r="D4053" s="55" t="n"/>
      <c r="E4053" s="93" t="n"/>
      <c r="F4053" s="94" t="n"/>
      <c r="G4053" s="94" t="n"/>
      <c r="H4053" s="94" t="n"/>
      <c r="I4053" s="94" t="n"/>
      <c r="J4053" s="55" t="n"/>
      <c r="K4053" s="95" t="n"/>
      <c r="L4053" s="116">
        <f>IF($A4053="","",DATE(YEAR($A4053),MONTH($A4053)+IF(AND(IFERROR(N(INDEX(Übersicht!$M$15:$M$22,MATCH($B4053,Übersicht!$A$15:$A$22,0))),0)&gt;1,DAY($A4053)&gt;=IFERROR(N(INDEX(Übersicht!$M$15:$M$22,MATCH($B4053,Übersicht!$A$15:$A$22,0))),0)),1,0),1))</f>
        <v/>
      </c>
    </row>
    <row r="4054">
      <c r="A4054" s="92" t="n"/>
      <c r="B4054" s="55" t="n"/>
      <c r="C4054" s="55" t="n"/>
      <c r="D4054" s="55" t="n"/>
      <c r="E4054" s="93" t="n"/>
      <c r="F4054" s="94" t="n"/>
      <c r="G4054" s="94" t="n"/>
      <c r="H4054" s="94" t="n"/>
      <c r="I4054" s="94" t="n"/>
      <c r="J4054" s="55" t="n"/>
      <c r="K4054" s="95" t="n"/>
      <c r="L4054" s="116">
        <f>IF($A4054="","",DATE(YEAR($A4054),MONTH($A4054)+IF(AND(IFERROR(N(INDEX(Übersicht!$M$15:$M$22,MATCH($B4054,Übersicht!$A$15:$A$22,0))),0)&gt;1,DAY($A4054)&gt;=IFERROR(N(INDEX(Übersicht!$M$15:$M$22,MATCH($B4054,Übersicht!$A$15:$A$22,0))),0)),1,0),1))</f>
        <v/>
      </c>
    </row>
    <row r="4055">
      <c r="A4055" s="92" t="n"/>
      <c r="B4055" s="55" t="n"/>
      <c r="C4055" s="55" t="n"/>
      <c r="D4055" s="55" t="n"/>
      <c r="E4055" s="93" t="n"/>
      <c r="F4055" s="94" t="n"/>
      <c r="G4055" s="94" t="n"/>
      <c r="H4055" s="94" t="n"/>
      <c r="I4055" s="94" t="n"/>
      <c r="J4055" s="55" t="n"/>
      <c r="K4055" s="95" t="n"/>
      <c r="L4055" s="116">
        <f>IF($A4055="","",DATE(YEAR($A4055),MONTH($A4055)+IF(AND(IFERROR(N(INDEX(Übersicht!$M$15:$M$22,MATCH($B4055,Übersicht!$A$15:$A$22,0))),0)&gt;1,DAY($A4055)&gt;=IFERROR(N(INDEX(Übersicht!$M$15:$M$22,MATCH($B4055,Übersicht!$A$15:$A$22,0))),0)),1,0),1))</f>
        <v/>
      </c>
    </row>
    <row r="4056">
      <c r="A4056" s="92" t="n"/>
      <c r="B4056" s="55" t="n"/>
      <c r="C4056" s="55" t="n"/>
      <c r="D4056" s="55" t="n"/>
      <c r="E4056" s="93" t="n"/>
      <c r="F4056" s="94" t="n"/>
      <c r="G4056" s="94" t="n"/>
      <c r="H4056" s="94" t="n"/>
      <c r="I4056" s="94" t="n"/>
      <c r="J4056" s="55" t="n"/>
      <c r="K4056" s="95" t="n"/>
      <c r="L4056" s="116">
        <f>IF($A4056="","",DATE(YEAR($A4056),MONTH($A4056)+IF(AND(IFERROR(N(INDEX(Übersicht!$M$15:$M$22,MATCH($B4056,Übersicht!$A$15:$A$22,0))),0)&gt;1,DAY($A4056)&gt;=IFERROR(N(INDEX(Übersicht!$M$15:$M$22,MATCH($B4056,Übersicht!$A$15:$A$22,0))),0)),1,0),1))</f>
        <v/>
      </c>
    </row>
    <row r="4057">
      <c r="A4057" s="92" t="n"/>
      <c r="B4057" s="55" t="n"/>
      <c r="C4057" s="55" t="n"/>
      <c r="D4057" s="55" t="n"/>
      <c r="E4057" s="93" t="n"/>
      <c r="F4057" s="94" t="n"/>
      <c r="G4057" s="94" t="n"/>
      <c r="H4057" s="94" t="n"/>
      <c r="I4057" s="94" t="n"/>
      <c r="J4057" s="55" t="n"/>
      <c r="K4057" s="95" t="n"/>
      <c r="L4057" s="116">
        <f>IF($A4057="","",DATE(YEAR($A4057),MONTH($A4057)+IF(AND(IFERROR(N(INDEX(Übersicht!$M$15:$M$22,MATCH($B4057,Übersicht!$A$15:$A$22,0))),0)&gt;1,DAY($A4057)&gt;=IFERROR(N(INDEX(Übersicht!$M$15:$M$22,MATCH($B4057,Übersicht!$A$15:$A$22,0))),0)),1,0),1))</f>
        <v/>
      </c>
    </row>
    <row r="4058">
      <c r="A4058" s="92" t="n"/>
      <c r="B4058" s="55" t="n"/>
      <c r="C4058" s="55" t="n"/>
      <c r="D4058" s="55" t="n"/>
      <c r="E4058" s="93" t="n"/>
      <c r="F4058" s="94" t="n"/>
      <c r="G4058" s="94" t="n"/>
      <c r="H4058" s="94" t="n"/>
      <c r="I4058" s="94" t="n"/>
      <c r="J4058" s="55" t="n"/>
      <c r="K4058" s="95" t="n"/>
      <c r="L4058" s="116">
        <f>IF($A4058="","",DATE(YEAR($A4058),MONTH($A4058)+IF(AND(IFERROR(N(INDEX(Übersicht!$M$15:$M$22,MATCH($B4058,Übersicht!$A$15:$A$22,0))),0)&gt;1,DAY($A4058)&gt;=IFERROR(N(INDEX(Übersicht!$M$15:$M$22,MATCH($B4058,Übersicht!$A$15:$A$22,0))),0)),1,0),1))</f>
        <v/>
      </c>
    </row>
    <row r="4059">
      <c r="A4059" s="92" t="n"/>
      <c r="B4059" s="55" t="n"/>
      <c r="C4059" s="55" t="n"/>
      <c r="D4059" s="55" t="n"/>
      <c r="E4059" s="93" t="n"/>
      <c r="F4059" s="94" t="n"/>
      <c r="G4059" s="94" t="n"/>
      <c r="H4059" s="94" t="n"/>
      <c r="I4059" s="94" t="n"/>
      <c r="J4059" s="55" t="n"/>
      <c r="K4059" s="95" t="n"/>
      <c r="L4059" s="116">
        <f>IF($A4059="","",DATE(YEAR($A4059),MONTH($A4059)+IF(AND(IFERROR(N(INDEX(Übersicht!$M$15:$M$22,MATCH($B4059,Übersicht!$A$15:$A$22,0))),0)&gt;1,DAY($A4059)&gt;=IFERROR(N(INDEX(Übersicht!$M$15:$M$22,MATCH($B4059,Übersicht!$A$15:$A$22,0))),0)),1,0),1))</f>
        <v/>
      </c>
    </row>
    <row r="4060">
      <c r="A4060" s="92" t="n"/>
      <c r="B4060" s="55" t="n"/>
      <c r="C4060" s="55" t="n"/>
      <c r="D4060" s="55" t="n"/>
      <c r="E4060" s="93" t="n"/>
      <c r="F4060" s="94" t="n"/>
      <c r="G4060" s="94" t="n"/>
      <c r="H4060" s="94" t="n"/>
      <c r="I4060" s="94" t="n"/>
      <c r="J4060" s="55" t="n"/>
      <c r="K4060" s="95" t="n"/>
      <c r="L4060" s="116">
        <f>IF($A4060="","",DATE(YEAR($A4060),MONTH($A4060)+IF(AND(IFERROR(N(INDEX(Übersicht!$M$15:$M$22,MATCH($B4060,Übersicht!$A$15:$A$22,0))),0)&gt;1,DAY($A4060)&gt;=IFERROR(N(INDEX(Übersicht!$M$15:$M$22,MATCH($B4060,Übersicht!$A$15:$A$22,0))),0)),1,0),1))</f>
        <v/>
      </c>
    </row>
    <row r="4061">
      <c r="A4061" s="92" t="n"/>
      <c r="B4061" s="55" t="n"/>
      <c r="C4061" s="55" t="n"/>
      <c r="D4061" s="55" t="n"/>
      <c r="E4061" s="93" t="n"/>
      <c r="F4061" s="94" t="n"/>
      <c r="G4061" s="94" t="n"/>
      <c r="H4061" s="94" t="n"/>
      <c r="I4061" s="94" t="n"/>
      <c r="J4061" s="55" t="n"/>
      <c r="K4061" s="95" t="n"/>
      <c r="L4061" s="116">
        <f>IF($A4061="","",DATE(YEAR($A4061),MONTH($A4061)+IF(AND(IFERROR(N(INDEX(Übersicht!$M$15:$M$22,MATCH($B4061,Übersicht!$A$15:$A$22,0))),0)&gt;1,DAY($A4061)&gt;=IFERROR(N(INDEX(Übersicht!$M$15:$M$22,MATCH($B4061,Übersicht!$A$15:$A$22,0))),0)),1,0),1))</f>
        <v/>
      </c>
    </row>
    <row r="4062">
      <c r="A4062" s="92" t="n"/>
      <c r="B4062" s="55" t="n"/>
      <c r="C4062" s="55" t="n"/>
      <c r="D4062" s="55" t="n"/>
      <c r="E4062" s="93" t="n"/>
      <c r="F4062" s="94" t="n"/>
      <c r="G4062" s="94" t="n"/>
      <c r="H4062" s="94" t="n"/>
      <c r="I4062" s="94" t="n"/>
      <c r="J4062" s="55" t="n"/>
      <c r="K4062" s="95" t="n"/>
      <c r="L4062" s="116">
        <f>IF($A4062="","",DATE(YEAR($A4062),MONTH($A4062)+IF(AND(IFERROR(N(INDEX(Übersicht!$M$15:$M$22,MATCH($B4062,Übersicht!$A$15:$A$22,0))),0)&gt;1,DAY($A4062)&gt;=IFERROR(N(INDEX(Übersicht!$M$15:$M$22,MATCH($B4062,Übersicht!$A$15:$A$22,0))),0)),1,0),1))</f>
        <v/>
      </c>
    </row>
    <row r="4063">
      <c r="A4063" s="92" t="n"/>
      <c r="B4063" s="55" t="n"/>
      <c r="C4063" s="55" t="n"/>
      <c r="D4063" s="55" t="n"/>
      <c r="E4063" s="93" t="n"/>
      <c r="F4063" s="94" t="n"/>
      <c r="G4063" s="94" t="n"/>
      <c r="H4063" s="94" t="n"/>
      <c r="I4063" s="94" t="n"/>
      <c r="J4063" s="55" t="n"/>
      <c r="K4063" s="95" t="n"/>
      <c r="L4063" s="116">
        <f>IF($A4063="","",DATE(YEAR($A4063),MONTH($A4063)+IF(AND(IFERROR(N(INDEX(Übersicht!$M$15:$M$22,MATCH($B4063,Übersicht!$A$15:$A$22,0))),0)&gt;1,DAY($A4063)&gt;=IFERROR(N(INDEX(Übersicht!$M$15:$M$22,MATCH($B4063,Übersicht!$A$15:$A$22,0))),0)),1,0),1))</f>
        <v/>
      </c>
    </row>
    <row r="4064">
      <c r="A4064" s="92" t="n"/>
      <c r="B4064" s="55" t="n"/>
      <c r="C4064" s="55" t="n"/>
      <c r="D4064" s="55" t="n"/>
      <c r="E4064" s="93" t="n"/>
      <c r="F4064" s="94" t="n"/>
      <c r="G4064" s="94" t="n"/>
      <c r="H4064" s="94" t="n"/>
      <c r="I4064" s="94" t="n"/>
      <c r="J4064" s="55" t="n"/>
      <c r="K4064" s="95" t="n"/>
      <c r="L4064" s="116">
        <f>IF($A4064="","",DATE(YEAR($A4064),MONTH($A4064)+IF(AND(IFERROR(N(INDEX(Übersicht!$M$15:$M$22,MATCH($B4064,Übersicht!$A$15:$A$22,0))),0)&gt;1,DAY($A4064)&gt;=IFERROR(N(INDEX(Übersicht!$M$15:$M$22,MATCH($B4064,Übersicht!$A$15:$A$22,0))),0)),1,0),1))</f>
        <v/>
      </c>
    </row>
    <row r="4065">
      <c r="A4065" s="92" t="n"/>
      <c r="B4065" s="55" t="n"/>
      <c r="C4065" s="55" t="n"/>
      <c r="D4065" s="55" t="n"/>
      <c r="E4065" s="93" t="n"/>
      <c r="F4065" s="94" t="n"/>
      <c r="G4065" s="94" t="n"/>
      <c r="H4065" s="94" t="n"/>
      <c r="I4065" s="94" t="n"/>
      <c r="J4065" s="55" t="n"/>
      <c r="K4065" s="95" t="n"/>
      <c r="L4065" s="116">
        <f>IF($A4065="","",DATE(YEAR($A4065),MONTH($A4065)+IF(AND(IFERROR(N(INDEX(Übersicht!$M$15:$M$22,MATCH($B4065,Übersicht!$A$15:$A$22,0))),0)&gt;1,DAY($A4065)&gt;=IFERROR(N(INDEX(Übersicht!$M$15:$M$22,MATCH($B4065,Übersicht!$A$15:$A$22,0))),0)),1,0),1))</f>
        <v/>
      </c>
    </row>
    <row r="4066">
      <c r="A4066" s="92" t="n"/>
      <c r="B4066" s="55" t="n"/>
      <c r="C4066" s="55" t="n"/>
      <c r="D4066" s="55" t="n"/>
      <c r="E4066" s="93" t="n"/>
      <c r="F4066" s="94" t="n"/>
      <c r="G4066" s="94" t="n"/>
      <c r="H4066" s="94" t="n"/>
      <c r="I4066" s="94" t="n"/>
      <c r="J4066" s="55" t="n"/>
      <c r="K4066" s="95" t="n"/>
      <c r="L4066" s="116">
        <f>IF($A4066="","",DATE(YEAR($A4066),MONTH($A4066)+IF(AND(IFERROR(N(INDEX(Übersicht!$M$15:$M$22,MATCH($B4066,Übersicht!$A$15:$A$22,0))),0)&gt;1,DAY($A4066)&gt;=IFERROR(N(INDEX(Übersicht!$M$15:$M$22,MATCH($B4066,Übersicht!$A$15:$A$22,0))),0)),1,0),1))</f>
        <v/>
      </c>
    </row>
    <row r="4067">
      <c r="A4067" s="92" t="n"/>
      <c r="B4067" s="55" t="n"/>
      <c r="C4067" s="55" t="n"/>
      <c r="D4067" s="55" t="n"/>
      <c r="E4067" s="93" t="n"/>
      <c r="F4067" s="94" t="n"/>
      <c r="G4067" s="94" t="n"/>
      <c r="H4067" s="94" t="n"/>
      <c r="I4067" s="94" t="n"/>
      <c r="J4067" s="55" t="n"/>
      <c r="K4067" s="95" t="n"/>
      <c r="L4067" s="116">
        <f>IF($A4067="","",DATE(YEAR($A4067),MONTH($A4067)+IF(AND(IFERROR(N(INDEX(Übersicht!$M$15:$M$22,MATCH($B4067,Übersicht!$A$15:$A$22,0))),0)&gt;1,DAY($A4067)&gt;=IFERROR(N(INDEX(Übersicht!$M$15:$M$22,MATCH($B4067,Übersicht!$A$15:$A$22,0))),0)),1,0),1))</f>
        <v/>
      </c>
    </row>
    <row r="4068">
      <c r="A4068" s="92" t="n"/>
      <c r="B4068" s="55" t="n"/>
      <c r="C4068" s="55" t="n"/>
      <c r="D4068" s="55" t="n"/>
      <c r="E4068" s="93" t="n"/>
      <c r="F4068" s="94" t="n"/>
      <c r="G4068" s="94" t="n"/>
      <c r="H4068" s="94" t="n"/>
      <c r="I4068" s="94" t="n"/>
      <c r="J4068" s="55" t="n"/>
      <c r="K4068" s="95" t="n"/>
      <c r="L4068" s="116">
        <f>IF($A4068="","",DATE(YEAR($A4068),MONTH($A4068)+IF(AND(IFERROR(N(INDEX(Übersicht!$M$15:$M$22,MATCH($B4068,Übersicht!$A$15:$A$22,0))),0)&gt;1,DAY($A4068)&gt;=IFERROR(N(INDEX(Übersicht!$M$15:$M$22,MATCH($B4068,Übersicht!$A$15:$A$22,0))),0)),1,0),1))</f>
        <v/>
      </c>
    </row>
    <row r="4069">
      <c r="A4069" s="92" t="n"/>
      <c r="B4069" s="55" t="n"/>
      <c r="C4069" s="55" t="n"/>
      <c r="D4069" s="55" t="n"/>
      <c r="E4069" s="93" t="n"/>
      <c r="F4069" s="94" t="n"/>
      <c r="G4069" s="94" t="n"/>
      <c r="H4069" s="94" t="n"/>
      <c r="I4069" s="94" t="n"/>
      <c r="J4069" s="55" t="n"/>
      <c r="K4069" s="95" t="n"/>
      <c r="L4069" s="116">
        <f>IF($A4069="","",DATE(YEAR($A4069),MONTH($A4069)+IF(AND(IFERROR(N(INDEX(Übersicht!$M$15:$M$22,MATCH($B4069,Übersicht!$A$15:$A$22,0))),0)&gt;1,DAY($A4069)&gt;=IFERROR(N(INDEX(Übersicht!$M$15:$M$22,MATCH($B4069,Übersicht!$A$15:$A$22,0))),0)),1,0),1))</f>
        <v/>
      </c>
    </row>
    <row r="4070">
      <c r="A4070" s="92" t="n"/>
      <c r="B4070" s="55" t="n"/>
      <c r="C4070" s="55" t="n"/>
      <c r="D4070" s="55" t="n"/>
      <c r="E4070" s="93" t="n"/>
      <c r="F4070" s="94" t="n"/>
      <c r="G4070" s="94" t="n"/>
      <c r="H4070" s="94" t="n"/>
      <c r="I4070" s="94" t="n"/>
      <c r="J4070" s="55" t="n"/>
      <c r="K4070" s="95" t="n"/>
      <c r="L4070" s="116">
        <f>IF($A4070="","",DATE(YEAR($A4070),MONTH($A4070)+IF(AND(IFERROR(N(INDEX(Übersicht!$M$15:$M$22,MATCH($B4070,Übersicht!$A$15:$A$22,0))),0)&gt;1,DAY($A4070)&gt;=IFERROR(N(INDEX(Übersicht!$M$15:$M$22,MATCH($B4070,Übersicht!$A$15:$A$22,0))),0)),1,0),1))</f>
        <v/>
      </c>
    </row>
    <row r="4071">
      <c r="A4071" s="92" t="n"/>
      <c r="B4071" s="55" t="n"/>
      <c r="C4071" s="55" t="n"/>
      <c r="D4071" s="55" t="n"/>
      <c r="E4071" s="93" t="n"/>
      <c r="F4071" s="94" t="n"/>
      <c r="G4071" s="94" t="n"/>
      <c r="H4071" s="94" t="n"/>
      <c r="I4071" s="94" t="n"/>
      <c r="J4071" s="55" t="n"/>
      <c r="K4071" s="95" t="n"/>
      <c r="L4071" s="116">
        <f>IF($A4071="","",DATE(YEAR($A4071),MONTH($A4071)+IF(AND(IFERROR(N(INDEX(Übersicht!$M$15:$M$22,MATCH($B4071,Übersicht!$A$15:$A$22,0))),0)&gt;1,DAY($A4071)&gt;=IFERROR(N(INDEX(Übersicht!$M$15:$M$22,MATCH($B4071,Übersicht!$A$15:$A$22,0))),0)),1,0),1))</f>
        <v/>
      </c>
    </row>
    <row r="4072">
      <c r="A4072" s="92" t="n"/>
      <c r="B4072" s="55" t="n"/>
      <c r="C4072" s="55" t="n"/>
      <c r="D4072" s="55" t="n"/>
      <c r="E4072" s="93" t="n"/>
      <c r="F4072" s="94" t="n"/>
      <c r="G4072" s="94" t="n"/>
      <c r="H4072" s="94" t="n"/>
      <c r="I4072" s="94" t="n"/>
      <c r="J4072" s="55" t="n"/>
      <c r="K4072" s="95" t="n"/>
      <c r="L4072" s="116">
        <f>IF($A4072="","",DATE(YEAR($A4072),MONTH($A4072)+IF(AND(IFERROR(N(INDEX(Übersicht!$M$15:$M$22,MATCH($B4072,Übersicht!$A$15:$A$22,0))),0)&gt;1,DAY($A4072)&gt;=IFERROR(N(INDEX(Übersicht!$M$15:$M$22,MATCH($B4072,Übersicht!$A$15:$A$22,0))),0)),1,0),1))</f>
        <v/>
      </c>
    </row>
    <row r="4073">
      <c r="A4073" s="92" t="n"/>
      <c r="B4073" s="55" t="n"/>
      <c r="C4073" s="55" t="n"/>
      <c r="D4073" s="55" t="n"/>
      <c r="E4073" s="93" t="n"/>
      <c r="F4073" s="94" t="n"/>
      <c r="G4073" s="94" t="n"/>
      <c r="H4073" s="94" t="n"/>
      <c r="I4073" s="94" t="n"/>
      <c r="J4073" s="55" t="n"/>
      <c r="K4073" s="95" t="n"/>
      <c r="L4073" s="116">
        <f>IF($A4073="","",DATE(YEAR($A4073),MONTH($A4073)+IF(AND(IFERROR(N(INDEX(Übersicht!$M$15:$M$22,MATCH($B4073,Übersicht!$A$15:$A$22,0))),0)&gt;1,DAY($A4073)&gt;=IFERROR(N(INDEX(Übersicht!$M$15:$M$22,MATCH($B4073,Übersicht!$A$15:$A$22,0))),0)),1,0),1))</f>
        <v/>
      </c>
    </row>
    <row r="4074">
      <c r="A4074" s="92" t="n"/>
      <c r="B4074" s="55" t="n"/>
      <c r="C4074" s="55" t="n"/>
      <c r="D4074" s="55" t="n"/>
      <c r="E4074" s="93" t="n"/>
      <c r="F4074" s="94" t="n"/>
      <c r="G4074" s="94" t="n"/>
      <c r="H4074" s="94" t="n"/>
      <c r="I4074" s="94" t="n"/>
      <c r="J4074" s="55" t="n"/>
      <c r="K4074" s="95" t="n"/>
      <c r="L4074" s="116">
        <f>IF($A4074="","",DATE(YEAR($A4074),MONTH($A4074)+IF(AND(IFERROR(N(INDEX(Übersicht!$M$15:$M$22,MATCH($B4074,Übersicht!$A$15:$A$22,0))),0)&gt;1,DAY($A4074)&gt;=IFERROR(N(INDEX(Übersicht!$M$15:$M$22,MATCH($B4074,Übersicht!$A$15:$A$22,0))),0)),1,0),1))</f>
        <v/>
      </c>
    </row>
    <row r="4075">
      <c r="A4075" s="92" t="n"/>
      <c r="B4075" s="55" t="n"/>
      <c r="C4075" s="55" t="n"/>
      <c r="D4075" s="55" t="n"/>
      <c r="E4075" s="93" t="n"/>
      <c r="F4075" s="94" t="n"/>
      <c r="G4075" s="94" t="n"/>
      <c r="H4075" s="94" t="n"/>
      <c r="I4075" s="94" t="n"/>
      <c r="J4075" s="55" t="n"/>
      <c r="K4075" s="95" t="n"/>
      <c r="L4075" s="116">
        <f>IF($A4075="","",DATE(YEAR($A4075),MONTH($A4075)+IF(AND(IFERROR(N(INDEX(Übersicht!$M$15:$M$22,MATCH($B4075,Übersicht!$A$15:$A$22,0))),0)&gt;1,DAY($A4075)&gt;=IFERROR(N(INDEX(Übersicht!$M$15:$M$22,MATCH($B4075,Übersicht!$A$15:$A$22,0))),0)),1,0),1))</f>
        <v/>
      </c>
    </row>
    <row r="4076">
      <c r="A4076" s="92" t="n"/>
      <c r="B4076" s="55" t="n"/>
      <c r="C4076" s="55" t="n"/>
      <c r="D4076" s="55" t="n"/>
      <c r="E4076" s="93" t="n"/>
      <c r="F4076" s="94" t="n"/>
      <c r="G4076" s="94" t="n"/>
      <c r="H4076" s="94" t="n"/>
      <c r="I4076" s="94" t="n"/>
      <c r="J4076" s="55" t="n"/>
      <c r="K4076" s="95" t="n"/>
      <c r="L4076" s="116">
        <f>IF($A4076="","",DATE(YEAR($A4076),MONTH($A4076)+IF(AND(IFERROR(N(INDEX(Übersicht!$M$15:$M$22,MATCH($B4076,Übersicht!$A$15:$A$22,0))),0)&gt;1,DAY($A4076)&gt;=IFERROR(N(INDEX(Übersicht!$M$15:$M$22,MATCH($B4076,Übersicht!$A$15:$A$22,0))),0)),1,0),1))</f>
        <v/>
      </c>
    </row>
    <row r="4077">
      <c r="A4077" s="92" t="n"/>
      <c r="B4077" s="55" t="n"/>
      <c r="C4077" s="55" t="n"/>
      <c r="D4077" s="55" t="n"/>
      <c r="E4077" s="93" t="n"/>
      <c r="F4077" s="94" t="n"/>
      <c r="G4077" s="94" t="n"/>
      <c r="H4077" s="94" t="n"/>
      <c r="I4077" s="94" t="n"/>
      <c r="J4077" s="55" t="n"/>
      <c r="K4077" s="95" t="n"/>
      <c r="L4077" s="116">
        <f>IF($A4077="","",DATE(YEAR($A4077),MONTH($A4077)+IF(AND(IFERROR(N(INDEX(Übersicht!$M$15:$M$22,MATCH($B4077,Übersicht!$A$15:$A$22,0))),0)&gt;1,DAY($A4077)&gt;=IFERROR(N(INDEX(Übersicht!$M$15:$M$22,MATCH($B4077,Übersicht!$A$15:$A$22,0))),0)),1,0),1))</f>
        <v/>
      </c>
    </row>
    <row r="4078">
      <c r="A4078" s="92" t="n"/>
      <c r="B4078" s="55" t="n"/>
      <c r="C4078" s="55" t="n"/>
      <c r="D4078" s="55" t="n"/>
      <c r="E4078" s="93" t="n"/>
      <c r="F4078" s="94" t="n"/>
      <c r="G4078" s="94" t="n"/>
      <c r="H4078" s="94" t="n"/>
      <c r="I4078" s="94" t="n"/>
      <c r="J4078" s="55" t="n"/>
      <c r="K4078" s="95" t="n"/>
      <c r="L4078" s="116">
        <f>IF($A4078="","",DATE(YEAR($A4078),MONTH($A4078)+IF(AND(IFERROR(N(INDEX(Übersicht!$M$15:$M$22,MATCH($B4078,Übersicht!$A$15:$A$22,0))),0)&gt;1,DAY($A4078)&gt;=IFERROR(N(INDEX(Übersicht!$M$15:$M$22,MATCH($B4078,Übersicht!$A$15:$A$22,0))),0)),1,0),1))</f>
        <v/>
      </c>
    </row>
    <row r="4079">
      <c r="A4079" s="92" t="n"/>
      <c r="B4079" s="55" t="n"/>
      <c r="C4079" s="55" t="n"/>
      <c r="D4079" s="55" t="n"/>
      <c r="E4079" s="93" t="n"/>
      <c r="F4079" s="94" t="n"/>
      <c r="G4079" s="94" t="n"/>
      <c r="H4079" s="94" t="n"/>
      <c r="I4079" s="94" t="n"/>
      <c r="J4079" s="55" t="n"/>
      <c r="K4079" s="95" t="n"/>
      <c r="L4079" s="116">
        <f>IF($A4079="","",DATE(YEAR($A4079),MONTH($A4079)+IF(AND(IFERROR(N(INDEX(Übersicht!$M$15:$M$22,MATCH($B4079,Übersicht!$A$15:$A$22,0))),0)&gt;1,DAY($A4079)&gt;=IFERROR(N(INDEX(Übersicht!$M$15:$M$22,MATCH($B4079,Übersicht!$A$15:$A$22,0))),0)),1,0),1))</f>
        <v/>
      </c>
    </row>
    <row r="4080">
      <c r="A4080" s="92" t="n"/>
      <c r="B4080" s="55" t="n"/>
      <c r="C4080" s="55" t="n"/>
      <c r="D4080" s="55" t="n"/>
      <c r="E4080" s="93" t="n"/>
      <c r="F4080" s="94" t="n"/>
      <c r="G4080" s="94" t="n"/>
      <c r="H4080" s="94" t="n"/>
      <c r="I4080" s="94" t="n"/>
      <c r="J4080" s="55" t="n"/>
      <c r="K4080" s="95" t="n"/>
      <c r="L4080" s="116">
        <f>IF($A4080="","",DATE(YEAR($A4080),MONTH($A4080)+IF(AND(IFERROR(N(INDEX(Übersicht!$M$15:$M$22,MATCH($B4080,Übersicht!$A$15:$A$22,0))),0)&gt;1,DAY($A4080)&gt;=IFERROR(N(INDEX(Übersicht!$M$15:$M$22,MATCH($B4080,Übersicht!$A$15:$A$22,0))),0)),1,0),1))</f>
        <v/>
      </c>
    </row>
    <row r="4081">
      <c r="A4081" s="92" t="n"/>
      <c r="B4081" s="55" t="n"/>
      <c r="C4081" s="55" t="n"/>
      <c r="D4081" s="55" t="n"/>
      <c r="E4081" s="93" t="n"/>
      <c r="F4081" s="94" t="n"/>
      <c r="G4081" s="94" t="n"/>
      <c r="H4081" s="94" t="n"/>
      <c r="I4081" s="94" t="n"/>
      <c r="J4081" s="55" t="n"/>
      <c r="K4081" s="95" t="n"/>
      <c r="L4081" s="116">
        <f>IF($A4081="","",DATE(YEAR($A4081),MONTH($A4081)+IF(AND(IFERROR(N(INDEX(Übersicht!$M$15:$M$22,MATCH($B4081,Übersicht!$A$15:$A$22,0))),0)&gt;1,DAY($A4081)&gt;=IFERROR(N(INDEX(Übersicht!$M$15:$M$22,MATCH($B4081,Übersicht!$A$15:$A$22,0))),0)),1,0),1))</f>
        <v/>
      </c>
    </row>
    <row r="4082">
      <c r="A4082" s="92" t="n"/>
      <c r="B4082" s="55" t="n"/>
      <c r="C4082" s="55" t="n"/>
      <c r="D4082" s="55" t="n"/>
      <c r="E4082" s="93" t="n"/>
      <c r="F4082" s="94" t="n"/>
      <c r="G4082" s="94" t="n"/>
      <c r="H4082" s="94" t="n"/>
      <c r="I4082" s="94" t="n"/>
      <c r="J4082" s="55" t="n"/>
      <c r="K4082" s="95" t="n"/>
      <c r="L4082" s="116">
        <f>IF($A4082="","",DATE(YEAR($A4082),MONTH($A4082)+IF(AND(IFERROR(N(INDEX(Übersicht!$M$15:$M$22,MATCH($B4082,Übersicht!$A$15:$A$22,0))),0)&gt;1,DAY($A4082)&gt;=IFERROR(N(INDEX(Übersicht!$M$15:$M$22,MATCH($B4082,Übersicht!$A$15:$A$22,0))),0)),1,0),1))</f>
        <v/>
      </c>
    </row>
    <row r="4083">
      <c r="A4083" s="92" t="n"/>
      <c r="B4083" s="55" t="n"/>
      <c r="C4083" s="55" t="n"/>
      <c r="D4083" s="55" t="n"/>
      <c r="E4083" s="93" t="n"/>
      <c r="F4083" s="94" t="n"/>
      <c r="G4083" s="94" t="n"/>
      <c r="H4083" s="94" t="n"/>
      <c r="I4083" s="94" t="n"/>
      <c r="J4083" s="55" t="n"/>
      <c r="K4083" s="95" t="n"/>
      <c r="L4083" s="116">
        <f>IF($A4083="","",DATE(YEAR($A4083),MONTH($A4083)+IF(AND(IFERROR(N(INDEX(Übersicht!$M$15:$M$22,MATCH($B4083,Übersicht!$A$15:$A$22,0))),0)&gt;1,DAY($A4083)&gt;=IFERROR(N(INDEX(Übersicht!$M$15:$M$22,MATCH($B4083,Übersicht!$A$15:$A$22,0))),0)),1,0),1))</f>
        <v/>
      </c>
    </row>
    <row r="4084">
      <c r="A4084" s="92" t="n"/>
      <c r="B4084" s="55" t="n"/>
      <c r="C4084" s="55" t="n"/>
      <c r="D4084" s="55" t="n"/>
      <c r="E4084" s="93" t="n"/>
      <c r="F4084" s="94" t="n"/>
      <c r="G4084" s="94" t="n"/>
      <c r="H4084" s="94" t="n"/>
      <c r="I4084" s="94" t="n"/>
      <c r="J4084" s="55" t="n"/>
      <c r="K4084" s="95" t="n"/>
      <c r="L4084" s="116">
        <f>IF($A4084="","",DATE(YEAR($A4084),MONTH($A4084)+IF(AND(IFERROR(N(INDEX(Übersicht!$M$15:$M$22,MATCH($B4084,Übersicht!$A$15:$A$22,0))),0)&gt;1,DAY($A4084)&gt;=IFERROR(N(INDEX(Übersicht!$M$15:$M$22,MATCH($B4084,Übersicht!$A$15:$A$22,0))),0)),1,0),1))</f>
        <v/>
      </c>
    </row>
    <row r="4085">
      <c r="A4085" s="92" t="n"/>
      <c r="B4085" s="55" t="n"/>
      <c r="C4085" s="55" t="n"/>
      <c r="D4085" s="55" t="n"/>
      <c r="E4085" s="93" t="n"/>
      <c r="F4085" s="94" t="n"/>
      <c r="G4085" s="94" t="n"/>
      <c r="H4085" s="94" t="n"/>
      <c r="I4085" s="94" t="n"/>
      <c r="J4085" s="55" t="n"/>
      <c r="K4085" s="95" t="n"/>
      <c r="L4085" s="116">
        <f>IF($A4085="","",DATE(YEAR($A4085),MONTH($A4085)+IF(AND(IFERROR(N(INDEX(Übersicht!$M$15:$M$22,MATCH($B4085,Übersicht!$A$15:$A$22,0))),0)&gt;1,DAY($A4085)&gt;=IFERROR(N(INDEX(Übersicht!$M$15:$M$22,MATCH($B4085,Übersicht!$A$15:$A$22,0))),0)),1,0),1))</f>
        <v/>
      </c>
    </row>
    <row r="4086">
      <c r="A4086" s="92" t="n"/>
      <c r="B4086" s="55" t="n"/>
      <c r="C4086" s="55" t="n"/>
      <c r="D4086" s="55" t="n"/>
      <c r="E4086" s="93" t="n"/>
      <c r="F4086" s="94" t="n"/>
      <c r="G4086" s="94" t="n"/>
      <c r="H4086" s="94" t="n"/>
      <c r="I4086" s="94" t="n"/>
      <c r="J4086" s="55" t="n"/>
      <c r="K4086" s="95" t="n"/>
      <c r="L4086" s="116">
        <f>IF($A4086="","",DATE(YEAR($A4086),MONTH($A4086)+IF(AND(IFERROR(N(INDEX(Übersicht!$M$15:$M$22,MATCH($B4086,Übersicht!$A$15:$A$22,0))),0)&gt;1,DAY($A4086)&gt;=IFERROR(N(INDEX(Übersicht!$M$15:$M$22,MATCH($B4086,Übersicht!$A$15:$A$22,0))),0)),1,0),1))</f>
        <v/>
      </c>
    </row>
    <row r="4087">
      <c r="A4087" s="92" t="n"/>
      <c r="B4087" s="55" t="n"/>
      <c r="C4087" s="55" t="n"/>
      <c r="D4087" s="55" t="n"/>
      <c r="E4087" s="93" t="n"/>
      <c r="F4087" s="94" t="n"/>
      <c r="G4087" s="94" t="n"/>
      <c r="H4087" s="94" t="n"/>
      <c r="I4087" s="94" t="n"/>
      <c r="J4087" s="55" t="n"/>
      <c r="K4087" s="95" t="n"/>
      <c r="L4087" s="116">
        <f>IF($A4087="","",DATE(YEAR($A4087),MONTH($A4087)+IF(AND(IFERROR(N(INDEX(Übersicht!$M$15:$M$22,MATCH($B4087,Übersicht!$A$15:$A$22,0))),0)&gt;1,DAY($A4087)&gt;=IFERROR(N(INDEX(Übersicht!$M$15:$M$22,MATCH($B4087,Übersicht!$A$15:$A$22,0))),0)),1,0),1))</f>
        <v/>
      </c>
    </row>
    <row r="4088">
      <c r="A4088" s="92" t="n"/>
      <c r="B4088" s="55" t="n"/>
      <c r="C4088" s="55" t="n"/>
      <c r="D4088" s="55" t="n"/>
      <c r="E4088" s="93" t="n"/>
      <c r="F4088" s="94" t="n"/>
      <c r="G4088" s="94" t="n"/>
      <c r="H4088" s="94" t="n"/>
      <c r="I4088" s="94" t="n"/>
      <c r="J4088" s="55" t="n"/>
      <c r="K4088" s="95" t="n"/>
      <c r="L4088" s="116">
        <f>IF($A4088="","",DATE(YEAR($A4088),MONTH($A4088)+IF(AND(IFERROR(N(INDEX(Übersicht!$M$15:$M$22,MATCH($B4088,Übersicht!$A$15:$A$22,0))),0)&gt;1,DAY($A4088)&gt;=IFERROR(N(INDEX(Übersicht!$M$15:$M$22,MATCH($B4088,Übersicht!$A$15:$A$22,0))),0)),1,0),1))</f>
        <v/>
      </c>
    </row>
    <row r="4089">
      <c r="A4089" s="92" t="n"/>
      <c r="B4089" s="55" t="n"/>
      <c r="C4089" s="55" t="n"/>
      <c r="D4089" s="55" t="n"/>
      <c r="E4089" s="93" t="n"/>
      <c r="F4089" s="94" t="n"/>
      <c r="G4089" s="94" t="n"/>
      <c r="H4089" s="94" t="n"/>
      <c r="I4089" s="94" t="n"/>
      <c r="J4089" s="55" t="n"/>
      <c r="K4089" s="95" t="n"/>
      <c r="L4089" s="116">
        <f>IF($A4089="","",DATE(YEAR($A4089),MONTH($A4089)+IF(AND(IFERROR(N(INDEX(Übersicht!$M$15:$M$22,MATCH($B4089,Übersicht!$A$15:$A$22,0))),0)&gt;1,DAY($A4089)&gt;=IFERROR(N(INDEX(Übersicht!$M$15:$M$22,MATCH($B4089,Übersicht!$A$15:$A$22,0))),0)),1,0),1))</f>
        <v/>
      </c>
    </row>
    <row r="4090">
      <c r="A4090" s="92" t="n"/>
      <c r="B4090" s="55" t="n"/>
      <c r="C4090" s="55" t="n"/>
      <c r="D4090" s="55" t="n"/>
      <c r="E4090" s="93" t="n"/>
      <c r="F4090" s="94" t="n"/>
      <c r="G4090" s="94" t="n"/>
      <c r="H4090" s="94" t="n"/>
      <c r="I4090" s="94" t="n"/>
      <c r="J4090" s="55" t="n"/>
      <c r="K4090" s="95" t="n"/>
      <c r="L4090" s="116">
        <f>IF($A4090="","",DATE(YEAR($A4090),MONTH($A4090)+IF(AND(IFERROR(N(INDEX(Übersicht!$M$15:$M$22,MATCH($B4090,Übersicht!$A$15:$A$22,0))),0)&gt;1,DAY($A4090)&gt;=IFERROR(N(INDEX(Übersicht!$M$15:$M$22,MATCH($B4090,Übersicht!$A$15:$A$22,0))),0)),1,0),1))</f>
        <v/>
      </c>
    </row>
    <row r="4091">
      <c r="A4091" s="92" t="n"/>
      <c r="B4091" s="55" t="n"/>
      <c r="C4091" s="55" t="n"/>
      <c r="D4091" s="55" t="n"/>
      <c r="E4091" s="93" t="n"/>
      <c r="F4091" s="94" t="n"/>
      <c r="G4091" s="94" t="n"/>
      <c r="H4091" s="94" t="n"/>
      <c r="I4091" s="94" t="n"/>
      <c r="J4091" s="55" t="n"/>
      <c r="K4091" s="95" t="n"/>
      <c r="L4091" s="116">
        <f>IF($A4091="","",DATE(YEAR($A4091),MONTH($A4091)+IF(AND(IFERROR(N(INDEX(Übersicht!$M$15:$M$22,MATCH($B4091,Übersicht!$A$15:$A$22,0))),0)&gt;1,DAY($A4091)&gt;=IFERROR(N(INDEX(Übersicht!$M$15:$M$22,MATCH($B4091,Übersicht!$A$15:$A$22,0))),0)),1,0),1))</f>
        <v/>
      </c>
    </row>
    <row r="4092">
      <c r="A4092" s="92" t="n"/>
      <c r="B4092" s="55" t="n"/>
      <c r="C4092" s="55" t="n"/>
      <c r="D4092" s="55" t="n"/>
      <c r="E4092" s="93" t="n"/>
      <c r="F4092" s="94" t="n"/>
      <c r="G4092" s="94" t="n"/>
      <c r="H4092" s="94" t="n"/>
      <c r="I4092" s="94" t="n"/>
      <c r="J4092" s="55" t="n"/>
      <c r="K4092" s="95" t="n"/>
      <c r="L4092" s="116">
        <f>IF($A4092="","",DATE(YEAR($A4092),MONTH($A4092)+IF(AND(IFERROR(N(INDEX(Übersicht!$M$15:$M$22,MATCH($B4092,Übersicht!$A$15:$A$22,0))),0)&gt;1,DAY($A4092)&gt;=IFERROR(N(INDEX(Übersicht!$M$15:$M$22,MATCH($B4092,Übersicht!$A$15:$A$22,0))),0)),1,0),1))</f>
        <v/>
      </c>
    </row>
    <row r="4093">
      <c r="A4093" s="92" t="n"/>
      <c r="B4093" s="55" t="n"/>
      <c r="C4093" s="55" t="n"/>
      <c r="D4093" s="55" t="n"/>
      <c r="E4093" s="93" t="n"/>
      <c r="F4093" s="94" t="n"/>
      <c r="G4093" s="94" t="n"/>
      <c r="H4093" s="94" t="n"/>
      <c r="I4093" s="94" t="n"/>
      <c r="J4093" s="55" t="n"/>
      <c r="K4093" s="95" t="n"/>
      <c r="L4093" s="116">
        <f>IF($A4093="","",DATE(YEAR($A4093),MONTH($A4093)+IF(AND(IFERROR(N(INDEX(Übersicht!$M$15:$M$22,MATCH($B4093,Übersicht!$A$15:$A$22,0))),0)&gt;1,DAY($A4093)&gt;=IFERROR(N(INDEX(Übersicht!$M$15:$M$22,MATCH($B4093,Übersicht!$A$15:$A$22,0))),0)),1,0),1))</f>
        <v/>
      </c>
    </row>
    <row r="4094">
      <c r="A4094" s="92" t="n"/>
      <c r="B4094" s="55" t="n"/>
      <c r="C4094" s="55" t="n"/>
      <c r="D4094" s="55" t="n"/>
      <c r="E4094" s="93" t="n"/>
      <c r="F4094" s="94" t="n"/>
      <c r="G4094" s="94" t="n"/>
      <c r="H4094" s="94" t="n"/>
      <c r="I4094" s="94" t="n"/>
      <c r="J4094" s="55" t="n"/>
      <c r="K4094" s="95" t="n"/>
      <c r="L4094" s="116">
        <f>IF($A4094="","",DATE(YEAR($A4094),MONTH($A4094)+IF(AND(IFERROR(N(INDEX(Übersicht!$M$15:$M$22,MATCH($B4094,Übersicht!$A$15:$A$22,0))),0)&gt;1,DAY($A4094)&gt;=IFERROR(N(INDEX(Übersicht!$M$15:$M$22,MATCH($B4094,Übersicht!$A$15:$A$22,0))),0)),1,0),1))</f>
        <v/>
      </c>
    </row>
    <row r="4095">
      <c r="A4095" s="92" t="n"/>
      <c r="B4095" s="55" t="n"/>
      <c r="C4095" s="55" t="n"/>
      <c r="D4095" s="55" t="n"/>
      <c r="E4095" s="93" t="n"/>
      <c r="F4095" s="94" t="n"/>
      <c r="G4095" s="94" t="n"/>
      <c r="H4095" s="94" t="n"/>
      <c r="I4095" s="94" t="n"/>
      <c r="J4095" s="55" t="n"/>
      <c r="K4095" s="95" t="n"/>
      <c r="L4095" s="116">
        <f>IF($A4095="","",DATE(YEAR($A4095),MONTH($A4095)+IF(AND(IFERROR(N(INDEX(Übersicht!$M$15:$M$22,MATCH($B4095,Übersicht!$A$15:$A$22,0))),0)&gt;1,DAY($A4095)&gt;=IFERROR(N(INDEX(Übersicht!$M$15:$M$22,MATCH($B4095,Übersicht!$A$15:$A$22,0))),0)),1,0),1))</f>
        <v/>
      </c>
    </row>
    <row r="4096">
      <c r="A4096" s="92" t="n"/>
      <c r="B4096" s="55" t="n"/>
      <c r="C4096" s="55" t="n"/>
      <c r="D4096" s="55" t="n"/>
      <c r="E4096" s="93" t="n"/>
      <c r="F4096" s="94" t="n"/>
      <c r="G4096" s="94" t="n"/>
      <c r="H4096" s="94" t="n"/>
      <c r="I4096" s="94" t="n"/>
      <c r="J4096" s="55" t="n"/>
      <c r="K4096" s="95" t="n"/>
      <c r="L4096" s="116">
        <f>IF($A4096="","",DATE(YEAR($A4096),MONTH($A4096)+IF(AND(IFERROR(N(INDEX(Übersicht!$M$15:$M$22,MATCH($B4096,Übersicht!$A$15:$A$22,0))),0)&gt;1,DAY($A4096)&gt;=IFERROR(N(INDEX(Übersicht!$M$15:$M$22,MATCH($B4096,Übersicht!$A$15:$A$22,0))),0)),1,0),1))</f>
        <v/>
      </c>
    </row>
    <row r="4097">
      <c r="A4097" s="92" t="n"/>
      <c r="B4097" s="55" t="n"/>
      <c r="C4097" s="55" t="n"/>
      <c r="D4097" s="55" t="n"/>
      <c r="E4097" s="93" t="n"/>
      <c r="F4097" s="94" t="n"/>
      <c r="G4097" s="94" t="n"/>
      <c r="H4097" s="94" t="n"/>
      <c r="I4097" s="94" t="n"/>
      <c r="J4097" s="55" t="n"/>
      <c r="K4097" s="95" t="n"/>
      <c r="L4097" s="116">
        <f>IF($A4097="","",DATE(YEAR($A4097),MONTH($A4097)+IF(AND(IFERROR(N(INDEX(Übersicht!$M$15:$M$22,MATCH($B4097,Übersicht!$A$15:$A$22,0))),0)&gt;1,DAY($A4097)&gt;=IFERROR(N(INDEX(Übersicht!$M$15:$M$22,MATCH($B4097,Übersicht!$A$15:$A$22,0))),0)),1,0),1))</f>
        <v/>
      </c>
    </row>
    <row r="4098">
      <c r="A4098" s="92" t="n"/>
      <c r="B4098" s="55" t="n"/>
      <c r="C4098" s="55" t="n"/>
      <c r="D4098" s="55" t="n"/>
      <c r="E4098" s="93" t="n"/>
      <c r="F4098" s="94" t="n"/>
      <c r="G4098" s="94" t="n"/>
      <c r="H4098" s="94" t="n"/>
      <c r="I4098" s="94" t="n"/>
      <c r="J4098" s="55" t="n"/>
      <c r="K4098" s="95" t="n"/>
      <c r="L4098" s="116">
        <f>IF($A4098="","",DATE(YEAR($A4098),MONTH($A4098)+IF(AND(IFERROR(N(INDEX(Übersicht!$M$15:$M$22,MATCH($B4098,Übersicht!$A$15:$A$22,0))),0)&gt;1,DAY($A4098)&gt;=IFERROR(N(INDEX(Übersicht!$M$15:$M$22,MATCH($B4098,Übersicht!$A$15:$A$22,0))),0)),1,0),1))</f>
        <v/>
      </c>
    </row>
    <row r="4099">
      <c r="A4099" s="92" t="n"/>
      <c r="B4099" s="55" t="n"/>
      <c r="C4099" s="55" t="n"/>
      <c r="D4099" s="55" t="n"/>
      <c r="E4099" s="93" t="n"/>
      <c r="F4099" s="94" t="n"/>
      <c r="G4099" s="94" t="n"/>
      <c r="H4099" s="94" t="n"/>
      <c r="I4099" s="94" t="n"/>
      <c r="J4099" s="55" t="n"/>
      <c r="K4099" s="95" t="n"/>
      <c r="L4099" s="116">
        <f>IF($A4099="","",DATE(YEAR($A4099),MONTH($A4099)+IF(AND(IFERROR(N(INDEX(Übersicht!$M$15:$M$22,MATCH($B4099,Übersicht!$A$15:$A$22,0))),0)&gt;1,DAY($A4099)&gt;=IFERROR(N(INDEX(Übersicht!$M$15:$M$22,MATCH($B4099,Übersicht!$A$15:$A$22,0))),0)),1,0),1))</f>
        <v/>
      </c>
    </row>
    <row r="4100">
      <c r="A4100" s="92" t="n"/>
      <c r="B4100" s="55" t="n"/>
      <c r="C4100" s="55" t="n"/>
      <c r="D4100" s="55" t="n"/>
      <c r="E4100" s="93" t="n"/>
      <c r="F4100" s="94" t="n"/>
      <c r="G4100" s="94" t="n"/>
      <c r="H4100" s="94" t="n"/>
      <c r="I4100" s="94" t="n"/>
      <c r="J4100" s="55" t="n"/>
      <c r="K4100" s="95" t="n"/>
      <c r="L4100" s="116">
        <f>IF($A4100="","",DATE(YEAR($A4100),MONTH($A4100)+IF(AND(IFERROR(N(INDEX(Übersicht!$M$15:$M$22,MATCH($B4100,Übersicht!$A$15:$A$22,0))),0)&gt;1,DAY($A4100)&gt;=IFERROR(N(INDEX(Übersicht!$M$15:$M$22,MATCH($B4100,Übersicht!$A$15:$A$22,0))),0)),1,0),1))</f>
        <v/>
      </c>
    </row>
    <row r="4101">
      <c r="A4101" s="92" t="n"/>
      <c r="B4101" s="55" t="n"/>
      <c r="C4101" s="55" t="n"/>
      <c r="D4101" s="55" t="n"/>
      <c r="E4101" s="93" t="n"/>
      <c r="F4101" s="94" t="n"/>
      <c r="G4101" s="94" t="n"/>
      <c r="H4101" s="94" t="n"/>
      <c r="I4101" s="94" t="n"/>
      <c r="J4101" s="55" t="n"/>
      <c r="K4101" s="95" t="n"/>
      <c r="L4101" s="116">
        <f>IF($A4101="","",DATE(YEAR($A4101),MONTH($A4101)+IF(AND(IFERROR(N(INDEX(Übersicht!$M$15:$M$22,MATCH($B4101,Übersicht!$A$15:$A$22,0))),0)&gt;1,DAY($A4101)&gt;=IFERROR(N(INDEX(Übersicht!$M$15:$M$22,MATCH($B4101,Übersicht!$A$15:$A$22,0))),0)),1,0),1))</f>
        <v/>
      </c>
    </row>
    <row r="4102">
      <c r="A4102" s="92" t="n"/>
      <c r="B4102" s="55" t="n"/>
      <c r="C4102" s="55" t="n"/>
      <c r="D4102" s="55" t="n"/>
      <c r="E4102" s="93" t="n"/>
      <c r="F4102" s="94" t="n"/>
      <c r="G4102" s="94" t="n"/>
      <c r="H4102" s="94" t="n"/>
      <c r="I4102" s="94" t="n"/>
      <c r="J4102" s="55" t="n"/>
      <c r="K4102" s="95" t="n"/>
      <c r="L4102" s="116">
        <f>IF($A4102="","",DATE(YEAR($A4102),MONTH($A4102)+IF(AND(IFERROR(N(INDEX(Übersicht!$M$15:$M$22,MATCH($B4102,Übersicht!$A$15:$A$22,0))),0)&gt;1,DAY($A4102)&gt;=IFERROR(N(INDEX(Übersicht!$M$15:$M$22,MATCH($B4102,Übersicht!$A$15:$A$22,0))),0)),1,0),1))</f>
        <v/>
      </c>
    </row>
    <row r="4103">
      <c r="A4103" s="92" t="n"/>
      <c r="B4103" s="55" t="n"/>
      <c r="C4103" s="55" t="n"/>
      <c r="D4103" s="55" t="n"/>
      <c r="E4103" s="93" t="n"/>
      <c r="F4103" s="94" t="n"/>
      <c r="G4103" s="94" t="n"/>
      <c r="H4103" s="94" t="n"/>
      <c r="I4103" s="94" t="n"/>
      <c r="J4103" s="55" t="n"/>
      <c r="K4103" s="95" t="n"/>
      <c r="L4103" s="116">
        <f>IF($A4103="","",DATE(YEAR($A4103),MONTH($A4103)+IF(AND(IFERROR(N(INDEX(Übersicht!$M$15:$M$22,MATCH($B4103,Übersicht!$A$15:$A$22,0))),0)&gt;1,DAY($A4103)&gt;=IFERROR(N(INDEX(Übersicht!$M$15:$M$22,MATCH($B4103,Übersicht!$A$15:$A$22,0))),0)),1,0),1))</f>
        <v/>
      </c>
    </row>
    <row r="4104">
      <c r="A4104" s="92" t="n"/>
      <c r="B4104" s="55" t="n"/>
      <c r="C4104" s="55" t="n"/>
      <c r="D4104" s="55" t="n"/>
      <c r="E4104" s="93" t="n"/>
      <c r="F4104" s="94" t="n"/>
      <c r="G4104" s="94" t="n"/>
      <c r="H4104" s="94" t="n"/>
      <c r="I4104" s="94" t="n"/>
      <c r="J4104" s="55" t="n"/>
      <c r="K4104" s="95" t="n"/>
      <c r="L4104" s="116">
        <f>IF($A4104="","",DATE(YEAR($A4104),MONTH($A4104)+IF(AND(IFERROR(N(INDEX(Übersicht!$M$15:$M$22,MATCH($B4104,Übersicht!$A$15:$A$22,0))),0)&gt;1,DAY($A4104)&gt;=IFERROR(N(INDEX(Übersicht!$M$15:$M$22,MATCH($B4104,Übersicht!$A$15:$A$22,0))),0)),1,0),1))</f>
        <v/>
      </c>
    </row>
    <row r="4105">
      <c r="A4105" s="92" t="n"/>
      <c r="B4105" s="55" t="n"/>
      <c r="C4105" s="55" t="n"/>
      <c r="D4105" s="55" t="n"/>
      <c r="E4105" s="93" t="n"/>
      <c r="F4105" s="94" t="n"/>
      <c r="G4105" s="94" t="n"/>
      <c r="H4105" s="94" t="n"/>
      <c r="I4105" s="94" t="n"/>
      <c r="J4105" s="55" t="n"/>
      <c r="K4105" s="95" t="n"/>
      <c r="L4105" s="116">
        <f>IF($A4105="","",DATE(YEAR($A4105),MONTH($A4105)+IF(AND(IFERROR(N(INDEX(Übersicht!$M$15:$M$22,MATCH($B4105,Übersicht!$A$15:$A$22,0))),0)&gt;1,DAY($A4105)&gt;=IFERROR(N(INDEX(Übersicht!$M$15:$M$22,MATCH($B4105,Übersicht!$A$15:$A$22,0))),0)),1,0),1))</f>
        <v/>
      </c>
    </row>
    <row r="4106">
      <c r="A4106" s="92" t="n"/>
      <c r="B4106" s="55" t="n"/>
      <c r="C4106" s="55" t="n"/>
      <c r="D4106" s="55" t="n"/>
      <c r="E4106" s="93" t="n"/>
      <c r="F4106" s="94" t="n"/>
      <c r="G4106" s="94" t="n"/>
      <c r="H4106" s="94" t="n"/>
      <c r="I4106" s="94" t="n"/>
      <c r="J4106" s="55" t="n"/>
      <c r="K4106" s="95" t="n"/>
      <c r="L4106" s="116">
        <f>IF($A4106="","",DATE(YEAR($A4106),MONTH($A4106)+IF(AND(IFERROR(N(INDEX(Übersicht!$M$15:$M$22,MATCH($B4106,Übersicht!$A$15:$A$22,0))),0)&gt;1,DAY($A4106)&gt;=IFERROR(N(INDEX(Übersicht!$M$15:$M$22,MATCH($B4106,Übersicht!$A$15:$A$22,0))),0)),1,0),1))</f>
        <v/>
      </c>
    </row>
    <row r="4107">
      <c r="A4107" s="92" t="n"/>
      <c r="B4107" s="55" t="n"/>
      <c r="C4107" s="55" t="n"/>
      <c r="D4107" s="55" t="n"/>
      <c r="E4107" s="93" t="n"/>
      <c r="F4107" s="94" t="n"/>
      <c r="G4107" s="94" t="n"/>
      <c r="H4107" s="94" t="n"/>
      <c r="I4107" s="94" t="n"/>
      <c r="J4107" s="55" t="n"/>
      <c r="K4107" s="95" t="n"/>
      <c r="L4107" s="116">
        <f>IF($A4107="","",DATE(YEAR($A4107),MONTH($A4107)+IF(AND(IFERROR(N(INDEX(Übersicht!$M$15:$M$22,MATCH($B4107,Übersicht!$A$15:$A$22,0))),0)&gt;1,DAY($A4107)&gt;=IFERROR(N(INDEX(Übersicht!$M$15:$M$22,MATCH($B4107,Übersicht!$A$15:$A$22,0))),0)),1,0),1))</f>
        <v/>
      </c>
    </row>
    <row r="4108">
      <c r="A4108" s="92" t="n"/>
      <c r="B4108" s="55" t="n"/>
      <c r="C4108" s="55" t="n"/>
      <c r="D4108" s="55" t="n"/>
      <c r="E4108" s="93" t="n"/>
      <c r="F4108" s="94" t="n"/>
      <c r="G4108" s="94" t="n"/>
      <c r="H4108" s="94" t="n"/>
      <c r="I4108" s="94" t="n"/>
      <c r="J4108" s="55" t="n"/>
      <c r="K4108" s="95" t="n"/>
      <c r="L4108" s="116">
        <f>IF($A4108="","",DATE(YEAR($A4108),MONTH($A4108)+IF(AND(IFERROR(N(INDEX(Übersicht!$M$15:$M$22,MATCH($B4108,Übersicht!$A$15:$A$22,0))),0)&gt;1,DAY($A4108)&gt;=IFERROR(N(INDEX(Übersicht!$M$15:$M$22,MATCH($B4108,Übersicht!$A$15:$A$22,0))),0)),1,0),1))</f>
        <v/>
      </c>
    </row>
    <row r="4109">
      <c r="A4109" s="92" t="n"/>
      <c r="B4109" s="55" t="n"/>
      <c r="C4109" s="55" t="n"/>
      <c r="D4109" s="55" t="n"/>
      <c r="E4109" s="93" t="n"/>
      <c r="F4109" s="94" t="n"/>
      <c r="G4109" s="94" t="n"/>
      <c r="H4109" s="94" t="n"/>
      <c r="I4109" s="94" t="n"/>
      <c r="J4109" s="55" t="n"/>
      <c r="K4109" s="95" t="n"/>
      <c r="L4109" s="116">
        <f>IF($A4109="","",DATE(YEAR($A4109),MONTH($A4109)+IF(AND(IFERROR(N(INDEX(Übersicht!$M$15:$M$22,MATCH($B4109,Übersicht!$A$15:$A$22,0))),0)&gt;1,DAY($A4109)&gt;=IFERROR(N(INDEX(Übersicht!$M$15:$M$22,MATCH($B4109,Übersicht!$A$15:$A$22,0))),0)),1,0),1))</f>
        <v/>
      </c>
    </row>
    <row r="4110">
      <c r="A4110" s="92" t="n"/>
      <c r="B4110" s="55" t="n"/>
      <c r="C4110" s="55" t="n"/>
      <c r="D4110" s="55" t="n"/>
      <c r="E4110" s="93" t="n"/>
      <c r="F4110" s="94" t="n"/>
      <c r="G4110" s="94" t="n"/>
      <c r="H4110" s="94" t="n"/>
      <c r="I4110" s="94" t="n"/>
      <c r="J4110" s="55" t="n"/>
      <c r="K4110" s="95" t="n"/>
      <c r="L4110" s="116">
        <f>IF($A4110="","",DATE(YEAR($A4110),MONTH($A4110)+IF(AND(IFERROR(N(INDEX(Übersicht!$M$15:$M$22,MATCH($B4110,Übersicht!$A$15:$A$22,0))),0)&gt;1,DAY($A4110)&gt;=IFERROR(N(INDEX(Übersicht!$M$15:$M$22,MATCH($B4110,Übersicht!$A$15:$A$22,0))),0)),1,0),1))</f>
        <v/>
      </c>
    </row>
    <row r="4111">
      <c r="A4111" s="92" t="n"/>
      <c r="B4111" s="55" t="n"/>
      <c r="C4111" s="55" t="n"/>
      <c r="D4111" s="55" t="n"/>
      <c r="E4111" s="93" t="n"/>
      <c r="F4111" s="94" t="n"/>
      <c r="G4111" s="94" t="n"/>
      <c r="H4111" s="94" t="n"/>
      <c r="I4111" s="94" t="n"/>
      <c r="J4111" s="55" t="n"/>
      <c r="K4111" s="95" t="n"/>
      <c r="L4111" s="116">
        <f>IF($A4111="","",DATE(YEAR($A4111),MONTH($A4111)+IF(AND(IFERROR(N(INDEX(Übersicht!$M$15:$M$22,MATCH($B4111,Übersicht!$A$15:$A$22,0))),0)&gt;1,DAY($A4111)&gt;=IFERROR(N(INDEX(Übersicht!$M$15:$M$22,MATCH($B4111,Übersicht!$A$15:$A$22,0))),0)),1,0),1))</f>
        <v/>
      </c>
    </row>
    <row r="4112">
      <c r="A4112" s="92" t="n"/>
      <c r="B4112" s="55" t="n"/>
      <c r="C4112" s="55" t="n"/>
      <c r="D4112" s="55" t="n"/>
      <c r="E4112" s="93" t="n"/>
      <c r="F4112" s="94" t="n"/>
      <c r="G4112" s="94" t="n"/>
      <c r="H4112" s="94" t="n"/>
      <c r="I4112" s="94" t="n"/>
      <c r="J4112" s="55" t="n"/>
      <c r="K4112" s="95" t="n"/>
      <c r="L4112" s="116">
        <f>IF($A4112="","",DATE(YEAR($A4112),MONTH($A4112)+IF(AND(IFERROR(N(INDEX(Übersicht!$M$15:$M$22,MATCH($B4112,Übersicht!$A$15:$A$22,0))),0)&gt;1,DAY($A4112)&gt;=IFERROR(N(INDEX(Übersicht!$M$15:$M$22,MATCH($B4112,Übersicht!$A$15:$A$22,0))),0)),1,0),1))</f>
        <v/>
      </c>
    </row>
    <row r="4113">
      <c r="A4113" s="92" t="n"/>
      <c r="B4113" s="55" t="n"/>
      <c r="C4113" s="55" t="n"/>
      <c r="D4113" s="55" t="n"/>
      <c r="E4113" s="93" t="n"/>
      <c r="F4113" s="94" t="n"/>
      <c r="G4113" s="94" t="n"/>
      <c r="H4113" s="94" t="n"/>
      <c r="I4113" s="94" t="n"/>
      <c r="J4113" s="55" t="n"/>
      <c r="K4113" s="95" t="n"/>
      <c r="L4113" s="116">
        <f>IF($A4113="","",DATE(YEAR($A4113),MONTH($A4113)+IF(AND(IFERROR(N(INDEX(Übersicht!$M$15:$M$22,MATCH($B4113,Übersicht!$A$15:$A$22,0))),0)&gt;1,DAY($A4113)&gt;=IFERROR(N(INDEX(Übersicht!$M$15:$M$22,MATCH($B4113,Übersicht!$A$15:$A$22,0))),0)),1,0),1))</f>
        <v/>
      </c>
    </row>
    <row r="4114">
      <c r="A4114" s="92" t="n"/>
      <c r="B4114" s="55" t="n"/>
      <c r="C4114" s="55" t="n"/>
      <c r="D4114" s="55" t="n"/>
      <c r="E4114" s="93" t="n"/>
      <c r="F4114" s="94" t="n"/>
      <c r="G4114" s="94" t="n"/>
      <c r="H4114" s="94" t="n"/>
      <c r="I4114" s="94" t="n"/>
      <c r="J4114" s="55" t="n"/>
      <c r="K4114" s="95" t="n"/>
      <c r="L4114" s="116">
        <f>IF($A4114="","",DATE(YEAR($A4114),MONTH($A4114)+IF(AND(IFERROR(N(INDEX(Übersicht!$M$15:$M$22,MATCH($B4114,Übersicht!$A$15:$A$22,0))),0)&gt;1,DAY($A4114)&gt;=IFERROR(N(INDEX(Übersicht!$M$15:$M$22,MATCH($B4114,Übersicht!$A$15:$A$22,0))),0)),1,0),1))</f>
        <v/>
      </c>
    </row>
    <row r="4115">
      <c r="A4115" s="92" t="n"/>
      <c r="B4115" s="55" t="n"/>
      <c r="C4115" s="55" t="n"/>
      <c r="D4115" s="55" t="n"/>
      <c r="E4115" s="93" t="n"/>
      <c r="F4115" s="94" t="n"/>
      <c r="G4115" s="94" t="n"/>
      <c r="H4115" s="94" t="n"/>
      <c r="I4115" s="94" t="n"/>
      <c r="J4115" s="55" t="n"/>
      <c r="K4115" s="95" t="n"/>
      <c r="L4115" s="116">
        <f>IF($A4115="","",DATE(YEAR($A4115),MONTH($A4115)+IF(AND(IFERROR(N(INDEX(Übersicht!$M$15:$M$22,MATCH($B4115,Übersicht!$A$15:$A$22,0))),0)&gt;1,DAY($A4115)&gt;=IFERROR(N(INDEX(Übersicht!$M$15:$M$22,MATCH($B4115,Übersicht!$A$15:$A$22,0))),0)),1,0),1))</f>
        <v/>
      </c>
    </row>
    <row r="4116">
      <c r="A4116" s="92" t="n"/>
      <c r="B4116" s="55" t="n"/>
      <c r="C4116" s="55" t="n"/>
      <c r="D4116" s="55" t="n"/>
      <c r="E4116" s="93" t="n"/>
      <c r="F4116" s="94" t="n"/>
      <c r="G4116" s="94" t="n"/>
      <c r="H4116" s="94" t="n"/>
      <c r="I4116" s="94" t="n"/>
      <c r="J4116" s="55" t="n"/>
      <c r="K4116" s="95" t="n"/>
      <c r="L4116" s="116">
        <f>IF($A4116="","",DATE(YEAR($A4116),MONTH($A4116)+IF(AND(IFERROR(N(INDEX(Übersicht!$M$15:$M$22,MATCH($B4116,Übersicht!$A$15:$A$22,0))),0)&gt;1,DAY($A4116)&gt;=IFERROR(N(INDEX(Übersicht!$M$15:$M$22,MATCH($B4116,Übersicht!$A$15:$A$22,0))),0)),1,0),1))</f>
        <v/>
      </c>
    </row>
    <row r="4117">
      <c r="A4117" s="92" t="n"/>
      <c r="B4117" s="55" t="n"/>
      <c r="C4117" s="55" t="n"/>
      <c r="D4117" s="55" t="n"/>
      <c r="E4117" s="93" t="n"/>
      <c r="F4117" s="94" t="n"/>
      <c r="G4117" s="94" t="n"/>
      <c r="H4117" s="94" t="n"/>
      <c r="I4117" s="94" t="n"/>
      <c r="J4117" s="55" t="n"/>
      <c r="K4117" s="95" t="n"/>
      <c r="L4117" s="116">
        <f>IF($A4117="","",DATE(YEAR($A4117),MONTH($A4117)+IF(AND(IFERROR(N(INDEX(Übersicht!$M$15:$M$22,MATCH($B4117,Übersicht!$A$15:$A$22,0))),0)&gt;1,DAY($A4117)&gt;=IFERROR(N(INDEX(Übersicht!$M$15:$M$22,MATCH($B4117,Übersicht!$A$15:$A$22,0))),0)),1,0),1))</f>
        <v/>
      </c>
    </row>
    <row r="4118">
      <c r="A4118" s="92" t="n"/>
      <c r="B4118" s="55" t="n"/>
      <c r="C4118" s="55" t="n"/>
      <c r="D4118" s="55" t="n"/>
      <c r="E4118" s="93" t="n"/>
      <c r="F4118" s="94" t="n"/>
      <c r="G4118" s="94" t="n"/>
      <c r="H4118" s="94" t="n"/>
      <c r="I4118" s="94" t="n"/>
      <c r="J4118" s="55" t="n"/>
      <c r="K4118" s="95" t="n"/>
      <c r="L4118" s="116">
        <f>IF($A4118="","",DATE(YEAR($A4118),MONTH($A4118)+IF(AND(IFERROR(N(INDEX(Übersicht!$M$15:$M$22,MATCH($B4118,Übersicht!$A$15:$A$22,0))),0)&gt;1,DAY($A4118)&gt;=IFERROR(N(INDEX(Übersicht!$M$15:$M$22,MATCH($B4118,Übersicht!$A$15:$A$22,0))),0)),1,0),1))</f>
        <v/>
      </c>
    </row>
    <row r="4119">
      <c r="A4119" s="92" t="n"/>
      <c r="B4119" s="55" t="n"/>
      <c r="C4119" s="55" t="n"/>
      <c r="D4119" s="55" t="n"/>
      <c r="E4119" s="93" t="n"/>
      <c r="F4119" s="94" t="n"/>
      <c r="G4119" s="94" t="n"/>
      <c r="H4119" s="94" t="n"/>
      <c r="I4119" s="94" t="n"/>
      <c r="J4119" s="55" t="n"/>
      <c r="K4119" s="95" t="n"/>
      <c r="L4119" s="116">
        <f>IF($A4119="","",DATE(YEAR($A4119),MONTH($A4119)+IF(AND(IFERROR(N(INDEX(Übersicht!$M$15:$M$22,MATCH($B4119,Übersicht!$A$15:$A$22,0))),0)&gt;1,DAY($A4119)&gt;=IFERROR(N(INDEX(Übersicht!$M$15:$M$22,MATCH($B4119,Übersicht!$A$15:$A$22,0))),0)),1,0),1))</f>
        <v/>
      </c>
    </row>
    <row r="4120">
      <c r="A4120" s="92" t="n"/>
      <c r="B4120" s="55" t="n"/>
      <c r="C4120" s="55" t="n"/>
      <c r="D4120" s="55" t="n"/>
      <c r="E4120" s="93" t="n"/>
      <c r="F4120" s="94" t="n"/>
      <c r="G4120" s="94" t="n"/>
      <c r="H4120" s="94" t="n"/>
      <c r="I4120" s="94" t="n"/>
      <c r="J4120" s="55" t="n"/>
      <c r="K4120" s="95" t="n"/>
      <c r="L4120" s="116">
        <f>IF($A4120="","",DATE(YEAR($A4120),MONTH($A4120)+IF(AND(IFERROR(N(INDEX(Übersicht!$M$15:$M$22,MATCH($B4120,Übersicht!$A$15:$A$22,0))),0)&gt;1,DAY($A4120)&gt;=IFERROR(N(INDEX(Übersicht!$M$15:$M$22,MATCH($B4120,Übersicht!$A$15:$A$22,0))),0)),1,0),1))</f>
        <v/>
      </c>
    </row>
    <row r="4121">
      <c r="A4121" s="92" t="n"/>
      <c r="B4121" s="55" t="n"/>
      <c r="C4121" s="55" t="n"/>
      <c r="D4121" s="55" t="n"/>
      <c r="E4121" s="93" t="n"/>
      <c r="F4121" s="94" t="n"/>
      <c r="G4121" s="94" t="n"/>
      <c r="H4121" s="94" t="n"/>
      <c r="I4121" s="94" t="n"/>
      <c r="J4121" s="55" t="n"/>
      <c r="K4121" s="95" t="n"/>
      <c r="L4121" s="116">
        <f>IF($A4121="","",DATE(YEAR($A4121),MONTH($A4121)+IF(AND(IFERROR(N(INDEX(Übersicht!$M$15:$M$22,MATCH($B4121,Übersicht!$A$15:$A$22,0))),0)&gt;1,DAY($A4121)&gt;=IFERROR(N(INDEX(Übersicht!$M$15:$M$22,MATCH($B4121,Übersicht!$A$15:$A$22,0))),0)),1,0),1))</f>
        <v/>
      </c>
    </row>
    <row r="4122">
      <c r="A4122" s="92" t="n"/>
      <c r="B4122" s="55" t="n"/>
      <c r="C4122" s="55" t="n"/>
      <c r="D4122" s="55" t="n"/>
      <c r="E4122" s="93" t="n"/>
      <c r="F4122" s="94" t="n"/>
      <c r="G4122" s="94" t="n"/>
      <c r="H4122" s="94" t="n"/>
      <c r="I4122" s="94" t="n"/>
      <c r="J4122" s="55" t="n"/>
      <c r="K4122" s="95" t="n"/>
      <c r="L4122" s="116">
        <f>IF($A4122="","",DATE(YEAR($A4122),MONTH($A4122)+IF(AND(IFERROR(N(INDEX(Übersicht!$M$15:$M$22,MATCH($B4122,Übersicht!$A$15:$A$22,0))),0)&gt;1,DAY($A4122)&gt;=IFERROR(N(INDEX(Übersicht!$M$15:$M$22,MATCH($B4122,Übersicht!$A$15:$A$22,0))),0)),1,0),1))</f>
        <v/>
      </c>
    </row>
    <row r="4123">
      <c r="A4123" s="92" t="n"/>
      <c r="B4123" s="55" t="n"/>
      <c r="C4123" s="55" t="n"/>
      <c r="D4123" s="55" t="n"/>
      <c r="E4123" s="93" t="n"/>
      <c r="F4123" s="94" t="n"/>
      <c r="G4123" s="94" t="n"/>
      <c r="H4123" s="94" t="n"/>
      <c r="I4123" s="94" t="n"/>
      <c r="J4123" s="55" t="n"/>
      <c r="K4123" s="95" t="n"/>
      <c r="L4123" s="116">
        <f>IF($A4123="","",DATE(YEAR($A4123),MONTH($A4123)+IF(AND(IFERROR(N(INDEX(Übersicht!$M$15:$M$22,MATCH($B4123,Übersicht!$A$15:$A$22,0))),0)&gt;1,DAY($A4123)&gt;=IFERROR(N(INDEX(Übersicht!$M$15:$M$22,MATCH($B4123,Übersicht!$A$15:$A$22,0))),0)),1,0),1))</f>
        <v/>
      </c>
    </row>
    <row r="4124">
      <c r="A4124" s="92" t="n"/>
      <c r="B4124" s="55" t="n"/>
      <c r="C4124" s="55" t="n"/>
      <c r="D4124" s="55" t="n"/>
      <c r="E4124" s="93" t="n"/>
      <c r="F4124" s="94" t="n"/>
      <c r="G4124" s="94" t="n"/>
      <c r="H4124" s="94" t="n"/>
      <c r="I4124" s="94" t="n"/>
      <c r="J4124" s="55" t="n"/>
      <c r="K4124" s="95" t="n"/>
      <c r="L4124" s="116">
        <f>IF($A4124="","",DATE(YEAR($A4124),MONTH($A4124)+IF(AND(IFERROR(N(INDEX(Übersicht!$M$15:$M$22,MATCH($B4124,Übersicht!$A$15:$A$22,0))),0)&gt;1,DAY($A4124)&gt;=IFERROR(N(INDEX(Übersicht!$M$15:$M$22,MATCH($B4124,Übersicht!$A$15:$A$22,0))),0)),1,0),1))</f>
        <v/>
      </c>
    </row>
    <row r="4125">
      <c r="A4125" s="92" t="n"/>
      <c r="B4125" s="55" t="n"/>
      <c r="C4125" s="55" t="n"/>
      <c r="D4125" s="55" t="n"/>
      <c r="E4125" s="93" t="n"/>
      <c r="F4125" s="94" t="n"/>
      <c r="G4125" s="94" t="n"/>
      <c r="H4125" s="94" t="n"/>
      <c r="I4125" s="94" t="n"/>
      <c r="J4125" s="55" t="n"/>
      <c r="K4125" s="95" t="n"/>
      <c r="L4125" s="116">
        <f>IF($A4125="","",DATE(YEAR($A4125),MONTH($A4125)+IF(AND(IFERROR(N(INDEX(Übersicht!$M$15:$M$22,MATCH($B4125,Übersicht!$A$15:$A$22,0))),0)&gt;1,DAY($A4125)&gt;=IFERROR(N(INDEX(Übersicht!$M$15:$M$22,MATCH($B4125,Übersicht!$A$15:$A$22,0))),0)),1,0),1))</f>
        <v/>
      </c>
    </row>
    <row r="4126">
      <c r="A4126" s="92" t="n"/>
      <c r="B4126" s="55" t="n"/>
      <c r="C4126" s="55" t="n"/>
      <c r="D4126" s="55" t="n"/>
      <c r="E4126" s="93" t="n"/>
      <c r="F4126" s="94" t="n"/>
      <c r="G4126" s="94" t="n"/>
      <c r="H4126" s="94" t="n"/>
      <c r="I4126" s="94" t="n"/>
      <c r="J4126" s="55" t="n"/>
      <c r="K4126" s="95" t="n"/>
      <c r="L4126" s="116">
        <f>IF($A4126="","",DATE(YEAR($A4126),MONTH($A4126)+IF(AND(IFERROR(N(INDEX(Übersicht!$M$15:$M$22,MATCH($B4126,Übersicht!$A$15:$A$22,0))),0)&gt;1,DAY($A4126)&gt;=IFERROR(N(INDEX(Übersicht!$M$15:$M$22,MATCH($B4126,Übersicht!$A$15:$A$22,0))),0)),1,0),1))</f>
        <v/>
      </c>
    </row>
    <row r="4127">
      <c r="A4127" s="92" t="n"/>
      <c r="B4127" s="55" t="n"/>
      <c r="C4127" s="55" t="n"/>
      <c r="D4127" s="55" t="n"/>
      <c r="E4127" s="93" t="n"/>
      <c r="F4127" s="94" t="n"/>
      <c r="G4127" s="94" t="n"/>
      <c r="H4127" s="94" t="n"/>
      <c r="I4127" s="94" t="n"/>
      <c r="J4127" s="55" t="n"/>
      <c r="K4127" s="95" t="n"/>
      <c r="L4127" s="116">
        <f>IF($A4127="","",DATE(YEAR($A4127),MONTH($A4127)+IF(AND(IFERROR(N(INDEX(Übersicht!$M$15:$M$22,MATCH($B4127,Übersicht!$A$15:$A$22,0))),0)&gt;1,DAY($A4127)&gt;=IFERROR(N(INDEX(Übersicht!$M$15:$M$22,MATCH($B4127,Übersicht!$A$15:$A$22,0))),0)),1,0),1))</f>
        <v/>
      </c>
    </row>
    <row r="4128">
      <c r="A4128" s="92" t="n"/>
      <c r="B4128" s="55" t="n"/>
      <c r="C4128" s="55" t="n"/>
      <c r="D4128" s="55" t="n"/>
      <c r="E4128" s="93" t="n"/>
      <c r="F4128" s="94" t="n"/>
      <c r="G4128" s="94" t="n"/>
      <c r="H4128" s="94" t="n"/>
      <c r="I4128" s="94" t="n"/>
      <c r="J4128" s="55" t="n"/>
      <c r="K4128" s="95" t="n"/>
      <c r="L4128" s="116">
        <f>IF($A4128="","",DATE(YEAR($A4128),MONTH($A4128)+IF(AND(IFERROR(N(INDEX(Übersicht!$M$15:$M$22,MATCH($B4128,Übersicht!$A$15:$A$22,0))),0)&gt;1,DAY($A4128)&gt;=IFERROR(N(INDEX(Übersicht!$M$15:$M$22,MATCH($B4128,Übersicht!$A$15:$A$22,0))),0)),1,0),1))</f>
        <v/>
      </c>
    </row>
    <row r="4129">
      <c r="A4129" s="92" t="n"/>
      <c r="B4129" s="55" t="n"/>
      <c r="C4129" s="55" t="n"/>
      <c r="D4129" s="55" t="n"/>
      <c r="E4129" s="93" t="n"/>
      <c r="F4129" s="94" t="n"/>
      <c r="G4129" s="94" t="n"/>
      <c r="H4129" s="94" t="n"/>
      <c r="I4129" s="94" t="n"/>
      <c r="J4129" s="55" t="n"/>
      <c r="K4129" s="95" t="n"/>
      <c r="L4129" s="116">
        <f>IF($A4129="","",DATE(YEAR($A4129),MONTH($A4129)+IF(AND(IFERROR(N(INDEX(Übersicht!$M$15:$M$22,MATCH($B4129,Übersicht!$A$15:$A$22,0))),0)&gt;1,DAY($A4129)&gt;=IFERROR(N(INDEX(Übersicht!$M$15:$M$22,MATCH($B4129,Übersicht!$A$15:$A$22,0))),0)),1,0),1))</f>
        <v/>
      </c>
    </row>
    <row r="4130">
      <c r="A4130" s="92" t="n"/>
      <c r="B4130" s="55" t="n"/>
      <c r="C4130" s="55" t="n"/>
      <c r="D4130" s="55" t="n"/>
      <c r="E4130" s="93" t="n"/>
      <c r="F4130" s="94" t="n"/>
      <c r="G4130" s="94" t="n"/>
      <c r="H4130" s="94" t="n"/>
      <c r="I4130" s="94" t="n"/>
      <c r="J4130" s="55" t="n"/>
      <c r="K4130" s="95" t="n"/>
      <c r="L4130" s="116">
        <f>IF($A4130="","",DATE(YEAR($A4130),MONTH($A4130)+IF(AND(IFERROR(N(INDEX(Übersicht!$M$15:$M$22,MATCH($B4130,Übersicht!$A$15:$A$22,0))),0)&gt;1,DAY($A4130)&gt;=IFERROR(N(INDEX(Übersicht!$M$15:$M$22,MATCH($B4130,Übersicht!$A$15:$A$22,0))),0)),1,0),1))</f>
        <v/>
      </c>
    </row>
    <row r="4131">
      <c r="A4131" s="92" t="n"/>
      <c r="B4131" s="55" t="n"/>
      <c r="C4131" s="55" t="n"/>
      <c r="D4131" s="55" t="n"/>
      <c r="E4131" s="93" t="n"/>
      <c r="F4131" s="94" t="n"/>
      <c r="G4131" s="94" t="n"/>
      <c r="H4131" s="94" t="n"/>
      <c r="I4131" s="94" t="n"/>
      <c r="J4131" s="55" t="n"/>
      <c r="K4131" s="95" t="n"/>
      <c r="L4131" s="116">
        <f>IF($A4131="","",DATE(YEAR($A4131),MONTH($A4131)+IF(AND(IFERROR(N(INDEX(Übersicht!$M$15:$M$22,MATCH($B4131,Übersicht!$A$15:$A$22,0))),0)&gt;1,DAY($A4131)&gt;=IFERROR(N(INDEX(Übersicht!$M$15:$M$22,MATCH($B4131,Übersicht!$A$15:$A$22,0))),0)),1,0),1))</f>
        <v/>
      </c>
    </row>
    <row r="4132">
      <c r="A4132" s="92" t="n"/>
      <c r="B4132" s="55" t="n"/>
      <c r="C4132" s="55" t="n"/>
      <c r="D4132" s="55" t="n"/>
      <c r="E4132" s="93" t="n"/>
      <c r="F4132" s="94" t="n"/>
      <c r="G4132" s="94" t="n"/>
      <c r="H4132" s="94" t="n"/>
      <c r="I4132" s="94" t="n"/>
      <c r="J4132" s="55" t="n"/>
      <c r="K4132" s="95" t="n"/>
      <c r="L4132" s="116">
        <f>IF($A4132="","",DATE(YEAR($A4132),MONTH($A4132)+IF(AND(IFERROR(N(INDEX(Übersicht!$M$15:$M$22,MATCH($B4132,Übersicht!$A$15:$A$22,0))),0)&gt;1,DAY($A4132)&gt;=IFERROR(N(INDEX(Übersicht!$M$15:$M$22,MATCH($B4132,Übersicht!$A$15:$A$22,0))),0)),1,0),1))</f>
        <v/>
      </c>
    </row>
    <row r="4133">
      <c r="A4133" s="92" t="n"/>
      <c r="B4133" s="55" t="n"/>
      <c r="C4133" s="55" t="n"/>
      <c r="D4133" s="55" t="n"/>
      <c r="E4133" s="93" t="n"/>
      <c r="F4133" s="94" t="n"/>
      <c r="G4133" s="94" t="n"/>
      <c r="H4133" s="94" t="n"/>
      <c r="I4133" s="94" t="n"/>
      <c r="J4133" s="55" t="n"/>
      <c r="K4133" s="95" t="n"/>
      <c r="L4133" s="116">
        <f>IF($A4133="","",DATE(YEAR($A4133),MONTH($A4133)+IF(AND(IFERROR(N(INDEX(Übersicht!$M$15:$M$22,MATCH($B4133,Übersicht!$A$15:$A$22,0))),0)&gt;1,DAY($A4133)&gt;=IFERROR(N(INDEX(Übersicht!$M$15:$M$22,MATCH($B4133,Übersicht!$A$15:$A$22,0))),0)),1,0),1))</f>
        <v/>
      </c>
    </row>
    <row r="4134">
      <c r="A4134" s="92" t="n"/>
      <c r="B4134" s="55" t="n"/>
      <c r="C4134" s="55" t="n"/>
      <c r="D4134" s="55" t="n"/>
      <c r="E4134" s="93" t="n"/>
      <c r="F4134" s="94" t="n"/>
      <c r="G4134" s="94" t="n"/>
      <c r="H4134" s="94" t="n"/>
      <c r="I4134" s="94" t="n"/>
      <c r="J4134" s="55" t="n"/>
      <c r="K4134" s="95" t="n"/>
      <c r="L4134" s="116">
        <f>IF($A4134="","",DATE(YEAR($A4134),MONTH($A4134)+IF(AND(IFERROR(N(INDEX(Übersicht!$M$15:$M$22,MATCH($B4134,Übersicht!$A$15:$A$22,0))),0)&gt;1,DAY($A4134)&gt;=IFERROR(N(INDEX(Übersicht!$M$15:$M$22,MATCH($B4134,Übersicht!$A$15:$A$22,0))),0)),1,0),1))</f>
        <v/>
      </c>
    </row>
    <row r="4135">
      <c r="A4135" s="92" t="n"/>
      <c r="B4135" s="55" t="n"/>
      <c r="C4135" s="55" t="n"/>
      <c r="D4135" s="55" t="n"/>
      <c r="E4135" s="93" t="n"/>
      <c r="F4135" s="94" t="n"/>
      <c r="G4135" s="94" t="n"/>
      <c r="H4135" s="94" t="n"/>
      <c r="I4135" s="94" t="n"/>
      <c r="J4135" s="55" t="n"/>
      <c r="K4135" s="95" t="n"/>
      <c r="L4135" s="116">
        <f>IF($A4135="","",DATE(YEAR($A4135),MONTH($A4135)+IF(AND(IFERROR(N(INDEX(Übersicht!$M$15:$M$22,MATCH($B4135,Übersicht!$A$15:$A$22,0))),0)&gt;1,DAY($A4135)&gt;=IFERROR(N(INDEX(Übersicht!$M$15:$M$22,MATCH($B4135,Übersicht!$A$15:$A$22,0))),0)),1,0),1))</f>
        <v/>
      </c>
    </row>
    <row r="4136">
      <c r="A4136" s="92" t="n"/>
      <c r="B4136" s="55" t="n"/>
      <c r="C4136" s="55" t="n"/>
      <c r="D4136" s="55" t="n"/>
      <c r="E4136" s="93" t="n"/>
      <c r="F4136" s="94" t="n"/>
      <c r="G4136" s="94" t="n"/>
      <c r="H4136" s="94" t="n"/>
      <c r="I4136" s="94" t="n"/>
      <c r="J4136" s="55" t="n"/>
      <c r="K4136" s="95" t="n"/>
      <c r="L4136" s="116">
        <f>IF($A4136="","",DATE(YEAR($A4136),MONTH($A4136)+IF(AND(IFERROR(N(INDEX(Übersicht!$M$15:$M$22,MATCH($B4136,Übersicht!$A$15:$A$22,0))),0)&gt;1,DAY($A4136)&gt;=IFERROR(N(INDEX(Übersicht!$M$15:$M$22,MATCH($B4136,Übersicht!$A$15:$A$22,0))),0)),1,0),1))</f>
        <v/>
      </c>
    </row>
    <row r="4137">
      <c r="A4137" s="92" t="n"/>
      <c r="B4137" s="55" t="n"/>
      <c r="C4137" s="55" t="n"/>
      <c r="D4137" s="55" t="n"/>
      <c r="E4137" s="93" t="n"/>
      <c r="F4137" s="94" t="n"/>
      <c r="G4137" s="94" t="n"/>
      <c r="H4137" s="94" t="n"/>
      <c r="I4137" s="94" t="n"/>
      <c r="J4137" s="55" t="n"/>
      <c r="K4137" s="95" t="n"/>
      <c r="L4137" s="116">
        <f>IF($A4137="","",DATE(YEAR($A4137),MONTH($A4137)+IF(AND(IFERROR(N(INDEX(Übersicht!$M$15:$M$22,MATCH($B4137,Übersicht!$A$15:$A$22,0))),0)&gt;1,DAY($A4137)&gt;=IFERROR(N(INDEX(Übersicht!$M$15:$M$22,MATCH($B4137,Übersicht!$A$15:$A$22,0))),0)),1,0),1))</f>
        <v/>
      </c>
    </row>
    <row r="4138">
      <c r="A4138" s="92" t="n"/>
      <c r="B4138" s="55" t="n"/>
      <c r="C4138" s="55" t="n"/>
      <c r="D4138" s="55" t="n"/>
      <c r="E4138" s="93" t="n"/>
      <c r="F4138" s="94" t="n"/>
      <c r="G4138" s="94" t="n"/>
      <c r="H4138" s="94" t="n"/>
      <c r="I4138" s="94" t="n"/>
      <c r="J4138" s="55" t="n"/>
      <c r="K4138" s="95" t="n"/>
      <c r="L4138" s="116">
        <f>IF($A4138="","",DATE(YEAR($A4138),MONTH($A4138)+IF(AND(IFERROR(N(INDEX(Übersicht!$M$15:$M$22,MATCH($B4138,Übersicht!$A$15:$A$22,0))),0)&gt;1,DAY($A4138)&gt;=IFERROR(N(INDEX(Übersicht!$M$15:$M$22,MATCH($B4138,Übersicht!$A$15:$A$22,0))),0)),1,0),1))</f>
        <v/>
      </c>
    </row>
    <row r="4139">
      <c r="A4139" s="92" t="n"/>
      <c r="B4139" s="55" t="n"/>
      <c r="C4139" s="55" t="n"/>
      <c r="D4139" s="55" t="n"/>
      <c r="E4139" s="93" t="n"/>
      <c r="F4139" s="94" t="n"/>
      <c r="G4139" s="94" t="n"/>
      <c r="H4139" s="94" t="n"/>
      <c r="I4139" s="94" t="n"/>
      <c r="J4139" s="55" t="n"/>
      <c r="K4139" s="95" t="n"/>
      <c r="L4139" s="116">
        <f>IF($A4139="","",DATE(YEAR($A4139),MONTH($A4139)+IF(AND(IFERROR(N(INDEX(Übersicht!$M$15:$M$22,MATCH($B4139,Übersicht!$A$15:$A$22,0))),0)&gt;1,DAY($A4139)&gt;=IFERROR(N(INDEX(Übersicht!$M$15:$M$22,MATCH($B4139,Übersicht!$A$15:$A$22,0))),0)),1,0),1))</f>
        <v/>
      </c>
    </row>
    <row r="4140">
      <c r="A4140" s="92" t="n"/>
      <c r="B4140" s="55" t="n"/>
      <c r="C4140" s="55" t="n"/>
      <c r="D4140" s="55" t="n"/>
      <c r="E4140" s="93" t="n"/>
      <c r="F4140" s="94" t="n"/>
      <c r="G4140" s="94" t="n"/>
      <c r="H4140" s="94" t="n"/>
      <c r="I4140" s="94" t="n"/>
      <c r="J4140" s="55" t="n"/>
      <c r="K4140" s="95" t="n"/>
      <c r="L4140" s="116">
        <f>IF($A4140="","",DATE(YEAR($A4140),MONTH($A4140)+IF(AND(IFERROR(N(INDEX(Übersicht!$M$15:$M$22,MATCH($B4140,Übersicht!$A$15:$A$22,0))),0)&gt;1,DAY($A4140)&gt;=IFERROR(N(INDEX(Übersicht!$M$15:$M$22,MATCH($B4140,Übersicht!$A$15:$A$22,0))),0)),1,0),1))</f>
        <v/>
      </c>
    </row>
    <row r="4141">
      <c r="A4141" s="92" t="n"/>
      <c r="B4141" s="55" t="n"/>
      <c r="C4141" s="55" t="n"/>
      <c r="D4141" s="55" t="n"/>
      <c r="E4141" s="93" t="n"/>
      <c r="F4141" s="94" t="n"/>
      <c r="G4141" s="94" t="n"/>
      <c r="H4141" s="94" t="n"/>
      <c r="I4141" s="94" t="n"/>
      <c r="J4141" s="55" t="n"/>
      <c r="K4141" s="95" t="n"/>
      <c r="L4141" s="116">
        <f>IF($A4141="","",DATE(YEAR($A4141),MONTH($A4141)+IF(AND(IFERROR(N(INDEX(Übersicht!$M$15:$M$22,MATCH($B4141,Übersicht!$A$15:$A$22,0))),0)&gt;1,DAY($A4141)&gt;=IFERROR(N(INDEX(Übersicht!$M$15:$M$22,MATCH($B4141,Übersicht!$A$15:$A$22,0))),0)),1,0),1))</f>
        <v/>
      </c>
    </row>
    <row r="4142">
      <c r="A4142" s="92" t="n"/>
      <c r="B4142" s="55" t="n"/>
      <c r="C4142" s="55" t="n"/>
      <c r="D4142" s="55" t="n"/>
      <c r="E4142" s="93" t="n"/>
      <c r="F4142" s="94" t="n"/>
      <c r="G4142" s="94" t="n"/>
      <c r="H4142" s="94" t="n"/>
      <c r="I4142" s="94" t="n"/>
      <c r="J4142" s="55" t="n"/>
      <c r="K4142" s="95" t="n"/>
      <c r="L4142" s="116">
        <f>IF($A4142="","",DATE(YEAR($A4142),MONTH($A4142)+IF(AND(IFERROR(N(INDEX(Übersicht!$M$15:$M$22,MATCH($B4142,Übersicht!$A$15:$A$22,0))),0)&gt;1,DAY($A4142)&gt;=IFERROR(N(INDEX(Übersicht!$M$15:$M$22,MATCH($B4142,Übersicht!$A$15:$A$22,0))),0)),1,0),1))</f>
        <v/>
      </c>
    </row>
    <row r="4143">
      <c r="A4143" s="92" t="n"/>
      <c r="B4143" s="55" t="n"/>
      <c r="C4143" s="55" t="n"/>
      <c r="D4143" s="55" t="n"/>
      <c r="E4143" s="93" t="n"/>
      <c r="F4143" s="94" t="n"/>
      <c r="G4143" s="94" t="n"/>
      <c r="H4143" s="94" t="n"/>
      <c r="I4143" s="94" t="n"/>
      <c r="J4143" s="55" t="n"/>
      <c r="K4143" s="95" t="n"/>
      <c r="L4143" s="116">
        <f>IF($A4143="","",DATE(YEAR($A4143),MONTH($A4143)+IF(AND(IFERROR(N(INDEX(Übersicht!$M$15:$M$22,MATCH($B4143,Übersicht!$A$15:$A$22,0))),0)&gt;1,DAY($A4143)&gt;=IFERROR(N(INDEX(Übersicht!$M$15:$M$22,MATCH($B4143,Übersicht!$A$15:$A$22,0))),0)),1,0),1))</f>
        <v/>
      </c>
    </row>
    <row r="4144">
      <c r="A4144" s="92" t="n"/>
      <c r="B4144" s="55" t="n"/>
      <c r="C4144" s="55" t="n"/>
      <c r="D4144" s="55" t="n"/>
      <c r="E4144" s="93" t="n"/>
      <c r="F4144" s="94" t="n"/>
      <c r="G4144" s="94" t="n"/>
      <c r="H4144" s="94" t="n"/>
      <c r="I4144" s="94" t="n"/>
      <c r="J4144" s="55" t="n"/>
      <c r="K4144" s="95" t="n"/>
      <c r="L4144" s="116">
        <f>IF($A4144="","",DATE(YEAR($A4144),MONTH($A4144)+IF(AND(IFERROR(N(INDEX(Übersicht!$M$15:$M$22,MATCH($B4144,Übersicht!$A$15:$A$22,0))),0)&gt;1,DAY($A4144)&gt;=IFERROR(N(INDEX(Übersicht!$M$15:$M$22,MATCH($B4144,Übersicht!$A$15:$A$22,0))),0)),1,0),1))</f>
        <v/>
      </c>
    </row>
    <row r="4145">
      <c r="A4145" s="92" t="n"/>
      <c r="B4145" s="55" t="n"/>
      <c r="C4145" s="55" t="n"/>
      <c r="D4145" s="55" t="n"/>
      <c r="E4145" s="93" t="n"/>
      <c r="F4145" s="94" t="n"/>
      <c r="G4145" s="94" t="n"/>
      <c r="H4145" s="94" t="n"/>
      <c r="I4145" s="94" t="n"/>
      <c r="J4145" s="55" t="n"/>
      <c r="K4145" s="95" t="n"/>
      <c r="L4145" s="116">
        <f>IF($A4145="","",DATE(YEAR($A4145),MONTH($A4145)+IF(AND(IFERROR(N(INDEX(Übersicht!$M$15:$M$22,MATCH($B4145,Übersicht!$A$15:$A$22,0))),0)&gt;1,DAY($A4145)&gt;=IFERROR(N(INDEX(Übersicht!$M$15:$M$22,MATCH($B4145,Übersicht!$A$15:$A$22,0))),0)),1,0),1))</f>
        <v/>
      </c>
    </row>
    <row r="4146">
      <c r="A4146" s="92" t="n"/>
      <c r="B4146" s="55" t="n"/>
      <c r="C4146" s="55" t="n"/>
      <c r="D4146" s="55" t="n"/>
      <c r="E4146" s="93" t="n"/>
      <c r="F4146" s="94" t="n"/>
      <c r="G4146" s="94" t="n"/>
      <c r="H4146" s="94" t="n"/>
      <c r="I4146" s="94" t="n"/>
      <c r="J4146" s="55" t="n"/>
      <c r="K4146" s="95" t="n"/>
      <c r="L4146" s="116">
        <f>IF($A4146="","",DATE(YEAR($A4146),MONTH($A4146)+IF(AND(IFERROR(N(INDEX(Übersicht!$M$15:$M$22,MATCH($B4146,Übersicht!$A$15:$A$22,0))),0)&gt;1,DAY($A4146)&gt;=IFERROR(N(INDEX(Übersicht!$M$15:$M$22,MATCH($B4146,Übersicht!$A$15:$A$22,0))),0)),1,0),1))</f>
        <v/>
      </c>
    </row>
    <row r="4147">
      <c r="A4147" s="92" t="n"/>
      <c r="B4147" s="55" t="n"/>
      <c r="C4147" s="55" t="n"/>
      <c r="D4147" s="55" t="n"/>
      <c r="E4147" s="93" t="n"/>
      <c r="F4147" s="94" t="n"/>
      <c r="G4147" s="94" t="n"/>
      <c r="H4147" s="94" t="n"/>
      <c r="I4147" s="94" t="n"/>
      <c r="J4147" s="55" t="n"/>
      <c r="K4147" s="95" t="n"/>
      <c r="L4147" s="116">
        <f>IF($A4147="","",DATE(YEAR($A4147),MONTH($A4147)+IF(AND(IFERROR(N(INDEX(Übersicht!$M$15:$M$22,MATCH($B4147,Übersicht!$A$15:$A$22,0))),0)&gt;1,DAY($A4147)&gt;=IFERROR(N(INDEX(Übersicht!$M$15:$M$22,MATCH($B4147,Übersicht!$A$15:$A$22,0))),0)),1,0),1))</f>
        <v/>
      </c>
    </row>
    <row r="4148">
      <c r="A4148" s="92" t="n"/>
      <c r="B4148" s="55" t="n"/>
      <c r="C4148" s="55" t="n"/>
      <c r="D4148" s="55" t="n"/>
      <c r="E4148" s="93" t="n"/>
      <c r="F4148" s="94" t="n"/>
      <c r="G4148" s="94" t="n"/>
      <c r="H4148" s="94" t="n"/>
      <c r="I4148" s="94" t="n"/>
      <c r="J4148" s="55" t="n"/>
      <c r="K4148" s="95" t="n"/>
      <c r="L4148" s="116">
        <f>IF($A4148="","",DATE(YEAR($A4148),MONTH($A4148)+IF(AND(IFERROR(N(INDEX(Übersicht!$M$15:$M$22,MATCH($B4148,Übersicht!$A$15:$A$22,0))),0)&gt;1,DAY($A4148)&gt;=IFERROR(N(INDEX(Übersicht!$M$15:$M$22,MATCH($B4148,Übersicht!$A$15:$A$22,0))),0)),1,0),1))</f>
        <v/>
      </c>
    </row>
    <row r="4149">
      <c r="A4149" s="92" t="n"/>
      <c r="B4149" s="55" t="n"/>
      <c r="C4149" s="55" t="n"/>
      <c r="D4149" s="55" t="n"/>
      <c r="E4149" s="93" t="n"/>
      <c r="F4149" s="94" t="n"/>
      <c r="G4149" s="94" t="n"/>
      <c r="H4149" s="94" t="n"/>
      <c r="I4149" s="94" t="n"/>
      <c r="J4149" s="55" t="n"/>
      <c r="K4149" s="95" t="n"/>
      <c r="L4149" s="116">
        <f>IF($A4149="","",DATE(YEAR($A4149),MONTH($A4149)+IF(AND(IFERROR(N(INDEX(Übersicht!$M$15:$M$22,MATCH($B4149,Übersicht!$A$15:$A$22,0))),0)&gt;1,DAY($A4149)&gt;=IFERROR(N(INDEX(Übersicht!$M$15:$M$22,MATCH($B4149,Übersicht!$A$15:$A$22,0))),0)),1,0),1))</f>
        <v/>
      </c>
    </row>
    <row r="4150">
      <c r="A4150" s="92" t="n"/>
      <c r="B4150" s="55" t="n"/>
      <c r="C4150" s="55" t="n"/>
      <c r="D4150" s="55" t="n"/>
      <c r="E4150" s="93" t="n"/>
      <c r="F4150" s="94" t="n"/>
      <c r="G4150" s="94" t="n"/>
      <c r="H4150" s="94" t="n"/>
      <c r="I4150" s="94" t="n"/>
      <c r="J4150" s="55" t="n"/>
      <c r="K4150" s="95" t="n"/>
      <c r="L4150" s="116">
        <f>IF($A4150="","",DATE(YEAR($A4150),MONTH($A4150)+IF(AND(IFERROR(N(INDEX(Übersicht!$M$15:$M$22,MATCH($B4150,Übersicht!$A$15:$A$22,0))),0)&gt;1,DAY($A4150)&gt;=IFERROR(N(INDEX(Übersicht!$M$15:$M$22,MATCH($B4150,Übersicht!$A$15:$A$22,0))),0)),1,0),1))</f>
        <v/>
      </c>
    </row>
    <row r="4151">
      <c r="A4151" s="92" t="n"/>
      <c r="B4151" s="55" t="n"/>
      <c r="C4151" s="55" t="n"/>
      <c r="D4151" s="55" t="n"/>
      <c r="E4151" s="93" t="n"/>
      <c r="F4151" s="94" t="n"/>
      <c r="G4151" s="94" t="n"/>
      <c r="H4151" s="94" t="n"/>
      <c r="I4151" s="94" t="n"/>
      <c r="J4151" s="55" t="n"/>
      <c r="K4151" s="95" t="n"/>
      <c r="L4151" s="116">
        <f>IF($A4151="","",DATE(YEAR($A4151),MONTH($A4151)+IF(AND(IFERROR(N(INDEX(Übersicht!$M$15:$M$22,MATCH($B4151,Übersicht!$A$15:$A$22,0))),0)&gt;1,DAY($A4151)&gt;=IFERROR(N(INDEX(Übersicht!$M$15:$M$22,MATCH($B4151,Übersicht!$A$15:$A$22,0))),0)),1,0),1))</f>
        <v/>
      </c>
    </row>
    <row r="4152">
      <c r="A4152" s="92" t="n"/>
      <c r="B4152" s="55" t="n"/>
      <c r="C4152" s="55" t="n"/>
      <c r="D4152" s="55" t="n"/>
      <c r="E4152" s="93" t="n"/>
      <c r="F4152" s="94" t="n"/>
      <c r="G4152" s="94" t="n"/>
      <c r="H4152" s="94" t="n"/>
      <c r="I4152" s="94" t="n"/>
      <c r="J4152" s="55" t="n"/>
      <c r="K4152" s="95" t="n"/>
      <c r="L4152" s="116">
        <f>IF($A4152="","",DATE(YEAR($A4152),MONTH($A4152)+IF(AND(IFERROR(N(INDEX(Übersicht!$M$15:$M$22,MATCH($B4152,Übersicht!$A$15:$A$22,0))),0)&gt;1,DAY($A4152)&gt;=IFERROR(N(INDEX(Übersicht!$M$15:$M$22,MATCH($B4152,Übersicht!$A$15:$A$22,0))),0)),1,0),1))</f>
        <v/>
      </c>
    </row>
    <row r="4153">
      <c r="A4153" s="92" t="n"/>
      <c r="B4153" s="55" t="n"/>
      <c r="C4153" s="55" t="n"/>
      <c r="D4153" s="55" t="n"/>
      <c r="E4153" s="93" t="n"/>
      <c r="F4153" s="94" t="n"/>
      <c r="G4153" s="94" t="n"/>
      <c r="H4153" s="94" t="n"/>
      <c r="I4153" s="94" t="n"/>
      <c r="J4153" s="55" t="n"/>
      <c r="K4153" s="95" t="n"/>
      <c r="L4153" s="116">
        <f>IF($A4153="","",DATE(YEAR($A4153),MONTH($A4153)+IF(AND(IFERROR(N(INDEX(Übersicht!$M$15:$M$22,MATCH($B4153,Übersicht!$A$15:$A$22,0))),0)&gt;1,DAY($A4153)&gt;=IFERROR(N(INDEX(Übersicht!$M$15:$M$22,MATCH($B4153,Übersicht!$A$15:$A$22,0))),0)),1,0),1))</f>
        <v/>
      </c>
    </row>
    <row r="4154">
      <c r="A4154" s="92" t="n"/>
      <c r="B4154" s="55" t="n"/>
      <c r="C4154" s="55" t="n"/>
      <c r="D4154" s="55" t="n"/>
      <c r="E4154" s="93" t="n"/>
      <c r="F4154" s="94" t="n"/>
      <c r="G4154" s="94" t="n"/>
      <c r="H4154" s="94" t="n"/>
      <c r="I4154" s="94" t="n"/>
      <c r="J4154" s="55" t="n"/>
      <c r="K4154" s="95" t="n"/>
      <c r="L4154" s="116">
        <f>IF($A4154="","",DATE(YEAR($A4154),MONTH($A4154)+IF(AND(IFERROR(N(INDEX(Übersicht!$M$15:$M$22,MATCH($B4154,Übersicht!$A$15:$A$22,0))),0)&gt;1,DAY($A4154)&gt;=IFERROR(N(INDEX(Übersicht!$M$15:$M$22,MATCH($B4154,Übersicht!$A$15:$A$22,0))),0)),1,0),1))</f>
        <v/>
      </c>
    </row>
    <row r="4155">
      <c r="A4155" s="92" t="n"/>
      <c r="B4155" s="55" t="n"/>
      <c r="C4155" s="55" t="n"/>
      <c r="D4155" s="55" t="n"/>
      <c r="E4155" s="93" t="n"/>
      <c r="F4155" s="94" t="n"/>
      <c r="G4155" s="94" t="n"/>
      <c r="H4155" s="94" t="n"/>
      <c r="I4155" s="94" t="n"/>
      <c r="J4155" s="55" t="n"/>
      <c r="K4155" s="95" t="n"/>
      <c r="L4155" s="116">
        <f>IF($A4155="","",DATE(YEAR($A4155),MONTH($A4155)+IF(AND(IFERROR(N(INDEX(Übersicht!$M$15:$M$22,MATCH($B4155,Übersicht!$A$15:$A$22,0))),0)&gt;1,DAY($A4155)&gt;=IFERROR(N(INDEX(Übersicht!$M$15:$M$22,MATCH($B4155,Übersicht!$A$15:$A$22,0))),0)),1,0),1))</f>
        <v/>
      </c>
    </row>
    <row r="4156">
      <c r="A4156" s="92" t="n"/>
      <c r="B4156" s="55" t="n"/>
      <c r="C4156" s="55" t="n"/>
      <c r="D4156" s="55" t="n"/>
      <c r="E4156" s="93" t="n"/>
      <c r="F4156" s="94" t="n"/>
      <c r="G4156" s="94" t="n"/>
      <c r="H4156" s="94" t="n"/>
      <c r="I4156" s="94" t="n"/>
      <c r="J4156" s="55" t="n"/>
      <c r="K4156" s="95" t="n"/>
      <c r="L4156" s="116">
        <f>IF($A4156="","",DATE(YEAR($A4156),MONTH($A4156)+IF(AND(IFERROR(N(INDEX(Übersicht!$M$15:$M$22,MATCH($B4156,Übersicht!$A$15:$A$22,0))),0)&gt;1,DAY($A4156)&gt;=IFERROR(N(INDEX(Übersicht!$M$15:$M$22,MATCH($B4156,Übersicht!$A$15:$A$22,0))),0)),1,0),1))</f>
        <v/>
      </c>
    </row>
    <row r="4157">
      <c r="A4157" s="92" t="n"/>
      <c r="B4157" s="55" t="n"/>
      <c r="C4157" s="55" t="n"/>
      <c r="D4157" s="55" t="n"/>
      <c r="E4157" s="93" t="n"/>
      <c r="F4157" s="94" t="n"/>
      <c r="G4157" s="94" t="n"/>
      <c r="H4157" s="94" t="n"/>
      <c r="I4157" s="94" t="n"/>
      <c r="J4157" s="55" t="n"/>
      <c r="K4157" s="95" t="n"/>
      <c r="L4157" s="116">
        <f>IF($A4157="","",DATE(YEAR($A4157),MONTH($A4157)+IF(AND(IFERROR(N(INDEX(Übersicht!$M$15:$M$22,MATCH($B4157,Übersicht!$A$15:$A$22,0))),0)&gt;1,DAY($A4157)&gt;=IFERROR(N(INDEX(Übersicht!$M$15:$M$22,MATCH($B4157,Übersicht!$A$15:$A$22,0))),0)),1,0),1))</f>
        <v/>
      </c>
    </row>
    <row r="4158">
      <c r="A4158" s="92" t="n"/>
      <c r="B4158" s="55" t="n"/>
      <c r="C4158" s="55" t="n"/>
      <c r="D4158" s="55" t="n"/>
      <c r="E4158" s="93" t="n"/>
      <c r="F4158" s="94" t="n"/>
      <c r="G4158" s="94" t="n"/>
      <c r="H4158" s="94" t="n"/>
      <c r="I4158" s="94" t="n"/>
      <c r="J4158" s="55" t="n"/>
      <c r="K4158" s="95" t="n"/>
      <c r="L4158" s="116">
        <f>IF($A4158="","",DATE(YEAR($A4158),MONTH($A4158)+IF(AND(IFERROR(N(INDEX(Übersicht!$M$15:$M$22,MATCH($B4158,Übersicht!$A$15:$A$22,0))),0)&gt;1,DAY($A4158)&gt;=IFERROR(N(INDEX(Übersicht!$M$15:$M$22,MATCH($B4158,Übersicht!$A$15:$A$22,0))),0)),1,0),1))</f>
        <v/>
      </c>
    </row>
    <row r="4159">
      <c r="A4159" s="92" t="n"/>
      <c r="B4159" s="55" t="n"/>
      <c r="C4159" s="55" t="n"/>
      <c r="D4159" s="55" t="n"/>
      <c r="E4159" s="93" t="n"/>
      <c r="F4159" s="94" t="n"/>
      <c r="G4159" s="94" t="n"/>
      <c r="H4159" s="94" t="n"/>
      <c r="I4159" s="94" t="n"/>
      <c r="J4159" s="55" t="n"/>
      <c r="K4159" s="95" t="n"/>
      <c r="L4159" s="116">
        <f>IF($A4159="","",DATE(YEAR($A4159),MONTH($A4159)+IF(AND(IFERROR(N(INDEX(Übersicht!$M$15:$M$22,MATCH($B4159,Übersicht!$A$15:$A$22,0))),0)&gt;1,DAY($A4159)&gt;=IFERROR(N(INDEX(Übersicht!$M$15:$M$22,MATCH($B4159,Übersicht!$A$15:$A$22,0))),0)),1,0),1))</f>
        <v/>
      </c>
    </row>
    <row r="4160">
      <c r="A4160" s="92" t="n"/>
      <c r="B4160" s="55" t="n"/>
      <c r="C4160" s="55" t="n"/>
      <c r="D4160" s="55" t="n"/>
      <c r="E4160" s="93" t="n"/>
      <c r="F4160" s="94" t="n"/>
      <c r="G4160" s="94" t="n"/>
      <c r="H4160" s="94" t="n"/>
      <c r="I4160" s="94" t="n"/>
      <c r="J4160" s="55" t="n"/>
      <c r="K4160" s="95" t="n"/>
      <c r="L4160" s="116">
        <f>IF($A4160="","",DATE(YEAR($A4160),MONTH($A4160)+IF(AND(IFERROR(N(INDEX(Übersicht!$M$15:$M$22,MATCH($B4160,Übersicht!$A$15:$A$22,0))),0)&gt;1,DAY($A4160)&gt;=IFERROR(N(INDEX(Übersicht!$M$15:$M$22,MATCH($B4160,Übersicht!$A$15:$A$22,0))),0)),1,0),1))</f>
        <v/>
      </c>
    </row>
    <row r="4161">
      <c r="A4161" s="92" t="n"/>
      <c r="B4161" s="55" t="n"/>
      <c r="C4161" s="55" t="n"/>
      <c r="D4161" s="55" t="n"/>
      <c r="E4161" s="93" t="n"/>
      <c r="F4161" s="94" t="n"/>
      <c r="G4161" s="94" t="n"/>
      <c r="H4161" s="94" t="n"/>
      <c r="I4161" s="94" t="n"/>
      <c r="J4161" s="55" t="n"/>
      <c r="K4161" s="95" t="n"/>
      <c r="L4161" s="116">
        <f>IF($A4161="","",DATE(YEAR($A4161),MONTH($A4161)+IF(AND(IFERROR(N(INDEX(Übersicht!$M$15:$M$22,MATCH($B4161,Übersicht!$A$15:$A$22,0))),0)&gt;1,DAY($A4161)&gt;=IFERROR(N(INDEX(Übersicht!$M$15:$M$22,MATCH($B4161,Übersicht!$A$15:$A$22,0))),0)),1,0),1))</f>
        <v/>
      </c>
    </row>
    <row r="4162">
      <c r="A4162" s="92" t="n"/>
      <c r="B4162" s="55" t="n"/>
      <c r="C4162" s="55" t="n"/>
      <c r="D4162" s="55" t="n"/>
      <c r="E4162" s="93" t="n"/>
      <c r="F4162" s="94" t="n"/>
      <c r="G4162" s="94" t="n"/>
      <c r="H4162" s="94" t="n"/>
      <c r="I4162" s="94" t="n"/>
      <c r="J4162" s="55" t="n"/>
      <c r="K4162" s="95" t="n"/>
      <c r="L4162" s="116">
        <f>IF($A4162="","",DATE(YEAR($A4162),MONTH($A4162)+IF(AND(IFERROR(N(INDEX(Übersicht!$M$15:$M$22,MATCH($B4162,Übersicht!$A$15:$A$22,0))),0)&gt;1,DAY($A4162)&gt;=IFERROR(N(INDEX(Übersicht!$M$15:$M$22,MATCH($B4162,Übersicht!$A$15:$A$22,0))),0)),1,0),1))</f>
        <v/>
      </c>
    </row>
    <row r="4163">
      <c r="A4163" s="92" t="n"/>
      <c r="B4163" s="55" t="n"/>
      <c r="C4163" s="55" t="n"/>
      <c r="D4163" s="55" t="n"/>
      <c r="E4163" s="93" t="n"/>
      <c r="F4163" s="94" t="n"/>
      <c r="G4163" s="94" t="n"/>
      <c r="H4163" s="94" t="n"/>
      <c r="I4163" s="94" t="n"/>
      <c r="J4163" s="55" t="n"/>
      <c r="K4163" s="95" t="n"/>
      <c r="L4163" s="116">
        <f>IF($A4163="","",DATE(YEAR($A4163),MONTH($A4163)+IF(AND(IFERROR(N(INDEX(Übersicht!$M$15:$M$22,MATCH($B4163,Übersicht!$A$15:$A$22,0))),0)&gt;1,DAY($A4163)&gt;=IFERROR(N(INDEX(Übersicht!$M$15:$M$22,MATCH($B4163,Übersicht!$A$15:$A$22,0))),0)),1,0),1))</f>
        <v/>
      </c>
    </row>
    <row r="4164">
      <c r="A4164" s="92" t="n"/>
      <c r="B4164" s="55" t="n"/>
      <c r="C4164" s="55" t="n"/>
      <c r="D4164" s="55" t="n"/>
      <c r="E4164" s="93" t="n"/>
      <c r="F4164" s="94" t="n"/>
      <c r="G4164" s="94" t="n"/>
      <c r="H4164" s="94" t="n"/>
      <c r="I4164" s="94" t="n"/>
      <c r="J4164" s="55" t="n"/>
      <c r="K4164" s="95" t="n"/>
      <c r="L4164" s="116">
        <f>IF($A4164="","",DATE(YEAR($A4164),MONTH($A4164)+IF(AND(IFERROR(N(INDEX(Übersicht!$M$15:$M$22,MATCH($B4164,Übersicht!$A$15:$A$22,0))),0)&gt;1,DAY($A4164)&gt;=IFERROR(N(INDEX(Übersicht!$M$15:$M$22,MATCH($B4164,Übersicht!$A$15:$A$22,0))),0)),1,0),1))</f>
        <v/>
      </c>
    </row>
    <row r="4165">
      <c r="A4165" s="92" t="n"/>
      <c r="B4165" s="55" t="n"/>
      <c r="C4165" s="55" t="n"/>
      <c r="D4165" s="55" t="n"/>
      <c r="E4165" s="93" t="n"/>
      <c r="F4165" s="94" t="n"/>
      <c r="G4165" s="94" t="n"/>
      <c r="H4165" s="94" t="n"/>
      <c r="I4165" s="94" t="n"/>
      <c r="J4165" s="55" t="n"/>
      <c r="K4165" s="95" t="n"/>
      <c r="L4165" s="116">
        <f>IF($A4165="","",DATE(YEAR($A4165),MONTH($A4165)+IF(AND(IFERROR(N(INDEX(Übersicht!$M$15:$M$22,MATCH($B4165,Übersicht!$A$15:$A$22,0))),0)&gt;1,DAY($A4165)&gt;=IFERROR(N(INDEX(Übersicht!$M$15:$M$22,MATCH($B4165,Übersicht!$A$15:$A$22,0))),0)),1,0),1))</f>
        <v/>
      </c>
    </row>
    <row r="4166">
      <c r="A4166" s="92" t="n"/>
      <c r="B4166" s="55" t="n"/>
      <c r="C4166" s="55" t="n"/>
      <c r="D4166" s="55" t="n"/>
      <c r="E4166" s="93" t="n"/>
      <c r="F4166" s="94" t="n"/>
      <c r="G4166" s="94" t="n"/>
      <c r="H4166" s="94" t="n"/>
      <c r="I4166" s="94" t="n"/>
      <c r="J4166" s="55" t="n"/>
      <c r="K4166" s="95" t="n"/>
      <c r="L4166" s="116">
        <f>IF($A4166="","",DATE(YEAR($A4166),MONTH($A4166)+IF(AND(IFERROR(N(INDEX(Übersicht!$M$15:$M$22,MATCH($B4166,Übersicht!$A$15:$A$22,0))),0)&gt;1,DAY($A4166)&gt;=IFERROR(N(INDEX(Übersicht!$M$15:$M$22,MATCH($B4166,Übersicht!$A$15:$A$22,0))),0)),1,0),1))</f>
        <v/>
      </c>
    </row>
    <row r="4167">
      <c r="A4167" s="92" t="n"/>
      <c r="B4167" s="55" t="n"/>
      <c r="C4167" s="55" t="n"/>
      <c r="D4167" s="55" t="n"/>
      <c r="E4167" s="93" t="n"/>
      <c r="F4167" s="94" t="n"/>
      <c r="G4167" s="94" t="n"/>
      <c r="H4167" s="94" t="n"/>
      <c r="I4167" s="94" t="n"/>
      <c r="J4167" s="55" t="n"/>
      <c r="K4167" s="95" t="n"/>
      <c r="L4167" s="116">
        <f>IF($A4167="","",DATE(YEAR($A4167),MONTH($A4167)+IF(AND(IFERROR(N(INDEX(Übersicht!$M$15:$M$22,MATCH($B4167,Übersicht!$A$15:$A$22,0))),0)&gt;1,DAY($A4167)&gt;=IFERROR(N(INDEX(Übersicht!$M$15:$M$22,MATCH($B4167,Übersicht!$A$15:$A$22,0))),0)),1,0),1))</f>
        <v/>
      </c>
    </row>
    <row r="4168">
      <c r="A4168" s="92" t="n"/>
      <c r="B4168" s="55" t="n"/>
      <c r="C4168" s="55" t="n"/>
      <c r="D4168" s="55" t="n"/>
      <c r="E4168" s="93" t="n"/>
      <c r="F4168" s="94" t="n"/>
      <c r="G4168" s="94" t="n"/>
      <c r="H4168" s="94" t="n"/>
      <c r="I4168" s="94" t="n"/>
      <c r="J4168" s="55" t="n"/>
      <c r="K4168" s="95" t="n"/>
      <c r="L4168" s="116">
        <f>IF($A4168="","",DATE(YEAR($A4168),MONTH($A4168)+IF(AND(IFERROR(N(INDEX(Übersicht!$M$15:$M$22,MATCH($B4168,Übersicht!$A$15:$A$22,0))),0)&gt;1,DAY($A4168)&gt;=IFERROR(N(INDEX(Übersicht!$M$15:$M$22,MATCH($B4168,Übersicht!$A$15:$A$22,0))),0)),1,0),1))</f>
        <v/>
      </c>
    </row>
    <row r="4169">
      <c r="A4169" s="92" t="n"/>
      <c r="B4169" s="55" t="n"/>
      <c r="C4169" s="55" t="n"/>
      <c r="D4169" s="55" t="n"/>
      <c r="E4169" s="93" t="n"/>
      <c r="F4169" s="94" t="n"/>
      <c r="G4169" s="94" t="n"/>
      <c r="H4169" s="94" t="n"/>
      <c r="I4169" s="94" t="n"/>
      <c r="J4169" s="55" t="n"/>
      <c r="K4169" s="95" t="n"/>
      <c r="L4169" s="116">
        <f>IF($A4169="","",DATE(YEAR($A4169),MONTH($A4169)+IF(AND(IFERROR(N(INDEX(Übersicht!$M$15:$M$22,MATCH($B4169,Übersicht!$A$15:$A$22,0))),0)&gt;1,DAY($A4169)&gt;=IFERROR(N(INDEX(Übersicht!$M$15:$M$22,MATCH($B4169,Übersicht!$A$15:$A$22,0))),0)),1,0),1))</f>
        <v/>
      </c>
    </row>
    <row r="4170">
      <c r="A4170" s="92" t="n"/>
      <c r="B4170" s="55" t="n"/>
      <c r="C4170" s="55" t="n"/>
      <c r="D4170" s="55" t="n"/>
      <c r="E4170" s="93" t="n"/>
      <c r="F4170" s="94" t="n"/>
      <c r="G4170" s="94" t="n"/>
      <c r="H4170" s="94" t="n"/>
      <c r="I4170" s="94" t="n"/>
      <c r="J4170" s="55" t="n"/>
      <c r="K4170" s="95" t="n"/>
      <c r="L4170" s="116">
        <f>IF($A4170="","",DATE(YEAR($A4170),MONTH($A4170)+IF(AND(IFERROR(N(INDEX(Übersicht!$M$15:$M$22,MATCH($B4170,Übersicht!$A$15:$A$22,0))),0)&gt;1,DAY($A4170)&gt;=IFERROR(N(INDEX(Übersicht!$M$15:$M$22,MATCH($B4170,Übersicht!$A$15:$A$22,0))),0)),1,0),1))</f>
        <v/>
      </c>
    </row>
    <row r="4171">
      <c r="A4171" s="92" t="n"/>
      <c r="B4171" s="55" t="n"/>
      <c r="C4171" s="55" t="n"/>
      <c r="D4171" s="55" t="n"/>
      <c r="E4171" s="93" t="n"/>
      <c r="F4171" s="94" t="n"/>
      <c r="G4171" s="94" t="n"/>
      <c r="H4171" s="94" t="n"/>
      <c r="I4171" s="94" t="n"/>
      <c r="J4171" s="55" t="n"/>
      <c r="K4171" s="95" t="n"/>
      <c r="L4171" s="116">
        <f>IF($A4171="","",DATE(YEAR($A4171),MONTH($A4171)+IF(AND(IFERROR(N(INDEX(Übersicht!$M$15:$M$22,MATCH($B4171,Übersicht!$A$15:$A$22,0))),0)&gt;1,DAY($A4171)&gt;=IFERROR(N(INDEX(Übersicht!$M$15:$M$22,MATCH($B4171,Übersicht!$A$15:$A$22,0))),0)),1,0),1))</f>
        <v/>
      </c>
    </row>
    <row r="4172">
      <c r="A4172" s="92" t="n"/>
      <c r="B4172" s="55" t="n"/>
      <c r="C4172" s="55" t="n"/>
      <c r="D4172" s="55" t="n"/>
      <c r="E4172" s="93" t="n"/>
      <c r="F4172" s="94" t="n"/>
      <c r="G4172" s="94" t="n"/>
      <c r="H4172" s="94" t="n"/>
      <c r="I4172" s="94" t="n"/>
      <c r="J4172" s="55" t="n"/>
      <c r="K4172" s="95" t="n"/>
      <c r="L4172" s="116">
        <f>IF($A4172="","",DATE(YEAR($A4172),MONTH($A4172)+IF(AND(IFERROR(N(INDEX(Übersicht!$M$15:$M$22,MATCH($B4172,Übersicht!$A$15:$A$22,0))),0)&gt;1,DAY($A4172)&gt;=IFERROR(N(INDEX(Übersicht!$M$15:$M$22,MATCH($B4172,Übersicht!$A$15:$A$22,0))),0)),1,0),1))</f>
        <v/>
      </c>
    </row>
    <row r="4173">
      <c r="A4173" s="92" t="n"/>
      <c r="B4173" s="55" t="n"/>
      <c r="C4173" s="55" t="n"/>
      <c r="D4173" s="55" t="n"/>
      <c r="E4173" s="93" t="n"/>
      <c r="F4173" s="94" t="n"/>
      <c r="G4173" s="94" t="n"/>
      <c r="H4173" s="94" t="n"/>
      <c r="I4173" s="94" t="n"/>
      <c r="J4173" s="55" t="n"/>
      <c r="K4173" s="95" t="n"/>
      <c r="L4173" s="116">
        <f>IF($A4173="","",DATE(YEAR($A4173),MONTH($A4173)+IF(AND(IFERROR(N(INDEX(Übersicht!$M$15:$M$22,MATCH($B4173,Übersicht!$A$15:$A$22,0))),0)&gt;1,DAY($A4173)&gt;=IFERROR(N(INDEX(Übersicht!$M$15:$M$22,MATCH($B4173,Übersicht!$A$15:$A$22,0))),0)),1,0),1))</f>
        <v/>
      </c>
    </row>
    <row r="4174">
      <c r="A4174" s="92" t="n"/>
      <c r="B4174" s="55" t="n"/>
      <c r="C4174" s="55" t="n"/>
      <c r="D4174" s="55" t="n"/>
      <c r="E4174" s="93" t="n"/>
      <c r="F4174" s="94" t="n"/>
      <c r="G4174" s="94" t="n"/>
      <c r="H4174" s="94" t="n"/>
      <c r="I4174" s="94" t="n"/>
      <c r="J4174" s="55" t="n"/>
      <c r="K4174" s="95" t="n"/>
      <c r="L4174" s="116">
        <f>IF($A4174="","",DATE(YEAR($A4174),MONTH($A4174)+IF(AND(IFERROR(N(INDEX(Übersicht!$M$15:$M$22,MATCH($B4174,Übersicht!$A$15:$A$22,0))),0)&gt;1,DAY($A4174)&gt;=IFERROR(N(INDEX(Übersicht!$M$15:$M$22,MATCH($B4174,Übersicht!$A$15:$A$22,0))),0)),1,0),1))</f>
        <v/>
      </c>
    </row>
    <row r="4175">
      <c r="A4175" s="92" t="n"/>
      <c r="B4175" s="55" t="n"/>
      <c r="C4175" s="55" t="n"/>
      <c r="D4175" s="55" t="n"/>
      <c r="E4175" s="93" t="n"/>
      <c r="F4175" s="94" t="n"/>
      <c r="G4175" s="94" t="n"/>
      <c r="H4175" s="94" t="n"/>
      <c r="I4175" s="94" t="n"/>
      <c r="J4175" s="55" t="n"/>
      <c r="K4175" s="95" t="n"/>
      <c r="L4175" s="116">
        <f>IF($A4175="","",DATE(YEAR($A4175),MONTH($A4175)+IF(AND(IFERROR(N(INDEX(Übersicht!$M$15:$M$22,MATCH($B4175,Übersicht!$A$15:$A$22,0))),0)&gt;1,DAY($A4175)&gt;=IFERROR(N(INDEX(Übersicht!$M$15:$M$22,MATCH($B4175,Übersicht!$A$15:$A$22,0))),0)),1,0),1))</f>
        <v/>
      </c>
    </row>
    <row r="4176">
      <c r="A4176" s="92" t="n"/>
      <c r="B4176" s="55" t="n"/>
      <c r="C4176" s="55" t="n"/>
      <c r="D4176" s="55" t="n"/>
      <c r="E4176" s="93" t="n"/>
      <c r="F4176" s="94" t="n"/>
      <c r="G4176" s="94" t="n"/>
      <c r="H4176" s="94" t="n"/>
      <c r="I4176" s="94" t="n"/>
      <c r="J4176" s="55" t="n"/>
      <c r="K4176" s="95" t="n"/>
      <c r="L4176" s="116">
        <f>IF($A4176="","",DATE(YEAR($A4176),MONTH($A4176)+IF(AND(IFERROR(N(INDEX(Übersicht!$M$15:$M$22,MATCH($B4176,Übersicht!$A$15:$A$22,0))),0)&gt;1,DAY($A4176)&gt;=IFERROR(N(INDEX(Übersicht!$M$15:$M$22,MATCH($B4176,Übersicht!$A$15:$A$22,0))),0)),1,0),1))</f>
        <v/>
      </c>
    </row>
    <row r="4177">
      <c r="A4177" s="92" t="n"/>
      <c r="B4177" s="55" t="n"/>
      <c r="C4177" s="55" t="n"/>
      <c r="D4177" s="55" t="n"/>
      <c r="E4177" s="93" t="n"/>
      <c r="F4177" s="94" t="n"/>
      <c r="G4177" s="94" t="n"/>
      <c r="H4177" s="94" t="n"/>
      <c r="I4177" s="94" t="n"/>
      <c r="J4177" s="55" t="n"/>
      <c r="K4177" s="95" t="n"/>
      <c r="L4177" s="116">
        <f>IF($A4177="","",DATE(YEAR($A4177),MONTH($A4177)+IF(AND(IFERROR(N(INDEX(Übersicht!$M$15:$M$22,MATCH($B4177,Übersicht!$A$15:$A$22,0))),0)&gt;1,DAY($A4177)&gt;=IFERROR(N(INDEX(Übersicht!$M$15:$M$22,MATCH($B4177,Übersicht!$A$15:$A$22,0))),0)),1,0),1))</f>
        <v/>
      </c>
    </row>
    <row r="4178">
      <c r="A4178" s="92" t="n"/>
      <c r="B4178" s="55" t="n"/>
      <c r="C4178" s="55" t="n"/>
      <c r="D4178" s="55" t="n"/>
      <c r="E4178" s="93" t="n"/>
      <c r="F4178" s="94" t="n"/>
      <c r="G4178" s="94" t="n"/>
      <c r="H4178" s="94" t="n"/>
      <c r="I4178" s="94" t="n"/>
      <c r="J4178" s="55" t="n"/>
      <c r="K4178" s="95" t="n"/>
      <c r="L4178" s="116">
        <f>IF($A4178="","",DATE(YEAR($A4178),MONTH($A4178)+IF(AND(IFERROR(N(INDEX(Übersicht!$M$15:$M$22,MATCH($B4178,Übersicht!$A$15:$A$22,0))),0)&gt;1,DAY($A4178)&gt;=IFERROR(N(INDEX(Übersicht!$M$15:$M$22,MATCH($B4178,Übersicht!$A$15:$A$22,0))),0)),1,0),1))</f>
        <v/>
      </c>
    </row>
    <row r="4179">
      <c r="A4179" s="92" t="n"/>
      <c r="B4179" s="55" t="n"/>
      <c r="C4179" s="55" t="n"/>
      <c r="D4179" s="55" t="n"/>
      <c r="E4179" s="93" t="n"/>
      <c r="F4179" s="94" t="n"/>
      <c r="G4179" s="94" t="n"/>
      <c r="H4179" s="94" t="n"/>
      <c r="I4179" s="94" t="n"/>
      <c r="J4179" s="55" t="n"/>
      <c r="K4179" s="95" t="n"/>
      <c r="L4179" s="116">
        <f>IF($A4179="","",DATE(YEAR($A4179),MONTH($A4179)+IF(AND(IFERROR(N(INDEX(Übersicht!$M$15:$M$22,MATCH($B4179,Übersicht!$A$15:$A$22,0))),0)&gt;1,DAY($A4179)&gt;=IFERROR(N(INDEX(Übersicht!$M$15:$M$22,MATCH($B4179,Übersicht!$A$15:$A$22,0))),0)),1,0),1))</f>
        <v/>
      </c>
    </row>
    <row r="4180">
      <c r="A4180" s="92" t="n"/>
      <c r="B4180" s="55" t="n"/>
      <c r="C4180" s="55" t="n"/>
      <c r="D4180" s="55" t="n"/>
      <c r="E4180" s="93" t="n"/>
      <c r="F4180" s="94" t="n"/>
      <c r="G4180" s="94" t="n"/>
      <c r="H4180" s="94" t="n"/>
      <c r="I4180" s="94" t="n"/>
      <c r="J4180" s="55" t="n"/>
      <c r="K4180" s="95" t="n"/>
      <c r="L4180" s="116">
        <f>IF($A4180="","",DATE(YEAR($A4180),MONTH($A4180)+IF(AND(IFERROR(N(INDEX(Übersicht!$M$15:$M$22,MATCH($B4180,Übersicht!$A$15:$A$22,0))),0)&gt;1,DAY($A4180)&gt;=IFERROR(N(INDEX(Übersicht!$M$15:$M$22,MATCH($B4180,Übersicht!$A$15:$A$22,0))),0)),1,0),1))</f>
        <v/>
      </c>
    </row>
    <row r="4181">
      <c r="A4181" s="92" t="n"/>
      <c r="B4181" s="55" t="n"/>
      <c r="C4181" s="55" t="n"/>
      <c r="D4181" s="55" t="n"/>
      <c r="E4181" s="93" t="n"/>
      <c r="F4181" s="94" t="n"/>
      <c r="G4181" s="94" t="n"/>
      <c r="H4181" s="94" t="n"/>
      <c r="I4181" s="94" t="n"/>
      <c r="J4181" s="55" t="n"/>
      <c r="K4181" s="95" t="n"/>
      <c r="L4181" s="116">
        <f>IF($A4181="","",DATE(YEAR($A4181),MONTH($A4181)+IF(AND(IFERROR(N(INDEX(Übersicht!$M$15:$M$22,MATCH($B4181,Übersicht!$A$15:$A$22,0))),0)&gt;1,DAY($A4181)&gt;=IFERROR(N(INDEX(Übersicht!$M$15:$M$22,MATCH($B4181,Übersicht!$A$15:$A$22,0))),0)),1,0),1))</f>
        <v/>
      </c>
    </row>
    <row r="4182">
      <c r="A4182" s="92" t="n"/>
      <c r="B4182" s="55" t="n"/>
      <c r="C4182" s="55" t="n"/>
      <c r="D4182" s="55" t="n"/>
      <c r="E4182" s="93" t="n"/>
      <c r="F4182" s="94" t="n"/>
      <c r="G4182" s="94" t="n"/>
      <c r="H4182" s="94" t="n"/>
      <c r="I4182" s="94" t="n"/>
      <c r="J4182" s="55" t="n"/>
      <c r="K4182" s="95" t="n"/>
      <c r="L4182" s="116">
        <f>IF($A4182="","",DATE(YEAR($A4182),MONTH($A4182)+IF(AND(IFERROR(N(INDEX(Übersicht!$M$15:$M$22,MATCH($B4182,Übersicht!$A$15:$A$22,0))),0)&gt;1,DAY($A4182)&gt;=IFERROR(N(INDEX(Übersicht!$M$15:$M$22,MATCH($B4182,Übersicht!$A$15:$A$22,0))),0)),1,0),1))</f>
        <v/>
      </c>
    </row>
    <row r="4183">
      <c r="A4183" s="92" t="n"/>
      <c r="B4183" s="55" t="n"/>
      <c r="C4183" s="55" t="n"/>
      <c r="D4183" s="55" t="n"/>
      <c r="E4183" s="93" t="n"/>
      <c r="F4183" s="94" t="n"/>
      <c r="G4183" s="94" t="n"/>
      <c r="H4183" s="94" t="n"/>
      <c r="I4183" s="94" t="n"/>
      <c r="J4183" s="55" t="n"/>
      <c r="K4183" s="95" t="n"/>
      <c r="L4183" s="116">
        <f>IF($A4183="","",DATE(YEAR($A4183),MONTH($A4183)+IF(AND(IFERROR(N(INDEX(Übersicht!$M$15:$M$22,MATCH($B4183,Übersicht!$A$15:$A$22,0))),0)&gt;1,DAY($A4183)&gt;=IFERROR(N(INDEX(Übersicht!$M$15:$M$22,MATCH($B4183,Übersicht!$A$15:$A$22,0))),0)),1,0),1))</f>
        <v/>
      </c>
    </row>
    <row r="4184">
      <c r="A4184" s="92" t="n"/>
      <c r="B4184" s="55" t="n"/>
      <c r="C4184" s="55" t="n"/>
      <c r="D4184" s="55" t="n"/>
      <c r="E4184" s="93" t="n"/>
      <c r="F4184" s="94" t="n"/>
      <c r="G4184" s="94" t="n"/>
      <c r="H4184" s="94" t="n"/>
      <c r="I4184" s="94" t="n"/>
      <c r="J4184" s="55" t="n"/>
      <c r="K4184" s="95" t="n"/>
      <c r="L4184" s="116">
        <f>IF($A4184="","",DATE(YEAR($A4184),MONTH($A4184)+IF(AND(IFERROR(N(INDEX(Übersicht!$M$15:$M$22,MATCH($B4184,Übersicht!$A$15:$A$22,0))),0)&gt;1,DAY($A4184)&gt;=IFERROR(N(INDEX(Übersicht!$M$15:$M$22,MATCH($B4184,Übersicht!$A$15:$A$22,0))),0)),1,0),1))</f>
        <v/>
      </c>
    </row>
    <row r="4185">
      <c r="A4185" s="92" t="n"/>
      <c r="B4185" s="55" t="n"/>
      <c r="C4185" s="55" t="n"/>
      <c r="D4185" s="55" t="n"/>
      <c r="E4185" s="93" t="n"/>
      <c r="F4185" s="94" t="n"/>
      <c r="G4185" s="94" t="n"/>
      <c r="H4185" s="94" t="n"/>
      <c r="I4185" s="94" t="n"/>
      <c r="J4185" s="55" t="n"/>
      <c r="K4185" s="95" t="n"/>
      <c r="L4185" s="116">
        <f>IF($A4185="","",DATE(YEAR($A4185),MONTH($A4185)+IF(AND(IFERROR(N(INDEX(Übersicht!$M$15:$M$22,MATCH($B4185,Übersicht!$A$15:$A$22,0))),0)&gt;1,DAY($A4185)&gt;=IFERROR(N(INDEX(Übersicht!$M$15:$M$22,MATCH($B4185,Übersicht!$A$15:$A$22,0))),0)),1,0),1))</f>
        <v/>
      </c>
    </row>
    <row r="4186">
      <c r="A4186" s="92" t="n"/>
      <c r="B4186" s="55" t="n"/>
      <c r="C4186" s="55" t="n"/>
      <c r="D4186" s="55" t="n"/>
      <c r="E4186" s="93" t="n"/>
      <c r="F4186" s="94" t="n"/>
      <c r="G4186" s="94" t="n"/>
      <c r="H4186" s="94" t="n"/>
      <c r="I4186" s="94" t="n"/>
      <c r="J4186" s="55" t="n"/>
      <c r="K4186" s="95" t="n"/>
      <c r="L4186" s="116">
        <f>IF($A4186="","",DATE(YEAR($A4186),MONTH($A4186)+IF(AND(IFERROR(N(INDEX(Übersicht!$M$15:$M$22,MATCH($B4186,Übersicht!$A$15:$A$22,0))),0)&gt;1,DAY($A4186)&gt;=IFERROR(N(INDEX(Übersicht!$M$15:$M$22,MATCH($B4186,Übersicht!$A$15:$A$22,0))),0)),1,0),1))</f>
        <v/>
      </c>
    </row>
    <row r="4187">
      <c r="A4187" s="92" t="n"/>
      <c r="B4187" s="55" t="n"/>
      <c r="C4187" s="55" t="n"/>
      <c r="D4187" s="55" t="n"/>
      <c r="E4187" s="93" t="n"/>
      <c r="F4187" s="94" t="n"/>
      <c r="G4187" s="94" t="n"/>
      <c r="H4187" s="94" t="n"/>
      <c r="I4187" s="94" t="n"/>
      <c r="J4187" s="55" t="n"/>
      <c r="K4187" s="95" t="n"/>
      <c r="L4187" s="116">
        <f>IF($A4187="","",DATE(YEAR($A4187),MONTH($A4187)+IF(AND(IFERROR(N(INDEX(Übersicht!$M$15:$M$22,MATCH($B4187,Übersicht!$A$15:$A$22,0))),0)&gt;1,DAY($A4187)&gt;=IFERROR(N(INDEX(Übersicht!$M$15:$M$22,MATCH($B4187,Übersicht!$A$15:$A$22,0))),0)),1,0),1))</f>
        <v/>
      </c>
    </row>
    <row r="4188">
      <c r="A4188" s="92" t="n"/>
      <c r="B4188" s="55" t="n"/>
      <c r="C4188" s="55" t="n"/>
      <c r="D4188" s="55" t="n"/>
      <c r="E4188" s="93" t="n"/>
      <c r="F4188" s="94" t="n"/>
      <c r="G4188" s="94" t="n"/>
      <c r="H4188" s="94" t="n"/>
      <c r="I4188" s="94" t="n"/>
      <c r="J4188" s="55" t="n"/>
      <c r="K4188" s="95" t="n"/>
      <c r="L4188" s="116">
        <f>IF($A4188="","",DATE(YEAR($A4188),MONTH($A4188)+IF(AND(IFERROR(N(INDEX(Übersicht!$M$15:$M$22,MATCH($B4188,Übersicht!$A$15:$A$22,0))),0)&gt;1,DAY($A4188)&gt;=IFERROR(N(INDEX(Übersicht!$M$15:$M$22,MATCH($B4188,Übersicht!$A$15:$A$22,0))),0)),1,0),1))</f>
        <v/>
      </c>
    </row>
    <row r="4189">
      <c r="A4189" s="92" t="n"/>
      <c r="B4189" s="55" t="n"/>
      <c r="C4189" s="55" t="n"/>
      <c r="D4189" s="55" t="n"/>
      <c r="E4189" s="93" t="n"/>
      <c r="F4189" s="94" t="n"/>
      <c r="G4189" s="94" t="n"/>
      <c r="H4189" s="94" t="n"/>
      <c r="I4189" s="94" t="n"/>
      <c r="J4189" s="55" t="n"/>
      <c r="K4189" s="95" t="n"/>
      <c r="L4189" s="116">
        <f>IF($A4189="","",DATE(YEAR($A4189),MONTH($A4189)+IF(AND(IFERROR(N(INDEX(Übersicht!$M$15:$M$22,MATCH($B4189,Übersicht!$A$15:$A$22,0))),0)&gt;1,DAY($A4189)&gt;=IFERROR(N(INDEX(Übersicht!$M$15:$M$22,MATCH($B4189,Übersicht!$A$15:$A$22,0))),0)),1,0),1))</f>
        <v/>
      </c>
    </row>
    <row r="4190">
      <c r="A4190" s="92" t="n"/>
      <c r="B4190" s="55" t="n"/>
      <c r="C4190" s="55" t="n"/>
      <c r="D4190" s="55" t="n"/>
      <c r="E4190" s="93" t="n"/>
      <c r="F4190" s="94" t="n"/>
      <c r="G4190" s="94" t="n"/>
      <c r="H4190" s="94" t="n"/>
      <c r="I4190" s="94" t="n"/>
      <c r="J4190" s="55" t="n"/>
      <c r="K4190" s="95" t="n"/>
      <c r="L4190" s="116">
        <f>IF($A4190="","",DATE(YEAR($A4190),MONTH($A4190)+IF(AND(IFERROR(N(INDEX(Übersicht!$M$15:$M$22,MATCH($B4190,Übersicht!$A$15:$A$22,0))),0)&gt;1,DAY($A4190)&gt;=IFERROR(N(INDEX(Übersicht!$M$15:$M$22,MATCH($B4190,Übersicht!$A$15:$A$22,0))),0)),1,0),1))</f>
        <v/>
      </c>
    </row>
    <row r="4191">
      <c r="A4191" s="92" t="n"/>
      <c r="B4191" s="55" t="n"/>
      <c r="C4191" s="55" t="n"/>
      <c r="D4191" s="55" t="n"/>
      <c r="E4191" s="93" t="n"/>
      <c r="F4191" s="94" t="n"/>
      <c r="G4191" s="94" t="n"/>
      <c r="H4191" s="94" t="n"/>
      <c r="I4191" s="94" t="n"/>
      <c r="J4191" s="55" t="n"/>
      <c r="K4191" s="95" t="n"/>
      <c r="L4191" s="116">
        <f>IF($A4191="","",DATE(YEAR($A4191),MONTH($A4191)+IF(AND(IFERROR(N(INDEX(Übersicht!$M$15:$M$22,MATCH($B4191,Übersicht!$A$15:$A$22,0))),0)&gt;1,DAY($A4191)&gt;=IFERROR(N(INDEX(Übersicht!$M$15:$M$22,MATCH($B4191,Übersicht!$A$15:$A$22,0))),0)),1,0),1))</f>
        <v/>
      </c>
    </row>
    <row r="4192">
      <c r="A4192" s="92" t="n"/>
      <c r="B4192" s="55" t="n"/>
      <c r="C4192" s="55" t="n"/>
      <c r="D4192" s="55" t="n"/>
      <c r="E4192" s="93" t="n"/>
      <c r="F4192" s="94" t="n"/>
      <c r="G4192" s="94" t="n"/>
      <c r="H4192" s="94" t="n"/>
      <c r="I4192" s="94" t="n"/>
      <c r="J4192" s="55" t="n"/>
      <c r="K4192" s="95" t="n"/>
      <c r="L4192" s="116">
        <f>IF($A4192="","",DATE(YEAR($A4192),MONTH($A4192)+IF(AND(IFERROR(N(INDEX(Übersicht!$M$15:$M$22,MATCH($B4192,Übersicht!$A$15:$A$22,0))),0)&gt;1,DAY($A4192)&gt;=IFERROR(N(INDEX(Übersicht!$M$15:$M$22,MATCH($B4192,Übersicht!$A$15:$A$22,0))),0)),1,0),1))</f>
        <v/>
      </c>
    </row>
    <row r="4193">
      <c r="A4193" s="92" t="n"/>
      <c r="B4193" s="55" t="n"/>
      <c r="C4193" s="55" t="n"/>
      <c r="D4193" s="55" t="n"/>
      <c r="E4193" s="93" t="n"/>
      <c r="F4193" s="94" t="n"/>
      <c r="G4193" s="94" t="n"/>
      <c r="H4193" s="94" t="n"/>
      <c r="I4193" s="94" t="n"/>
      <c r="J4193" s="55" t="n"/>
      <c r="K4193" s="95" t="n"/>
      <c r="L4193" s="116">
        <f>IF($A4193="","",DATE(YEAR($A4193),MONTH($A4193)+IF(AND(IFERROR(N(INDEX(Übersicht!$M$15:$M$22,MATCH($B4193,Übersicht!$A$15:$A$22,0))),0)&gt;1,DAY($A4193)&gt;=IFERROR(N(INDEX(Übersicht!$M$15:$M$22,MATCH($B4193,Übersicht!$A$15:$A$22,0))),0)),1,0),1))</f>
        <v/>
      </c>
    </row>
    <row r="4194">
      <c r="A4194" s="92" t="n"/>
      <c r="B4194" s="55" t="n"/>
      <c r="C4194" s="55" t="n"/>
      <c r="D4194" s="55" t="n"/>
      <c r="E4194" s="93" t="n"/>
      <c r="F4194" s="94" t="n"/>
      <c r="G4194" s="94" t="n"/>
      <c r="H4194" s="94" t="n"/>
      <c r="I4194" s="94" t="n"/>
      <c r="J4194" s="55" t="n"/>
      <c r="K4194" s="95" t="n"/>
      <c r="L4194" s="116">
        <f>IF($A4194="","",DATE(YEAR($A4194),MONTH($A4194)+IF(AND(IFERROR(N(INDEX(Übersicht!$M$15:$M$22,MATCH($B4194,Übersicht!$A$15:$A$22,0))),0)&gt;1,DAY($A4194)&gt;=IFERROR(N(INDEX(Übersicht!$M$15:$M$22,MATCH($B4194,Übersicht!$A$15:$A$22,0))),0)),1,0),1))</f>
        <v/>
      </c>
    </row>
    <row r="4195">
      <c r="A4195" s="92" t="n"/>
      <c r="B4195" s="55" t="n"/>
      <c r="C4195" s="55" t="n"/>
      <c r="D4195" s="55" t="n"/>
      <c r="E4195" s="93" t="n"/>
      <c r="F4195" s="94" t="n"/>
      <c r="G4195" s="94" t="n"/>
      <c r="H4195" s="94" t="n"/>
      <c r="I4195" s="94" t="n"/>
      <c r="J4195" s="55" t="n"/>
      <c r="K4195" s="95" t="n"/>
      <c r="L4195" s="116">
        <f>IF($A4195="","",DATE(YEAR($A4195),MONTH($A4195)+IF(AND(IFERROR(N(INDEX(Übersicht!$M$15:$M$22,MATCH($B4195,Übersicht!$A$15:$A$22,0))),0)&gt;1,DAY($A4195)&gt;=IFERROR(N(INDEX(Übersicht!$M$15:$M$22,MATCH($B4195,Übersicht!$A$15:$A$22,0))),0)),1,0),1))</f>
        <v/>
      </c>
    </row>
    <row r="4196">
      <c r="A4196" s="92" t="n"/>
      <c r="B4196" s="55" t="n"/>
      <c r="C4196" s="55" t="n"/>
      <c r="D4196" s="55" t="n"/>
      <c r="E4196" s="93" t="n"/>
      <c r="F4196" s="94" t="n"/>
      <c r="G4196" s="94" t="n"/>
      <c r="H4196" s="94" t="n"/>
      <c r="I4196" s="94" t="n"/>
      <c r="J4196" s="55" t="n"/>
      <c r="K4196" s="95" t="n"/>
      <c r="L4196" s="116">
        <f>IF($A4196="","",DATE(YEAR($A4196),MONTH($A4196)+IF(AND(IFERROR(N(INDEX(Übersicht!$M$15:$M$22,MATCH($B4196,Übersicht!$A$15:$A$22,0))),0)&gt;1,DAY($A4196)&gt;=IFERROR(N(INDEX(Übersicht!$M$15:$M$22,MATCH($B4196,Übersicht!$A$15:$A$22,0))),0)),1,0),1))</f>
        <v/>
      </c>
    </row>
    <row r="4197">
      <c r="A4197" s="92" t="n"/>
      <c r="B4197" s="55" t="n"/>
      <c r="C4197" s="55" t="n"/>
      <c r="D4197" s="55" t="n"/>
      <c r="E4197" s="93" t="n"/>
      <c r="F4197" s="94" t="n"/>
      <c r="G4197" s="94" t="n"/>
      <c r="H4197" s="94" t="n"/>
      <c r="I4197" s="94" t="n"/>
      <c r="J4197" s="55" t="n"/>
      <c r="K4197" s="95" t="n"/>
      <c r="L4197" s="116">
        <f>IF($A4197="","",DATE(YEAR($A4197),MONTH($A4197)+IF(AND(IFERROR(N(INDEX(Übersicht!$M$15:$M$22,MATCH($B4197,Übersicht!$A$15:$A$22,0))),0)&gt;1,DAY($A4197)&gt;=IFERROR(N(INDEX(Übersicht!$M$15:$M$22,MATCH($B4197,Übersicht!$A$15:$A$22,0))),0)),1,0),1))</f>
        <v/>
      </c>
    </row>
    <row r="4198">
      <c r="A4198" s="92" t="n"/>
      <c r="B4198" s="55" t="n"/>
      <c r="C4198" s="55" t="n"/>
      <c r="D4198" s="55" t="n"/>
      <c r="E4198" s="93" t="n"/>
      <c r="F4198" s="94" t="n"/>
      <c r="G4198" s="94" t="n"/>
      <c r="H4198" s="94" t="n"/>
      <c r="I4198" s="94" t="n"/>
      <c r="J4198" s="55" t="n"/>
      <c r="K4198" s="95" t="n"/>
      <c r="L4198" s="116">
        <f>IF($A4198="","",DATE(YEAR($A4198),MONTH($A4198)+IF(AND(IFERROR(N(INDEX(Übersicht!$M$15:$M$22,MATCH($B4198,Übersicht!$A$15:$A$22,0))),0)&gt;1,DAY($A4198)&gt;=IFERROR(N(INDEX(Übersicht!$M$15:$M$22,MATCH($B4198,Übersicht!$A$15:$A$22,0))),0)),1,0),1))</f>
        <v/>
      </c>
    </row>
    <row r="4199">
      <c r="A4199" s="92" t="n"/>
      <c r="B4199" s="55" t="n"/>
      <c r="C4199" s="55" t="n"/>
      <c r="D4199" s="55" t="n"/>
      <c r="E4199" s="93" t="n"/>
      <c r="F4199" s="94" t="n"/>
      <c r="G4199" s="94" t="n"/>
      <c r="H4199" s="94" t="n"/>
      <c r="I4199" s="94" t="n"/>
      <c r="J4199" s="55" t="n"/>
      <c r="K4199" s="95" t="n"/>
      <c r="L4199" s="116">
        <f>IF($A4199="","",DATE(YEAR($A4199),MONTH($A4199)+IF(AND(IFERROR(N(INDEX(Übersicht!$M$15:$M$22,MATCH($B4199,Übersicht!$A$15:$A$22,0))),0)&gt;1,DAY($A4199)&gt;=IFERROR(N(INDEX(Übersicht!$M$15:$M$22,MATCH($B4199,Übersicht!$A$15:$A$22,0))),0)),1,0),1))</f>
        <v/>
      </c>
    </row>
    <row r="4200">
      <c r="A4200" s="92" t="n"/>
      <c r="B4200" s="55" t="n"/>
      <c r="C4200" s="55" t="n"/>
      <c r="D4200" s="55" t="n"/>
      <c r="E4200" s="93" t="n"/>
      <c r="F4200" s="94" t="n"/>
      <c r="G4200" s="94" t="n"/>
      <c r="H4200" s="94" t="n"/>
      <c r="I4200" s="94" t="n"/>
      <c r="J4200" s="55" t="n"/>
      <c r="K4200" s="95" t="n"/>
      <c r="L4200" s="116">
        <f>IF($A4200="","",DATE(YEAR($A4200),MONTH($A4200)+IF(AND(IFERROR(N(INDEX(Übersicht!$M$15:$M$22,MATCH($B4200,Übersicht!$A$15:$A$22,0))),0)&gt;1,DAY($A4200)&gt;=IFERROR(N(INDEX(Übersicht!$M$15:$M$22,MATCH($B4200,Übersicht!$A$15:$A$22,0))),0)),1,0),1))</f>
        <v/>
      </c>
    </row>
    <row r="4201">
      <c r="A4201" s="92" t="n"/>
      <c r="B4201" s="55" t="n"/>
      <c r="C4201" s="55" t="n"/>
      <c r="D4201" s="55" t="n"/>
      <c r="E4201" s="93" t="n"/>
      <c r="F4201" s="94" t="n"/>
      <c r="G4201" s="94" t="n"/>
      <c r="H4201" s="94" t="n"/>
      <c r="I4201" s="94" t="n"/>
      <c r="J4201" s="55" t="n"/>
      <c r="K4201" s="95" t="n"/>
      <c r="L4201" s="116">
        <f>IF($A4201="","",DATE(YEAR($A4201),MONTH($A4201)+IF(AND(IFERROR(N(INDEX(Übersicht!$M$15:$M$22,MATCH($B4201,Übersicht!$A$15:$A$22,0))),0)&gt;1,DAY($A4201)&gt;=IFERROR(N(INDEX(Übersicht!$M$15:$M$22,MATCH($B4201,Übersicht!$A$15:$A$22,0))),0)),1,0),1))</f>
        <v/>
      </c>
    </row>
    <row r="4202">
      <c r="A4202" s="92" t="n"/>
      <c r="B4202" s="55" t="n"/>
      <c r="C4202" s="55" t="n"/>
      <c r="D4202" s="55" t="n"/>
      <c r="E4202" s="93" t="n"/>
      <c r="F4202" s="94" t="n"/>
      <c r="G4202" s="94" t="n"/>
      <c r="H4202" s="94" t="n"/>
      <c r="I4202" s="94" t="n"/>
      <c r="J4202" s="55" t="n"/>
      <c r="K4202" s="95" t="n"/>
      <c r="L4202" s="116">
        <f>IF($A4202="","",DATE(YEAR($A4202),MONTH($A4202)+IF(AND(IFERROR(N(INDEX(Übersicht!$M$15:$M$22,MATCH($B4202,Übersicht!$A$15:$A$22,0))),0)&gt;1,DAY($A4202)&gt;=IFERROR(N(INDEX(Übersicht!$M$15:$M$22,MATCH($B4202,Übersicht!$A$15:$A$22,0))),0)),1,0),1))</f>
        <v/>
      </c>
    </row>
    <row r="4203">
      <c r="A4203" s="92" t="n"/>
      <c r="B4203" s="55" t="n"/>
      <c r="C4203" s="55" t="n"/>
      <c r="D4203" s="55" t="n"/>
      <c r="E4203" s="93" t="n"/>
      <c r="F4203" s="94" t="n"/>
      <c r="G4203" s="94" t="n"/>
      <c r="H4203" s="94" t="n"/>
      <c r="I4203" s="94" t="n"/>
      <c r="J4203" s="55" t="n"/>
      <c r="K4203" s="95" t="n"/>
      <c r="L4203" s="116">
        <f>IF($A4203="","",DATE(YEAR($A4203),MONTH($A4203)+IF(AND(IFERROR(N(INDEX(Übersicht!$M$15:$M$22,MATCH($B4203,Übersicht!$A$15:$A$22,0))),0)&gt;1,DAY($A4203)&gt;=IFERROR(N(INDEX(Übersicht!$M$15:$M$22,MATCH($B4203,Übersicht!$A$15:$A$22,0))),0)),1,0),1))</f>
        <v/>
      </c>
    </row>
    <row r="4204">
      <c r="A4204" s="92" t="n"/>
      <c r="B4204" s="55" t="n"/>
      <c r="C4204" s="55" t="n"/>
      <c r="D4204" s="55" t="n"/>
      <c r="E4204" s="93" t="n"/>
      <c r="F4204" s="94" t="n"/>
      <c r="G4204" s="94" t="n"/>
      <c r="H4204" s="94" t="n"/>
      <c r="I4204" s="94" t="n"/>
      <c r="J4204" s="55" t="n"/>
      <c r="K4204" s="95" t="n"/>
      <c r="L4204" s="116">
        <f>IF($A4204="","",DATE(YEAR($A4204),MONTH($A4204)+IF(AND(IFERROR(N(INDEX(Übersicht!$M$15:$M$22,MATCH($B4204,Übersicht!$A$15:$A$22,0))),0)&gt;1,DAY($A4204)&gt;=IFERROR(N(INDEX(Übersicht!$M$15:$M$22,MATCH($B4204,Übersicht!$A$15:$A$22,0))),0)),1,0),1))</f>
        <v/>
      </c>
    </row>
    <row r="4205">
      <c r="A4205" s="92" t="n"/>
      <c r="B4205" s="55" t="n"/>
      <c r="C4205" s="55" t="n"/>
      <c r="D4205" s="55" t="n"/>
      <c r="E4205" s="93" t="n"/>
      <c r="F4205" s="94" t="n"/>
      <c r="G4205" s="94" t="n"/>
      <c r="H4205" s="94" t="n"/>
      <c r="I4205" s="94" t="n"/>
      <c r="J4205" s="55" t="n"/>
      <c r="K4205" s="95" t="n"/>
      <c r="L4205" s="116">
        <f>IF($A4205="","",DATE(YEAR($A4205),MONTH($A4205)+IF(AND(IFERROR(N(INDEX(Übersicht!$M$15:$M$22,MATCH($B4205,Übersicht!$A$15:$A$22,0))),0)&gt;1,DAY($A4205)&gt;=IFERROR(N(INDEX(Übersicht!$M$15:$M$22,MATCH($B4205,Übersicht!$A$15:$A$22,0))),0)),1,0),1))</f>
        <v/>
      </c>
    </row>
    <row r="4206">
      <c r="A4206" s="92" t="n"/>
      <c r="B4206" s="55" t="n"/>
      <c r="C4206" s="55" t="n"/>
      <c r="D4206" s="55" t="n"/>
      <c r="E4206" s="93" t="n"/>
      <c r="F4206" s="94" t="n"/>
      <c r="G4206" s="94" t="n"/>
      <c r="H4206" s="94" t="n"/>
      <c r="I4206" s="94" t="n"/>
      <c r="J4206" s="55" t="n"/>
      <c r="K4206" s="95" t="n"/>
      <c r="L4206" s="116">
        <f>IF($A4206="","",DATE(YEAR($A4206),MONTH($A4206)+IF(AND(IFERROR(N(INDEX(Übersicht!$M$15:$M$22,MATCH($B4206,Übersicht!$A$15:$A$22,0))),0)&gt;1,DAY($A4206)&gt;=IFERROR(N(INDEX(Übersicht!$M$15:$M$22,MATCH($B4206,Übersicht!$A$15:$A$22,0))),0)),1,0),1))</f>
        <v/>
      </c>
    </row>
    <row r="4207">
      <c r="A4207" s="92" t="n"/>
      <c r="B4207" s="55" t="n"/>
      <c r="C4207" s="55" t="n"/>
      <c r="D4207" s="55" t="n"/>
      <c r="E4207" s="93" t="n"/>
      <c r="F4207" s="94" t="n"/>
      <c r="G4207" s="94" t="n"/>
      <c r="H4207" s="94" t="n"/>
      <c r="I4207" s="94" t="n"/>
      <c r="J4207" s="55" t="n"/>
      <c r="K4207" s="95" t="n"/>
      <c r="L4207" s="116">
        <f>IF($A4207="","",DATE(YEAR($A4207),MONTH($A4207)+IF(AND(IFERROR(N(INDEX(Übersicht!$M$15:$M$22,MATCH($B4207,Übersicht!$A$15:$A$22,0))),0)&gt;1,DAY($A4207)&gt;=IFERROR(N(INDEX(Übersicht!$M$15:$M$22,MATCH($B4207,Übersicht!$A$15:$A$22,0))),0)),1,0),1))</f>
        <v/>
      </c>
    </row>
    <row r="4208">
      <c r="A4208" s="92" t="n"/>
      <c r="B4208" s="55" t="n"/>
      <c r="C4208" s="55" t="n"/>
      <c r="D4208" s="55" t="n"/>
      <c r="E4208" s="93" t="n"/>
      <c r="F4208" s="94" t="n"/>
      <c r="G4208" s="94" t="n"/>
      <c r="H4208" s="94" t="n"/>
      <c r="I4208" s="94" t="n"/>
      <c r="J4208" s="55" t="n"/>
      <c r="K4208" s="95" t="n"/>
      <c r="L4208" s="116">
        <f>IF($A4208="","",DATE(YEAR($A4208),MONTH($A4208)+IF(AND(IFERROR(N(INDEX(Übersicht!$M$15:$M$22,MATCH($B4208,Übersicht!$A$15:$A$22,0))),0)&gt;1,DAY($A4208)&gt;=IFERROR(N(INDEX(Übersicht!$M$15:$M$22,MATCH($B4208,Übersicht!$A$15:$A$22,0))),0)),1,0),1))</f>
        <v/>
      </c>
    </row>
    <row r="4209">
      <c r="A4209" s="92" t="n"/>
      <c r="B4209" s="55" t="n"/>
      <c r="C4209" s="55" t="n"/>
      <c r="D4209" s="55" t="n"/>
      <c r="E4209" s="93" t="n"/>
      <c r="F4209" s="94" t="n"/>
      <c r="G4209" s="94" t="n"/>
      <c r="H4209" s="94" t="n"/>
      <c r="I4209" s="94" t="n"/>
      <c r="J4209" s="55" t="n"/>
      <c r="K4209" s="95" t="n"/>
      <c r="L4209" s="116">
        <f>IF($A4209="","",DATE(YEAR($A4209),MONTH($A4209)+IF(AND(IFERROR(N(INDEX(Übersicht!$M$15:$M$22,MATCH($B4209,Übersicht!$A$15:$A$22,0))),0)&gt;1,DAY($A4209)&gt;=IFERROR(N(INDEX(Übersicht!$M$15:$M$22,MATCH($B4209,Übersicht!$A$15:$A$22,0))),0)),1,0),1))</f>
        <v/>
      </c>
    </row>
    <row r="4210">
      <c r="A4210" s="92" t="n"/>
      <c r="B4210" s="55" t="n"/>
      <c r="C4210" s="55" t="n"/>
      <c r="D4210" s="55" t="n"/>
      <c r="E4210" s="93" t="n"/>
      <c r="F4210" s="94" t="n"/>
      <c r="G4210" s="94" t="n"/>
      <c r="H4210" s="94" t="n"/>
      <c r="I4210" s="94" t="n"/>
      <c r="J4210" s="55" t="n"/>
      <c r="K4210" s="95" t="n"/>
      <c r="L4210" s="116">
        <f>IF($A4210="","",DATE(YEAR($A4210),MONTH($A4210)+IF(AND(IFERROR(N(INDEX(Übersicht!$M$15:$M$22,MATCH($B4210,Übersicht!$A$15:$A$22,0))),0)&gt;1,DAY($A4210)&gt;=IFERROR(N(INDEX(Übersicht!$M$15:$M$22,MATCH($B4210,Übersicht!$A$15:$A$22,0))),0)),1,0),1))</f>
        <v/>
      </c>
    </row>
    <row r="4211">
      <c r="A4211" s="92" t="n"/>
      <c r="B4211" s="55" t="n"/>
      <c r="C4211" s="55" t="n"/>
      <c r="D4211" s="55" t="n"/>
      <c r="E4211" s="93" t="n"/>
      <c r="F4211" s="94" t="n"/>
      <c r="G4211" s="94" t="n"/>
      <c r="H4211" s="94" t="n"/>
      <c r="I4211" s="94" t="n"/>
      <c r="J4211" s="55" t="n"/>
      <c r="K4211" s="95" t="n"/>
      <c r="L4211" s="116">
        <f>IF($A4211="","",DATE(YEAR($A4211),MONTH($A4211)+IF(AND(IFERROR(N(INDEX(Übersicht!$M$15:$M$22,MATCH($B4211,Übersicht!$A$15:$A$22,0))),0)&gt;1,DAY($A4211)&gt;=IFERROR(N(INDEX(Übersicht!$M$15:$M$22,MATCH($B4211,Übersicht!$A$15:$A$22,0))),0)),1,0),1))</f>
        <v/>
      </c>
    </row>
    <row r="4212">
      <c r="A4212" s="92" t="n"/>
      <c r="B4212" s="55" t="n"/>
      <c r="C4212" s="55" t="n"/>
      <c r="D4212" s="55" t="n"/>
      <c r="E4212" s="93" t="n"/>
      <c r="F4212" s="94" t="n"/>
      <c r="G4212" s="94" t="n"/>
      <c r="H4212" s="94" t="n"/>
      <c r="I4212" s="94" t="n"/>
      <c r="J4212" s="55" t="n"/>
      <c r="K4212" s="95" t="n"/>
      <c r="L4212" s="116">
        <f>IF($A4212="","",DATE(YEAR($A4212),MONTH($A4212)+IF(AND(IFERROR(N(INDEX(Übersicht!$M$15:$M$22,MATCH($B4212,Übersicht!$A$15:$A$22,0))),0)&gt;1,DAY($A4212)&gt;=IFERROR(N(INDEX(Übersicht!$M$15:$M$22,MATCH($B4212,Übersicht!$A$15:$A$22,0))),0)),1,0),1))</f>
        <v/>
      </c>
    </row>
    <row r="4213">
      <c r="A4213" s="92" t="n"/>
      <c r="B4213" s="55" t="n"/>
      <c r="C4213" s="55" t="n"/>
      <c r="D4213" s="55" t="n"/>
      <c r="E4213" s="93" t="n"/>
      <c r="F4213" s="94" t="n"/>
      <c r="G4213" s="94" t="n"/>
      <c r="H4213" s="94" t="n"/>
      <c r="I4213" s="94" t="n"/>
      <c r="J4213" s="55" t="n"/>
      <c r="K4213" s="95" t="n"/>
      <c r="L4213" s="116">
        <f>IF($A4213="","",DATE(YEAR($A4213),MONTH($A4213)+IF(AND(IFERROR(N(INDEX(Übersicht!$M$15:$M$22,MATCH($B4213,Übersicht!$A$15:$A$22,0))),0)&gt;1,DAY($A4213)&gt;=IFERROR(N(INDEX(Übersicht!$M$15:$M$22,MATCH($B4213,Übersicht!$A$15:$A$22,0))),0)),1,0),1))</f>
        <v/>
      </c>
    </row>
    <row r="4214">
      <c r="A4214" s="92" t="n"/>
      <c r="B4214" s="55" t="n"/>
      <c r="C4214" s="55" t="n"/>
      <c r="D4214" s="55" t="n"/>
      <c r="E4214" s="93" t="n"/>
      <c r="F4214" s="94" t="n"/>
      <c r="G4214" s="94" t="n"/>
      <c r="H4214" s="94" t="n"/>
      <c r="I4214" s="94" t="n"/>
      <c r="J4214" s="55" t="n"/>
      <c r="K4214" s="95" t="n"/>
      <c r="L4214" s="116">
        <f>IF($A4214="","",DATE(YEAR($A4214),MONTH($A4214)+IF(AND(IFERROR(N(INDEX(Übersicht!$M$15:$M$22,MATCH($B4214,Übersicht!$A$15:$A$22,0))),0)&gt;1,DAY($A4214)&gt;=IFERROR(N(INDEX(Übersicht!$M$15:$M$22,MATCH($B4214,Übersicht!$A$15:$A$22,0))),0)),1,0),1))</f>
        <v/>
      </c>
    </row>
    <row r="4215">
      <c r="A4215" s="92" t="n"/>
      <c r="B4215" s="55" t="n"/>
      <c r="C4215" s="55" t="n"/>
      <c r="D4215" s="55" t="n"/>
      <c r="E4215" s="93" t="n"/>
      <c r="F4215" s="94" t="n"/>
      <c r="G4215" s="94" t="n"/>
      <c r="H4215" s="94" t="n"/>
      <c r="I4215" s="94" t="n"/>
      <c r="J4215" s="55" t="n"/>
      <c r="K4215" s="95" t="n"/>
      <c r="L4215" s="116">
        <f>IF($A4215="","",DATE(YEAR($A4215),MONTH($A4215)+IF(AND(IFERROR(N(INDEX(Übersicht!$M$15:$M$22,MATCH($B4215,Übersicht!$A$15:$A$22,0))),0)&gt;1,DAY($A4215)&gt;=IFERROR(N(INDEX(Übersicht!$M$15:$M$22,MATCH($B4215,Übersicht!$A$15:$A$22,0))),0)),1,0),1))</f>
        <v/>
      </c>
    </row>
    <row r="4216">
      <c r="A4216" s="92" t="n"/>
      <c r="B4216" s="55" t="n"/>
      <c r="C4216" s="55" t="n"/>
      <c r="D4216" s="55" t="n"/>
      <c r="E4216" s="93" t="n"/>
      <c r="F4216" s="94" t="n"/>
      <c r="G4216" s="94" t="n"/>
      <c r="H4216" s="94" t="n"/>
      <c r="I4216" s="94" t="n"/>
      <c r="J4216" s="55" t="n"/>
      <c r="K4216" s="95" t="n"/>
      <c r="L4216" s="116">
        <f>IF($A4216="","",DATE(YEAR($A4216),MONTH($A4216)+IF(AND(IFERROR(N(INDEX(Übersicht!$M$15:$M$22,MATCH($B4216,Übersicht!$A$15:$A$22,0))),0)&gt;1,DAY($A4216)&gt;=IFERROR(N(INDEX(Übersicht!$M$15:$M$22,MATCH($B4216,Übersicht!$A$15:$A$22,0))),0)),1,0),1))</f>
        <v/>
      </c>
    </row>
    <row r="4217">
      <c r="A4217" s="92" t="n"/>
      <c r="B4217" s="55" t="n"/>
      <c r="C4217" s="55" t="n"/>
      <c r="D4217" s="55" t="n"/>
      <c r="E4217" s="93" t="n"/>
      <c r="F4217" s="94" t="n"/>
      <c r="G4217" s="94" t="n"/>
      <c r="H4217" s="94" t="n"/>
      <c r="I4217" s="94" t="n"/>
      <c r="J4217" s="55" t="n"/>
      <c r="K4217" s="95" t="n"/>
      <c r="L4217" s="116">
        <f>IF($A4217="","",DATE(YEAR($A4217),MONTH($A4217)+IF(AND(IFERROR(N(INDEX(Übersicht!$M$15:$M$22,MATCH($B4217,Übersicht!$A$15:$A$22,0))),0)&gt;1,DAY($A4217)&gt;=IFERROR(N(INDEX(Übersicht!$M$15:$M$22,MATCH($B4217,Übersicht!$A$15:$A$22,0))),0)),1,0),1))</f>
        <v/>
      </c>
    </row>
    <row r="4218">
      <c r="A4218" s="92" t="n"/>
      <c r="B4218" s="55" t="n"/>
      <c r="C4218" s="55" t="n"/>
      <c r="D4218" s="55" t="n"/>
      <c r="E4218" s="93" t="n"/>
      <c r="F4218" s="94" t="n"/>
      <c r="G4218" s="94" t="n"/>
      <c r="H4218" s="94" t="n"/>
      <c r="I4218" s="94" t="n"/>
      <c r="J4218" s="55" t="n"/>
      <c r="K4218" s="95" t="n"/>
      <c r="L4218" s="116">
        <f>IF($A4218="","",DATE(YEAR($A4218),MONTH($A4218)+IF(AND(IFERROR(N(INDEX(Übersicht!$M$15:$M$22,MATCH($B4218,Übersicht!$A$15:$A$22,0))),0)&gt;1,DAY($A4218)&gt;=IFERROR(N(INDEX(Übersicht!$M$15:$M$22,MATCH($B4218,Übersicht!$A$15:$A$22,0))),0)),1,0),1))</f>
        <v/>
      </c>
    </row>
    <row r="4219">
      <c r="A4219" s="92" t="n"/>
      <c r="B4219" s="55" t="n"/>
      <c r="C4219" s="55" t="n"/>
      <c r="D4219" s="55" t="n"/>
      <c r="E4219" s="93" t="n"/>
      <c r="F4219" s="94" t="n"/>
      <c r="G4219" s="94" t="n"/>
      <c r="H4219" s="94" t="n"/>
      <c r="I4219" s="94" t="n"/>
      <c r="J4219" s="55" t="n"/>
      <c r="K4219" s="95" t="n"/>
      <c r="L4219" s="116">
        <f>IF($A4219="","",DATE(YEAR($A4219),MONTH($A4219)+IF(AND(IFERROR(N(INDEX(Übersicht!$M$15:$M$22,MATCH($B4219,Übersicht!$A$15:$A$22,0))),0)&gt;1,DAY($A4219)&gt;=IFERROR(N(INDEX(Übersicht!$M$15:$M$22,MATCH($B4219,Übersicht!$A$15:$A$22,0))),0)),1,0),1))</f>
        <v/>
      </c>
    </row>
    <row r="4220">
      <c r="A4220" s="92" t="n"/>
      <c r="B4220" s="55" t="n"/>
      <c r="C4220" s="55" t="n"/>
      <c r="D4220" s="55" t="n"/>
      <c r="E4220" s="93" t="n"/>
      <c r="F4220" s="94" t="n"/>
      <c r="G4220" s="94" t="n"/>
      <c r="H4220" s="94" t="n"/>
      <c r="I4220" s="94" t="n"/>
      <c r="J4220" s="55" t="n"/>
      <c r="K4220" s="95" t="n"/>
      <c r="L4220" s="116">
        <f>IF($A4220="","",DATE(YEAR($A4220),MONTH($A4220)+IF(AND(IFERROR(N(INDEX(Übersicht!$M$15:$M$22,MATCH($B4220,Übersicht!$A$15:$A$22,0))),0)&gt;1,DAY($A4220)&gt;=IFERROR(N(INDEX(Übersicht!$M$15:$M$22,MATCH($B4220,Übersicht!$A$15:$A$22,0))),0)),1,0),1))</f>
        <v/>
      </c>
    </row>
    <row r="4221">
      <c r="A4221" s="92" t="n"/>
      <c r="B4221" s="55" t="n"/>
      <c r="C4221" s="55" t="n"/>
      <c r="D4221" s="55" t="n"/>
      <c r="E4221" s="93" t="n"/>
      <c r="F4221" s="94" t="n"/>
      <c r="G4221" s="94" t="n"/>
      <c r="H4221" s="94" t="n"/>
      <c r="I4221" s="94" t="n"/>
      <c r="J4221" s="55" t="n"/>
      <c r="K4221" s="95" t="n"/>
      <c r="L4221" s="116">
        <f>IF($A4221="","",DATE(YEAR($A4221),MONTH($A4221)+IF(AND(IFERROR(N(INDEX(Übersicht!$M$15:$M$22,MATCH($B4221,Übersicht!$A$15:$A$22,0))),0)&gt;1,DAY($A4221)&gt;=IFERROR(N(INDEX(Übersicht!$M$15:$M$22,MATCH($B4221,Übersicht!$A$15:$A$22,0))),0)),1,0),1))</f>
        <v/>
      </c>
    </row>
    <row r="4222">
      <c r="A4222" s="92" t="n"/>
      <c r="B4222" s="55" t="n"/>
      <c r="C4222" s="55" t="n"/>
      <c r="D4222" s="55" t="n"/>
      <c r="E4222" s="93" t="n"/>
      <c r="F4222" s="94" t="n"/>
      <c r="G4222" s="94" t="n"/>
      <c r="H4222" s="94" t="n"/>
      <c r="I4222" s="94" t="n"/>
      <c r="J4222" s="55" t="n"/>
      <c r="K4222" s="95" t="n"/>
      <c r="L4222" s="116">
        <f>IF($A4222="","",DATE(YEAR($A4222),MONTH($A4222)+IF(AND(IFERROR(N(INDEX(Übersicht!$M$15:$M$22,MATCH($B4222,Übersicht!$A$15:$A$22,0))),0)&gt;1,DAY($A4222)&gt;=IFERROR(N(INDEX(Übersicht!$M$15:$M$22,MATCH($B4222,Übersicht!$A$15:$A$22,0))),0)),1,0),1))</f>
        <v/>
      </c>
    </row>
    <row r="4223">
      <c r="A4223" s="92" t="n"/>
      <c r="B4223" s="55" t="n"/>
      <c r="C4223" s="55" t="n"/>
      <c r="D4223" s="55" t="n"/>
      <c r="E4223" s="93" t="n"/>
      <c r="F4223" s="94" t="n"/>
      <c r="G4223" s="94" t="n"/>
      <c r="H4223" s="94" t="n"/>
      <c r="I4223" s="94" t="n"/>
      <c r="J4223" s="55" t="n"/>
      <c r="K4223" s="95" t="n"/>
      <c r="L4223" s="116">
        <f>IF($A4223="","",DATE(YEAR($A4223),MONTH($A4223)+IF(AND(IFERROR(N(INDEX(Übersicht!$M$15:$M$22,MATCH($B4223,Übersicht!$A$15:$A$22,0))),0)&gt;1,DAY($A4223)&gt;=IFERROR(N(INDEX(Übersicht!$M$15:$M$22,MATCH($B4223,Übersicht!$A$15:$A$22,0))),0)),1,0),1))</f>
        <v/>
      </c>
    </row>
    <row r="4224">
      <c r="A4224" s="92" t="n"/>
      <c r="B4224" s="55" t="n"/>
      <c r="C4224" s="55" t="n"/>
      <c r="D4224" s="55" t="n"/>
      <c r="E4224" s="93" t="n"/>
      <c r="F4224" s="94" t="n"/>
      <c r="G4224" s="94" t="n"/>
      <c r="H4224" s="94" t="n"/>
      <c r="I4224" s="94" t="n"/>
      <c r="J4224" s="55" t="n"/>
      <c r="K4224" s="95" t="n"/>
      <c r="L4224" s="116">
        <f>IF($A4224="","",DATE(YEAR($A4224),MONTH($A4224)+IF(AND(IFERROR(N(INDEX(Übersicht!$M$15:$M$22,MATCH($B4224,Übersicht!$A$15:$A$22,0))),0)&gt;1,DAY($A4224)&gt;=IFERROR(N(INDEX(Übersicht!$M$15:$M$22,MATCH($B4224,Übersicht!$A$15:$A$22,0))),0)),1,0),1))</f>
        <v/>
      </c>
    </row>
    <row r="4225">
      <c r="A4225" s="92" t="n"/>
      <c r="B4225" s="55" t="n"/>
      <c r="C4225" s="55" t="n"/>
      <c r="D4225" s="55" t="n"/>
      <c r="E4225" s="93" t="n"/>
      <c r="F4225" s="94" t="n"/>
      <c r="G4225" s="94" t="n"/>
      <c r="H4225" s="94" t="n"/>
      <c r="I4225" s="94" t="n"/>
      <c r="J4225" s="55" t="n"/>
      <c r="K4225" s="95" t="n"/>
      <c r="L4225" s="116">
        <f>IF($A4225="","",DATE(YEAR($A4225),MONTH($A4225)+IF(AND(IFERROR(N(INDEX(Übersicht!$M$15:$M$22,MATCH($B4225,Übersicht!$A$15:$A$22,0))),0)&gt;1,DAY($A4225)&gt;=IFERROR(N(INDEX(Übersicht!$M$15:$M$22,MATCH($B4225,Übersicht!$A$15:$A$22,0))),0)),1,0),1))</f>
        <v/>
      </c>
    </row>
    <row r="4226">
      <c r="A4226" s="92" t="n"/>
      <c r="B4226" s="55" t="n"/>
      <c r="C4226" s="55" t="n"/>
      <c r="D4226" s="55" t="n"/>
      <c r="E4226" s="93" t="n"/>
      <c r="F4226" s="94" t="n"/>
      <c r="G4226" s="94" t="n"/>
      <c r="H4226" s="94" t="n"/>
      <c r="I4226" s="94" t="n"/>
      <c r="J4226" s="55" t="n"/>
      <c r="K4226" s="95" t="n"/>
      <c r="L4226" s="116">
        <f>IF($A4226="","",DATE(YEAR($A4226),MONTH($A4226)+IF(AND(IFERROR(N(INDEX(Übersicht!$M$15:$M$22,MATCH($B4226,Übersicht!$A$15:$A$22,0))),0)&gt;1,DAY($A4226)&gt;=IFERROR(N(INDEX(Übersicht!$M$15:$M$22,MATCH($B4226,Übersicht!$A$15:$A$22,0))),0)),1,0),1))</f>
        <v/>
      </c>
    </row>
    <row r="4227">
      <c r="A4227" s="92" t="n"/>
      <c r="B4227" s="55" t="n"/>
      <c r="C4227" s="55" t="n"/>
      <c r="D4227" s="55" t="n"/>
      <c r="E4227" s="93" t="n"/>
      <c r="F4227" s="94" t="n"/>
      <c r="G4227" s="94" t="n"/>
      <c r="H4227" s="94" t="n"/>
      <c r="I4227" s="94" t="n"/>
      <c r="J4227" s="55" t="n"/>
      <c r="K4227" s="95" t="n"/>
      <c r="L4227" s="116">
        <f>IF($A4227="","",DATE(YEAR($A4227),MONTH($A4227)+IF(AND(IFERROR(N(INDEX(Übersicht!$M$15:$M$22,MATCH($B4227,Übersicht!$A$15:$A$22,0))),0)&gt;1,DAY($A4227)&gt;=IFERROR(N(INDEX(Übersicht!$M$15:$M$22,MATCH($B4227,Übersicht!$A$15:$A$22,0))),0)),1,0),1))</f>
        <v/>
      </c>
    </row>
    <row r="4228">
      <c r="A4228" s="92" t="n"/>
      <c r="B4228" s="55" t="n"/>
      <c r="C4228" s="55" t="n"/>
      <c r="D4228" s="55" t="n"/>
      <c r="E4228" s="93" t="n"/>
      <c r="F4228" s="94" t="n"/>
      <c r="G4228" s="94" t="n"/>
      <c r="H4228" s="94" t="n"/>
      <c r="I4228" s="94" t="n"/>
      <c r="J4228" s="55" t="n"/>
      <c r="K4228" s="95" t="n"/>
      <c r="L4228" s="116">
        <f>IF($A4228="","",DATE(YEAR($A4228),MONTH($A4228)+IF(AND(IFERROR(N(INDEX(Übersicht!$M$15:$M$22,MATCH($B4228,Übersicht!$A$15:$A$22,0))),0)&gt;1,DAY($A4228)&gt;=IFERROR(N(INDEX(Übersicht!$M$15:$M$22,MATCH($B4228,Übersicht!$A$15:$A$22,0))),0)),1,0),1))</f>
        <v/>
      </c>
    </row>
    <row r="4229">
      <c r="A4229" s="92" t="n"/>
      <c r="B4229" s="55" t="n"/>
      <c r="C4229" s="55" t="n"/>
      <c r="D4229" s="55" t="n"/>
      <c r="E4229" s="93" t="n"/>
      <c r="F4229" s="94" t="n"/>
      <c r="G4229" s="94" t="n"/>
      <c r="H4229" s="94" t="n"/>
      <c r="I4229" s="94" t="n"/>
      <c r="J4229" s="55" t="n"/>
      <c r="K4229" s="95" t="n"/>
      <c r="L4229" s="116">
        <f>IF($A4229="","",DATE(YEAR($A4229),MONTH($A4229)+IF(AND(IFERROR(N(INDEX(Übersicht!$M$15:$M$22,MATCH($B4229,Übersicht!$A$15:$A$22,0))),0)&gt;1,DAY($A4229)&gt;=IFERROR(N(INDEX(Übersicht!$M$15:$M$22,MATCH($B4229,Übersicht!$A$15:$A$22,0))),0)),1,0),1))</f>
        <v/>
      </c>
    </row>
    <row r="4230">
      <c r="A4230" s="92" t="n"/>
      <c r="B4230" s="55" t="n"/>
      <c r="C4230" s="55" t="n"/>
      <c r="D4230" s="55" t="n"/>
      <c r="E4230" s="93" t="n"/>
      <c r="F4230" s="94" t="n"/>
      <c r="G4230" s="94" t="n"/>
      <c r="H4230" s="94" t="n"/>
      <c r="I4230" s="94" t="n"/>
      <c r="J4230" s="55" t="n"/>
      <c r="K4230" s="95" t="n"/>
      <c r="L4230" s="116">
        <f>IF($A4230="","",DATE(YEAR($A4230),MONTH($A4230)+IF(AND(IFERROR(N(INDEX(Übersicht!$M$15:$M$22,MATCH($B4230,Übersicht!$A$15:$A$22,0))),0)&gt;1,DAY($A4230)&gt;=IFERROR(N(INDEX(Übersicht!$M$15:$M$22,MATCH($B4230,Übersicht!$A$15:$A$22,0))),0)),1,0),1))</f>
        <v/>
      </c>
    </row>
    <row r="4231">
      <c r="A4231" s="92" t="n"/>
      <c r="B4231" s="55" t="n"/>
      <c r="C4231" s="55" t="n"/>
      <c r="D4231" s="55" t="n"/>
      <c r="E4231" s="93" t="n"/>
      <c r="F4231" s="94" t="n"/>
      <c r="G4231" s="94" t="n"/>
      <c r="H4231" s="94" t="n"/>
      <c r="I4231" s="94" t="n"/>
      <c r="J4231" s="55" t="n"/>
      <c r="K4231" s="95" t="n"/>
      <c r="L4231" s="116">
        <f>IF($A4231="","",DATE(YEAR($A4231),MONTH($A4231)+IF(AND(IFERROR(N(INDEX(Übersicht!$M$15:$M$22,MATCH($B4231,Übersicht!$A$15:$A$22,0))),0)&gt;1,DAY($A4231)&gt;=IFERROR(N(INDEX(Übersicht!$M$15:$M$22,MATCH($B4231,Übersicht!$A$15:$A$22,0))),0)),1,0),1))</f>
        <v/>
      </c>
    </row>
    <row r="4232">
      <c r="A4232" s="92" t="n"/>
      <c r="B4232" s="55" t="n"/>
      <c r="C4232" s="55" t="n"/>
      <c r="D4232" s="55" t="n"/>
      <c r="E4232" s="93" t="n"/>
      <c r="F4232" s="94" t="n"/>
      <c r="G4232" s="94" t="n"/>
      <c r="H4232" s="94" t="n"/>
      <c r="I4232" s="94" t="n"/>
      <c r="J4232" s="55" t="n"/>
      <c r="K4232" s="95" t="n"/>
      <c r="L4232" s="116">
        <f>IF($A4232="","",DATE(YEAR($A4232),MONTH($A4232)+IF(AND(IFERROR(N(INDEX(Übersicht!$M$15:$M$22,MATCH($B4232,Übersicht!$A$15:$A$22,0))),0)&gt;1,DAY($A4232)&gt;=IFERROR(N(INDEX(Übersicht!$M$15:$M$22,MATCH($B4232,Übersicht!$A$15:$A$22,0))),0)),1,0),1))</f>
        <v/>
      </c>
    </row>
    <row r="4233">
      <c r="A4233" s="92" t="n"/>
      <c r="B4233" s="55" t="n"/>
      <c r="C4233" s="55" t="n"/>
      <c r="D4233" s="55" t="n"/>
      <c r="E4233" s="93" t="n"/>
      <c r="F4233" s="94" t="n"/>
      <c r="G4233" s="94" t="n"/>
      <c r="H4233" s="94" t="n"/>
      <c r="I4233" s="94" t="n"/>
      <c r="J4233" s="55" t="n"/>
      <c r="K4233" s="95" t="n"/>
      <c r="L4233" s="116">
        <f>IF($A4233="","",DATE(YEAR($A4233),MONTH($A4233)+IF(AND(IFERROR(N(INDEX(Übersicht!$M$15:$M$22,MATCH($B4233,Übersicht!$A$15:$A$22,0))),0)&gt;1,DAY($A4233)&gt;=IFERROR(N(INDEX(Übersicht!$M$15:$M$22,MATCH($B4233,Übersicht!$A$15:$A$22,0))),0)),1,0),1))</f>
        <v/>
      </c>
    </row>
    <row r="4234">
      <c r="A4234" s="92" t="n"/>
      <c r="B4234" s="55" t="n"/>
      <c r="C4234" s="55" t="n"/>
      <c r="D4234" s="55" t="n"/>
      <c r="E4234" s="93" t="n"/>
      <c r="F4234" s="94" t="n"/>
      <c r="G4234" s="94" t="n"/>
      <c r="H4234" s="94" t="n"/>
      <c r="I4234" s="94" t="n"/>
      <c r="J4234" s="55" t="n"/>
      <c r="K4234" s="95" t="n"/>
      <c r="L4234" s="116">
        <f>IF($A4234="","",DATE(YEAR($A4234),MONTH($A4234)+IF(AND(IFERROR(N(INDEX(Übersicht!$M$15:$M$22,MATCH($B4234,Übersicht!$A$15:$A$22,0))),0)&gt;1,DAY($A4234)&gt;=IFERROR(N(INDEX(Übersicht!$M$15:$M$22,MATCH($B4234,Übersicht!$A$15:$A$22,0))),0)),1,0),1))</f>
        <v/>
      </c>
    </row>
    <row r="4235">
      <c r="A4235" s="92" t="n"/>
      <c r="B4235" s="55" t="n"/>
      <c r="C4235" s="55" t="n"/>
      <c r="D4235" s="55" t="n"/>
      <c r="E4235" s="93" t="n"/>
      <c r="F4235" s="94" t="n"/>
      <c r="G4235" s="94" t="n"/>
      <c r="H4235" s="94" t="n"/>
      <c r="I4235" s="94" t="n"/>
      <c r="J4235" s="55" t="n"/>
      <c r="K4235" s="95" t="n"/>
      <c r="L4235" s="116">
        <f>IF($A4235="","",DATE(YEAR($A4235),MONTH($A4235)+IF(AND(IFERROR(N(INDEX(Übersicht!$M$15:$M$22,MATCH($B4235,Übersicht!$A$15:$A$22,0))),0)&gt;1,DAY($A4235)&gt;=IFERROR(N(INDEX(Übersicht!$M$15:$M$22,MATCH($B4235,Übersicht!$A$15:$A$22,0))),0)),1,0),1))</f>
        <v/>
      </c>
    </row>
    <row r="4236">
      <c r="A4236" s="92" t="n"/>
      <c r="B4236" s="55" t="n"/>
      <c r="C4236" s="55" t="n"/>
      <c r="D4236" s="55" t="n"/>
      <c r="E4236" s="93" t="n"/>
      <c r="F4236" s="94" t="n"/>
      <c r="G4236" s="94" t="n"/>
      <c r="H4236" s="94" t="n"/>
      <c r="I4236" s="94" t="n"/>
      <c r="J4236" s="55" t="n"/>
      <c r="K4236" s="95" t="n"/>
      <c r="L4236" s="116">
        <f>IF($A4236="","",DATE(YEAR($A4236),MONTH($A4236)+IF(AND(IFERROR(N(INDEX(Übersicht!$M$15:$M$22,MATCH($B4236,Übersicht!$A$15:$A$22,0))),0)&gt;1,DAY($A4236)&gt;=IFERROR(N(INDEX(Übersicht!$M$15:$M$22,MATCH($B4236,Übersicht!$A$15:$A$22,0))),0)),1,0),1))</f>
        <v/>
      </c>
    </row>
    <row r="4237">
      <c r="A4237" s="92" t="n"/>
      <c r="B4237" s="55" t="n"/>
      <c r="C4237" s="55" t="n"/>
      <c r="D4237" s="55" t="n"/>
      <c r="E4237" s="93" t="n"/>
      <c r="F4237" s="94" t="n"/>
      <c r="G4237" s="94" t="n"/>
      <c r="H4237" s="94" t="n"/>
      <c r="I4237" s="94" t="n"/>
      <c r="J4237" s="55" t="n"/>
      <c r="K4237" s="95" t="n"/>
      <c r="L4237" s="116">
        <f>IF($A4237="","",DATE(YEAR($A4237),MONTH($A4237)+IF(AND(IFERROR(N(INDEX(Übersicht!$M$15:$M$22,MATCH($B4237,Übersicht!$A$15:$A$22,0))),0)&gt;1,DAY($A4237)&gt;=IFERROR(N(INDEX(Übersicht!$M$15:$M$22,MATCH($B4237,Übersicht!$A$15:$A$22,0))),0)),1,0),1))</f>
        <v/>
      </c>
    </row>
    <row r="4238">
      <c r="A4238" s="92" t="n"/>
      <c r="B4238" s="55" t="n"/>
      <c r="C4238" s="55" t="n"/>
      <c r="D4238" s="55" t="n"/>
      <c r="E4238" s="93" t="n"/>
      <c r="F4238" s="94" t="n"/>
      <c r="G4238" s="94" t="n"/>
      <c r="H4238" s="94" t="n"/>
      <c r="I4238" s="94" t="n"/>
      <c r="J4238" s="55" t="n"/>
      <c r="K4238" s="95" t="n"/>
      <c r="L4238" s="116">
        <f>IF($A4238="","",DATE(YEAR($A4238),MONTH($A4238)+IF(AND(IFERROR(N(INDEX(Übersicht!$M$15:$M$22,MATCH($B4238,Übersicht!$A$15:$A$22,0))),0)&gt;1,DAY($A4238)&gt;=IFERROR(N(INDEX(Übersicht!$M$15:$M$22,MATCH($B4238,Übersicht!$A$15:$A$22,0))),0)),1,0),1))</f>
        <v/>
      </c>
    </row>
    <row r="4239">
      <c r="A4239" s="92" t="n"/>
      <c r="B4239" s="55" t="n"/>
      <c r="C4239" s="55" t="n"/>
      <c r="D4239" s="55" t="n"/>
      <c r="E4239" s="93" t="n"/>
      <c r="F4239" s="94" t="n"/>
      <c r="G4239" s="94" t="n"/>
      <c r="H4239" s="94" t="n"/>
      <c r="I4239" s="94" t="n"/>
      <c r="J4239" s="55" t="n"/>
      <c r="K4239" s="95" t="n"/>
      <c r="L4239" s="116">
        <f>IF($A4239="","",DATE(YEAR($A4239),MONTH($A4239)+IF(AND(IFERROR(N(INDEX(Übersicht!$M$15:$M$22,MATCH($B4239,Übersicht!$A$15:$A$22,0))),0)&gt;1,DAY($A4239)&gt;=IFERROR(N(INDEX(Übersicht!$M$15:$M$22,MATCH($B4239,Übersicht!$A$15:$A$22,0))),0)),1,0),1))</f>
        <v/>
      </c>
    </row>
    <row r="4240">
      <c r="A4240" s="92" t="n"/>
      <c r="B4240" s="55" t="n"/>
      <c r="C4240" s="55" t="n"/>
      <c r="D4240" s="55" t="n"/>
      <c r="E4240" s="93" t="n"/>
      <c r="F4240" s="94" t="n"/>
      <c r="G4240" s="94" t="n"/>
      <c r="H4240" s="94" t="n"/>
      <c r="I4240" s="94" t="n"/>
      <c r="J4240" s="55" t="n"/>
      <c r="K4240" s="95" t="n"/>
      <c r="L4240" s="116">
        <f>IF($A4240="","",DATE(YEAR($A4240),MONTH($A4240)+IF(AND(IFERROR(N(INDEX(Übersicht!$M$15:$M$22,MATCH($B4240,Übersicht!$A$15:$A$22,0))),0)&gt;1,DAY($A4240)&gt;=IFERROR(N(INDEX(Übersicht!$M$15:$M$22,MATCH($B4240,Übersicht!$A$15:$A$22,0))),0)),1,0),1))</f>
        <v/>
      </c>
    </row>
    <row r="4241">
      <c r="A4241" s="92" t="n"/>
      <c r="B4241" s="55" t="n"/>
      <c r="C4241" s="55" t="n"/>
      <c r="D4241" s="55" t="n"/>
      <c r="E4241" s="93" t="n"/>
      <c r="F4241" s="94" t="n"/>
      <c r="G4241" s="94" t="n"/>
      <c r="H4241" s="94" t="n"/>
      <c r="I4241" s="94" t="n"/>
      <c r="J4241" s="55" t="n"/>
      <c r="K4241" s="95" t="n"/>
      <c r="L4241" s="116">
        <f>IF($A4241="","",DATE(YEAR($A4241),MONTH($A4241)+IF(AND(IFERROR(N(INDEX(Übersicht!$M$15:$M$22,MATCH($B4241,Übersicht!$A$15:$A$22,0))),0)&gt;1,DAY($A4241)&gt;=IFERROR(N(INDEX(Übersicht!$M$15:$M$22,MATCH($B4241,Übersicht!$A$15:$A$22,0))),0)),1,0),1))</f>
        <v/>
      </c>
    </row>
    <row r="4242">
      <c r="A4242" s="92" t="n"/>
      <c r="B4242" s="55" t="n"/>
      <c r="C4242" s="55" t="n"/>
      <c r="D4242" s="55" t="n"/>
      <c r="E4242" s="93" t="n"/>
      <c r="F4242" s="94" t="n"/>
      <c r="G4242" s="94" t="n"/>
      <c r="H4242" s="94" t="n"/>
      <c r="I4242" s="94" t="n"/>
      <c r="J4242" s="55" t="n"/>
      <c r="K4242" s="95" t="n"/>
      <c r="L4242" s="116">
        <f>IF($A4242="","",DATE(YEAR($A4242),MONTH($A4242)+IF(AND(IFERROR(N(INDEX(Übersicht!$M$15:$M$22,MATCH($B4242,Übersicht!$A$15:$A$22,0))),0)&gt;1,DAY($A4242)&gt;=IFERROR(N(INDEX(Übersicht!$M$15:$M$22,MATCH($B4242,Übersicht!$A$15:$A$22,0))),0)),1,0),1))</f>
        <v/>
      </c>
    </row>
    <row r="4243">
      <c r="A4243" s="92" t="n"/>
      <c r="B4243" s="55" t="n"/>
      <c r="C4243" s="55" t="n"/>
      <c r="D4243" s="55" t="n"/>
      <c r="E4243" s="93" t="n"/>
      <c r="F4243" s="94" t="n"/>
      <c r="G4243" s="94" t="n"/>
      <c r="H4243" s="94" t="n"/>
      <c r="I4243" s="94" t="n"/>
      <c r="J4243" s="55" t="n"/>
      <c r="K4243" s="95" t="n"/>
      <c r="L4243" s="116">
        <f>IF($A4243="","",DATE(YEAR($A4243),MONTH($A4243)+IF(AND(IFERROR(N(INDEX(Übersicht!$M$15:$M$22,MATCH($B4243,Übersicht!$A$15:$A$22,0))),0)&gt;1,DAY($A4243)&gt;=IFERROR(N(INDEX(Übersicht!$M$15:$M$22,MATCH($B4243,Übersicht!$A$15:$A$22,0))),0)),1,0),1))</f>
        <v/>
      </c>
    </row>
    <row r="4244">
      <c r="A4244" s="92" t="n"/>
      <c r="B4244" s="55" t="n"/>
      <c r="C4244" s="55" t="n"/>
      <c r="D4244" s="55" t="n"/>
      <c r="E4244" s="93" t="n"/>
      <c r="F4244" s="94" t="n"/>
      <c r="G4244" s="94" t="n"/>
      <c r="H4244" s="94" t="n"/>
      <c r="I4244" s="94" t="n"/>
      <c r="J4244" s="55" t="n"/>
      <c r="K4244" s="95" t="n"/>
      <c r="L4244" s="116">
        <f>IF($A4244="","",DATE(YEAR($A4244),MONTH($A4244)+IF(AND(IFERROR(N(INDEX(Übersicht!$M$15:$M$22,MATCH($B4244,Übersicht!$A$15:$A$22,0))),0)&gt;1,DAY($A4244)&gt;=IFERROR(N(INDEX(Übersicht!$M$15:$M$22,MATCH($B4244,Übersicht!$A$15:$A$22,0))),0)),1,0),1))</f>
        <v/>
      </c>
    </row>
    <row r="4245">
      <c r="A4245" s="92" t="n"/>
      <c r="B4245" s="55" t="n"/>
      <c r="C4245" s="55" t="n"/>
      <c r="D4245" s="55" t="n"/>
      <c r="E4245" s="93" t="n"/>
      <c r="F4245" s="94" t="n"/>
      <c r="G4245" s="94" t="n"/>
      <c r="H4245" s="94" t="n"/>
      <c r="I4245" s="94" t="n"/>
      <c r="J4245" s="55" t="n"/>
      <c r="K4245" s="95" t="n"/>
      <c r="L4245" s="116">
        <f>IF($A4245="","",DATE(YEAR($A4245),MONTH($A4245)+IF(AND(IFERROR(N(INDEX(Übersicht!$M$15:$M$22,MATCH($B4245,Übersicht!$A$15:$A$22,0))),0)&gt;1,DAY($A4245)&gt;=IFERROR(N(INDEX(Übersicht!$M$15:$M$22,MATCH($B4245,Übersicht!$A$15:$A$22,0))),0)),1,0),1))</f>
        <v/>
      </c>
    </row>
    <row r="4246">
      <c r="A4246" s="92" t="n"/>
      <c r="B4246" s="55" t="n"/>
      <c r="C4246" s="55" t="n"/>
      <c r="D4246" s="55" t="n"/>
      <c r="E4246" s="93" t="n"/>
      <c r="F4246" s="94" t="n"/>
      <c r="G4246" s="94" t="n"/>
      <c r="H4246" s="94" t="n"/>
      <c r="I4246" s="94" t="n"/>
      <c r="J4246" s="55" t="n"/>
      <c r="K4246" s="95" t="n"/>
      <c r="L4246" s="116">
        <f>IF($A4246="","",DATE(YEAR($A4246),MONTH($A4246)+IF(AND(IFERROR(N(INDEX(Übersicht!$M$15:$M$22,MATCH($B4246,Übersicht!$A$15:$A$22,0))),0)&gt;1,DAY($A4246)&gt;=IFERROR(N(INDEX(Übersicht!$M$15:$M$22,MATCH($B4246,Übersicht!$A$15:$A$22,0))),0)),1,0),1))</f>
        <v/>
      </c>
    </row>
    <row r="4247">
      <c r="A4247" s="92" t="n"/>
      <c r="B4247" s="55" t="n"/>
      <c r="C4247" s="55" t="n"/>
      <c r="D4247" s="55" t="n"/>
      <c r="E4247" s="93" t="n"/>
      <c r="F4247" s="94" t="n"/>
      <c r="G4247" s="94" t="n"/>
      <c r="H4247" s="94" t="n"/>
      <c r="I4247" s="94" t="n"/>
      <c r="J4247" s="55" t="n"/>
      <c r="K4247" s="95" t="n"/>
      <c r="L4247" s="116">
        <f>IF($A4247="","",DATE(YEAR($A4247),MONTH($A4247)+IF(AND(IFERROR(N(INDEX(Übersicht!$M$15:$M$22,MATCH($B4247,Übersicht!$A$15:$A$22,0))),0)&gt;1,DAY($A4247)&gt;=IFERROR(N(INDEX(Übersicht!$M$15:$M$22,MATCH($B4247,Übersicht!$A$15:$A$22,0))),0)),1,0),1))</f>
        <v/>
      </c>
    </row>
    <row r="4248">
      <c r="A4248" s="92" t="n"/>
      <c r="B4248" s="55" t="n"/>
      <c r="C4248" s="55" t="n"/>
      <c r="D4248" s="55" t="n"/>
      <c r="E4248" s="93" t="n"/>
      <c r="F4248" s="94" t="n"/>
      <c r="G4248" s="94" t="n"/>
      <c r="H4248" s="94" t="n"/>
      <c r="I4248" s="94" t="n"/>
      <c r="J4248" s="55" t="n"/>
      <c r="K4248" s="95" t="n"/>
      <c r="L4248" s="116">
        <f>IF($A4248="","",DATE(YEAR($A4248),MONTH($A4248)+IF(AND(IFERROR(N(INDEX(Übersicht!$M$15:$M$22,MATCH($B4248,Übersicht!$A$15:$A$22,0))),0)&gt;1,DAY($A4248)&gt;=IFERROR(N(INDEX(Übersicht!$M$15:$M$22,MATCH($B4248,Übersicht!$A$15:$A$22,0))),0)),1,0),1))</f>
        <v/>
      </c>
    </row>
    <row r="4249">
      <c r="A4249" s="92" t="n"/>
      <c r="B4249" s="55" t="n"/>
      <c r="C4249" s="55" t="n"/>
      <c r="D4249" s="55" t="n"/>
      <c r="E4249" s="93" t="n"/>
      <c r="F4249" s="94" t="n"/>
      <c r="G4249" s="94" t="n"/>
      <c r="H4249" s="94" t="n"/>
      <c r="I4249" s="94" t="n"/>
      <c r="J4249" s="55" t="n"/>
      <c r="K4249" s="95" t="n"/>
      <c r="L4249" s="116">
        <f>IF($A4249="","",DATE(YEAR($A4249),MONTH($A4249)+IF(AND(IFERROR(N(INDEX(Übersicht!$M$15:$M$22,MATCH($B4249,Übersicht!$A$15:$A$22,0))),0)&gt;1,DAY($A4249)&gt;=IFERROR(N(INDEX(Übersicht!$M$15:$M$22,MATCH($B4249,Übersicht!$A$15:$A$22,0))),0)),1,0),1))</f>
        <v/>
      </c>
    </row>
    <row r="4250">
      <c r="A4250" s="92" t="n"/>
      <c r="B4250" s="55" t="n"/>
      <c r="C4250" s="55" t="n"/>
      <c r="D4250" s="55" t="n"/>
      <c r="E4250" s="93" t="n"/>
      <c r="F4250" s="94" t="n"/>
      <c r="G4250" s="94" t="n"/>
      <c r="H4250" s="94" t="n"/>
      <c r="I4250" s="94" t="n"/>
      <c r="J4250" s="55" t="n"/>
      <c r="K4250" s="95" t="n"/>
      <c r="L4250" s="116">
        <f>IF($A4250="","",DATE(YEAR($A4250),MONTH($A4250)+IF(AND(IFERROR(N(INDEX(Übersicht!$M$15:$M$22,MATCH($B4250,Übersicht!$A$15:$A$22,0))),0)&gt;1,DAY($A4250)&gt;=IFERROR(N(INDEX(Übersicht!$M$15:$M$22,MATCH($B4250,Übersicht!$A$15:$A$22,0))),0)),1,0),1))</f>
        <v/>
      </c>
    </row>
    <row r="4251">
      <c r="A4251" s="92" t="n"/>
      <c r="B4251" s="55" t="n"/>
      <c r="C4251" s="55" t="n"/>
      <c r="D4251" s="55" t="n"/>
      <c r="E4251" s="93" t="n"/>
      <c r="F4251" s="94" t="n"/>
      <c r="G4251" s="94" t="n"/>
      <c r="H4251" s="94" t="n"/>
      <c r="I4251" s="94" t="n"/>
      <c r="J4251" s="55" t="n"/>
      <c r="K4251" s="95" t="n"/>
      <c r="L4251" s="116">
        <f>IF($A4251="","",DATE(YEAR($A4251),MONTH($A4251)+IF(AND(IFERROR(N(INDEX(Übersicht!$M$15:$M$22,MATCH($B4251,Übersicht!$A$15:$A$22,0))),0)&gt;1,DAY($A4251)&gt;=IFERROR(N(INDEX(Übersicht!$M$15:$M$22,MATCH($B4251,Übersicht!$A$15:$A$22,0))),0)),1,0),1))</f>
        <v/>
      </c>
    </row>
    <row r="4252">
      <c r="A4252" s="92" t="n"/>
      <c r="B4252" s="55" t="n"/>
      <c r="C4252" s="55" t="n"/>
      <c r="D4252" s="55" t="n"/>
      <c r="E4252" s="93" t="n"/>
      <c r="F4252" s="94" t="n"/>
      <c r="G4252" s="94" t="n"/>
      <c r="H4252" s="94" t="n"/>
      <c r="I4252" s="94" t="n"/>
      <c r="J4252" s="55" t="n"/>
      <c r="K4252" s="95" t="n"/>
      <c r="L4252" s="116">
        <f>IF($A4252="","",DATE(YEAR($A4252),MONTH($A4252)+IF(AND(IFERROR(N(INDEX(Übersicht!$M$15:$M$22,MATCH($B4252,Übersicht!$A$15:$A$22,0))),0)&gt;1,DAY($A4252)&gt;=IFERROR(N(INDEX(Übersicht!$M$15:$M$22,MATCH($B4252,Übersicht!$A$15:$A$22,0))),0)),1,0),1))</f>
        <v/>
      </c>
    </row>
    <row r="4253">
      <c r="A4253" s="92" t="n"/>
      <c r="B4253" s="55" t="n"/>
      <c r="C4253" s="55" t="n"/>
      <c r="D4253" s="55" t="n"/>
      <c r="E4253" s="93" t="n"/>
      <c r="F4253" s="94" t="n"/>
      <c r="G4253" s="94" t="n"/>
      <c r="H4253" s="94" t="n"/>
      <c r="I4253" s="94" t="n"/>
      <c r="J4253" s="55" t="n"/>
      <c r="K4253" s="95" t="n"/>
      <c r="L4253" s="116">
        <f>IF($A4253="","",DATE(YEAR($A4253),MONTH($A4253)+IF(AND(IFERROR(N(INDEX(Übersicht!$M$15:$M$22,MATCH($B4253,Übersicht!$A$15:$A$22,0))),0)&gt;1,DAY($A4253)&gt;=IFERROR(N(INDEX(Übersicht!$M$15:$M$22,MATCH($B4253,Übersicht!$A$15:$A$22,0))),0)),1,0),1))</f>
        <v/>
      </c>
    </row>
    <row r="4254">
      <c r="A4254" s="92" t="n"/>
      <c r="B4254" s="55" t="n"/>
      <c r="C4254" s="55" t="n"/>
      <c r="D4254" s="55" t="n"/>
      <c r="E4254" s="93" t="n"/>
      <c r="F4254" s="94" t="n"/>
      <c r="G4254" s="94" t="n"/>
      <c r="H4254" s="94" t="n"/>
      <c r="I4254" s="94" t="n"/>
      <c r="J4254" s="55" t="n"/>
      <c r="K4254" s="95" t="n"/>
      <c r="L4254" s="116">
        <f>IF($A4254="","",DATE(YEAR($A4254),MONTH($A4254)+IF(AND(IFERROR(N(INDEX(Übersicht!$M$15:$M$22,MATCH($B4254,Übersicht!$A$15:$A$22,0))),0)&gt;1,DAY($A4254)&gt;=IFERROR(N(INDEX(Übersicht!$M$15:$M$22,MATCH($B4254,Übersicht!$A$15:$A$22,0))),0)),1,0),1))</f>
        <v/>
      </c>
    </row>
    <row r="4255">
      <c r="A4255" s="92" t="n"/>
      <c r="B4255" s="55" t="n"/>
      <c r="C4255" s="55" t="n"/>
      <c r="D4255" s="55" t="n"/>
      <c r="E4255" s="93" t="n"/>
      <c r="F4255" s="94" t="n"/>
      <c r="G4255" s="94" t="n"/>
      <c r="H4255" s="94" t="n"/>
      <c r="I4255" s="94" t="n"/>
      <c r="J4255" s="55" t="n"/>
      <c r="K4255" s="95" t="n"/>
      <c r="L4255" s="116">
        <f>IF($A4255="","",DATE(YEAR($A4255),MONTH($A4255)+IF(AND(IFERROR(N(INDEX(Übersicht!$M$15:$M$22,MATCH($B4255,Übersicht!$A$15:$A$22,0))),0)&gt;1,DAY($A4255)&gt;=IFERROR(N(INDEX(Übersicht!$M$15:$M$22,MATCH($B4255,Übersicht!$A$15:$A$22,0))),0)),1,0),1))</f>
        <v/>
      </c>
    </row>
    <row r="4256">
      <c r="A4256" s="92" t="n"/>
      <c r="B4256" s="55" t="n"/>
      <c r="C4256" s="55" t="n"/>
      <c r="D4256" s="55" t="n"/>
      <c r="E4256" s="93" t="n"/>
      <c r="F4256" s="94" t="n"/>
      <c r="G4256" s="94" t="n"/>
      <c r="H4256" s="94" t="n"/>
      <c r="I4256" s="94" t="n"/>
      <c r="J4256" s="55" t="n"/>
      <c r="K4256" s="95" t="n"/>
      <c r="L4256" s="116">
        <f>IF($A4256="","",DATE(YEAR($A4256),MONTH($A4256)+IF(AND(IFERROR(N(INDEX(Übersicht!$M$15:$M$22,MATCH($B4256,Übersicht!$A$15:$A$22,0))),0)&gt;1,DAY($A4256)&gt;=IFERROR(N(INDEX(Übersicht!$M$15:$M$22,MATCH($B4256,Übersicht!$A$15:$A$22,0))),0)),1,0),1))</f>
        <v/>
      </c>
    </row>
    <row r="4257">
      <c r="A4257" s="92" t="n"/>
      <c r="B4257" s="55" t="n"/>
      <c r="C4257" s="55" t="n"/>
      <c r="D4257" s="55" t="n"/>
      <c r="E4257" s="93" t="n"/>
      <c r="F4257" s="94" t="n"/>
      <c r="G4257" s="94" t="n"/>
      <c r="H4257" s="94" t="n"/>
      <c r="I4257" s="94" t="n"/>
      <c r="J4257" s="55" t="n"/>
      <c r="K4257" s="95" t="n"/>
      <c r="L4257" s="116">
        <f>IF($A4257="","",DATE(YEAR($A4257),MONTH($A4257)+IF(AND(IFERROR(N(INDEX(Übersicht!$M$15:$M$22,MATCH($B4257,Übersicht!$A$15:$A$22,0))),0)&gt;1,DAY($A4257)&gt;=IFERROR(N(INDEX(Übersicht!$M$15:$M$22,MATCH($B4257,Übersicht!$A$15:$A$22,0))),0)),1,0),1))</f>
        <v/>
      </c>
    </row>
    <row r="4258">
      <c r="A4258" s="92" t="n"/>
      <c r="B4258" s="55" t="n"/>
      <c r="C4258" s="55" t="n"/>
      <c r="D4258" s="55" t="n"/>
      <c r="E4258" s="93" t="n"/>
      <c r="F4258" s="94" t="n"/>
      <c r="G4258" s="94" t="n"/>
      <c r="H4258" s="94" t="n"/>
      <c r="I4258" s="94" t="n"/>
      <c r="J4258" s="55" t="n"/>
      <c r="K4258" s="95" t="n"/>
      <c r="L4258" s="116">
        <f>IF($A4258="","",DATE(YEAR($A4258),MONTH($A4258)+IF(AND(IFERROR(N(INDEX(Übersicht!$M$15:$M$22,MATCH($B4258,Übersicht!$A$15:$A$22,0))),0)&gt;1,DAY($A4258)&gt;=IFERROR(N(INDEX(Übersicht!$M$15:$M$22,MATCH($B4258,Übersicht!$A$15:$A$22,0))),0)),1,0),1))</f>
        <v/>
      </c>
    </row>
    <row r="4259">
      <c r="A4259" s="92" t="n"/>
      <c r="B4259" s="55" t="n"/>
      <c r="C4259" s="55" t="n"/>
      <c r="D4259" s="55" t="n"/>
      <c r="E4259" s="93" t="n"/>
      <c r="F4259" s="94" t="n"/>
      <c r="G4259" s="94" t="n"/>
      <c r="H4259" s="94" t="n"/>
      <c r="I4259" s="94" t="n"/>
      <c r="J4259" s="55" t="n"/>
      <c r="K4259" s="95" t="n"/>
      <c r="L4259" s="116">
        <f>IF($A4259="","",DATE(YEAR($A4259),MONTH($A4259)+IF(AND(IFERROR(N(INDEX(Übersicht!$M$15:$M$22,MATCH($B4259,Übersicht!$A$15:$A$22,0))),0)&gt;1,DAY($A4259)&gt;=IFERROR(N(INDEX(Übersicht!$M$15:$M$22,MATCH($B4259,Übersicht!$A$15:$A$22,0))),0)),1,0),1))</f>
        <v/>
      </c>
    </row>
    <row r="4260">
      <c r="A4260" s="92" t="n"/>
      <c r="B4260" s="55" t="n"/>
      <c r="C4260" s="55" t="n"/>
      <c r="D4260" s="55" t="n"/>
      <c r="E4260" s="93" t="n"/>
      <c r="F4260" s="94" t="n"/>
      <c r="G4260" s="94" t="n"/>
      <c r="H4260" s="94" t="n"/>
      <c r="I4260" s="94" t="n"/>
      <c r="J4260" s="55" t="n"/>
      <c r="K4260" s="95" t="n"/>
      <c r="L4260" s="116">
        <f>IF($A4260="","",DATE(YEAR($A4260),MONTH($A4260)+IF(AND(IFERROR(N(INDEX(Übersicht!$M$15:$M$22,MATCH($B4260,Übersicht!$A$15:$A$22,0))),0)&gt;1,DAY($A4260)&gt;=IFERROR(N(INDEX(Übersicht!$M$15:$M$22,MATCH($B4260,Übersicht!$A$15:$A$22,0))),0)),1,0),1))</f>
        <v/>
      </c>
    </row>
    <row r="4261">
      <c r="A4261" s="92" t="n"/>
      <c r="B4261" s="55" t="n"/>
      <c r="C4261" s="55" t="n"/>
      <c r="D4261" s="55" t="n"/>
      <c r="E4261" s="93" t="n"/>
      <c r="F4261" s="94" t="n"/>
      <c r="G4261" s="94" t="n"/>
      <c r="H4261" s="94" t="n"/>
      <c r="I4261" s="94" t="n"/>
      <c r="J4261" s="55" t="n"/>
      <c r="K4261" s="95" t="n"/>
      <c r="L4261" s="116">
        <f>IF($A4261="","",DATE(YEAR($A4261),MONTH($A4261)+IF(AND(IFERROR(N(INDEX(Übersicht!$M$15:$M$22,MATCH($B4261,Übersicht!$A$15:$A$22,0))),0)&gt;1,DAY($A4261)&gt;=IFERROR(N(INDEX(Übersicht!$M$15:$M$22,MATCH($B4261,Übersicht!$A$15:$A$22,0))),0)),1,0),1))</f>
        <v/>
      </c>
    </row>
    <row r="4262">
      <c r="A4262" s="92" t="n"/>
      <c r="B4262" s="55" t="n"/>
      <c r="C4262" s="55" t="n"/>
      <c r="D4262" s="55" t="n"/>
      <c r="E4262" s="93" t="n"/>
      <c r="F4262" s="94" t="n"/>
      <c r="G4262" s="94" t="n"/>
      <c r="H4262" s="94" t="n"/>
      <c r="I4262" s="94" t="n"/>
      <c r="J4262" s="55" t="n"/>
      <c r="K4262" s="95" t="n"/>
      <c r="L4262" s="116">
        <f>IF($A4262="","",DATE(YEAR($A4262),MONTH($A4262)+IF(AND(IFERROR(N(INDEX(Übersicht!$M$15:$M$22,MATCH($B4262,Übersicht!$A$15:$A$22,0))),0)&gt;1,DAY($A4262)&gt;=IFERROR(N(INDEX(Übersicht!$M$15:$M$22,MATCH($B4262,Übersicht!$A$15:$A$22,0))),0)),1,0),1))</f>
        <v/>
      </c>
    </row>
    <row r="4263">
      <c r="A4263" s="92" t="n"/>
      <c r="B4263" s="55" t="n"/>
      <c r="C4263" s="55" t="n"/>
      <c r="D4263" s="55" t="n"/>
      <c r="E4263" s="93" t="n"/>
      <c r="F4263" s="94" t="n"/>
      <c r="G4263" s="94" t="n"/>
      <c r="H4263" s="94" t="n"/>
      <c r="I4263" s="94" t="n"/>
      <c r="J4263" s="55" t="n"/>
      <c r="K4263" s="95" t="n"/>
      <c r="L4263" s="116">
        <f>IF($A4263="","",DATE(YEAR($A4263),MONTH($A4263)+IF(AND(IFERROR(N(INDEX(Übersicht!$M$15:$M$22,MATCH($B4263,Übersicht!$A$15:$A$22,0))),0)&gt;1,DAY($A4263)&gt;=IFERROR(N(INDEX(Übersicht!$M$15:$M$22,MATCH($B4263,Übersicht!$A$15:$A$22,0))),0)),1,0),1))</f>
        <v/>
      </c>
    </row>
    <row r="4264">
      <c r="A4264" s="92" t="n"/>
      <c r="B4264" s="55" t="n"/>
      <c r="C4264" s="55" t="n"/>
      <c r="D4264" s="55" t="n"/>
      <c r="E4264" s="93" t="n"/>
      <c r="F4264" s="94" t="n"/>
      <c r="G4264" s="94" t="n"/>
      <c r="H4264" s="94" t="n"/>
      <c r="I4264" s="94" t="n"/>
      <c r="J4264" s="55" t="n"/>
      <c r="K4264" s="95" t="n"/>
      <c r="L4264" s="116">
        <f>IF($A4264="","",DATE(YEAR($A4264),MONTH($A4264)+IF(AND(IFERROR(N(INDEX(Übersicht!$M$15:$M$22,MATCH($B4264,Übersicht!$A$15:$A$22,0))),0)&gt;1,DAY($A4264)&gt;=IFERROR(N(INDEX(Übersicht!$M$15:$M$22,MATCH($B4264,Übersicht!$A$15:$A$22,0))),0)),1,0),1))</f>
        <v/>
      </c>
    </row>
    <row r="4265">
      <c r="A4265" s="92" t="n"/>
      <c r="B4265" s="55" t="n"/>
      <c r="C4265" s="55" t="n"/>
      <c r="D4265" s="55" t="n"/>
      <c r="E4265" s="93" t="n"/>
      <c r="F4265" s="94" t="n"/>
      <c r="G4265" s="94" t="n"/>
      <c r="H4265" s="94" t="n"/>
      <c r="I4265" s="94" t="n"/>
      <c r="J4265" s="55" t="n"/>
      <c r="K4265" s="95" t="n"/>
      <c r="L4265" s="116">
        <f>IF($A4265="","",DATE(YEAR($A4265),MONTH($A4265)+IF(AND(IFERROR(N(INDEX(Übersicht!$M$15:$M$22,MATCH($B4265,Übersicht!$A$15:$A$22,0))),0)&gt;1,DAY($A4265)&gt;=IFERROR(N(INDEX(Übersicht!$M$15:$M$22,MATCH($B4265,Übersicht!$A$15:$A$22,0))),0)),1,0),1))</f>
        <v/>
      </c>
    </row>
    <row r="4266">
      <c r="A4266" s="92" t="n"/>
      <c r="B4266" s="55" t="n"/>
      <c r="C4266" s="55" t="n"/>
      <c r="D4266" s="55" t="n"/>
      <c r="E4266" s="93" t="n"/>
      <c r="F4266" s="94" t="n"/>
      <c r="G4266" s="94" t="n"/>
      <c r="H4266" s="94" t="n"/>
      <c r="I4266" s="94" t="n"/>
      <c r="J4266" s="55" t="n"/>
      <c r="K4266" s="95" t="n"/>
      <c r="L4266" s="116">
        <f>IF($A4266="","",DATE(YEAR($A4266),MONTH($A4266)+IF(AND(IFERROR(N(INDEX(Übersicht!$M$15:$M$22,MATCH($B4266,Übersicht!$A$15:$A$22,0))),0)&gt;1,DAY($A4266)&gt;=IFERROR(N(INDEX(Übersicht!$M$15:$M$22,MATCH($B4266,Übersicht!$A$15:$A$22,0))),0)),1,0),1))</f>
        <v/>
      </c>
    </row>
    <row r="4267">
      <c r="A4267" s="92" t="n"/>
      <c r="B4267" s="55" t="n"/>
      <c r="C4267" s="55" t="n"/>
      <c r="D4267" s="55" t="n"/>
      <c r="E4267" s="93" t="n"/>
      <c r="F4267" s="94" t="n"/>
      <c r="G4267" s="94" t="n"/>
      <c r="H4267" s="94" t="n"/>
      <c r="I4267" s="94" t="n"/>
      <c r="J4267" s="55" t="n"/>
      <c r="K4267" s="95" t="n"/>
      <c r="L4267" s="116">
        <f>IF($A4267="","",DATE(YEAR($A4267),MONTH($A4267)+IF(AND(IFERROR(N(INDEX(Übersicht!$M$15:$M$22,MATCH($B4267,Übersicht!$A$15:$A$22,0))),0)&gt;1,DAY($A4267)&gt;=IFERROR(N(INDEX(Übersicht!$M$15:$M$22,MATCH($B4267,Übersicht!$A$15:$A$22,0))),0)),1,0),1))</f>
        <v/>
      </c>
    </row>
    <row r="4268">
      <c r="A4268" s="92" t="n"/>
      <c r="B4268" s="55" t="n"/>
      <c r="C4268" s="55" t="n"/>
      <c r="D4268" s="55" t="n"/>
      <c r="E4268" s="93" t="n"/>
      <c r="F4268" s="94" t="n"/>
      <c r="G4268" s="94" t="n"/>
      <c r="H4268" s="94" t="n"/>
      <c r="I4268" s="94" t="n"/>
      <c r="J4268" s="55" t="n"/>
      <c r="K4268" s="95" t="n"/>
      <c r="L4268" s="116">
        <f>IF($A4268="","",DATE(YEAR($A4268),MONTH($A4268)+IF(AND(IFERROR(N(INDEX(Übersicht!$M$15:$M$22,MATCH($B4268,Übersicht!$A$15:$A$22,0))),0)&gt;1,DAY($A4268)&gt;=IFERROR(N(INDEX(Übersicht!$M$15:$M$22,MATCH($B4268,Übersicht!$A$15:$A$22,0))),0)),1,0),1))</f>
        <v/>
      </c>
    </row>
    <row r="4269">
      <c r="A4269" s="92" t="n"/>
      <c r="B4269" s="55" t="n"/>
      <c r="C4269" s="55" t="n"/>
      <c r="D4269" s="55" t="n"/>
      <c r="E4269" s="93" t="n"/>
      <c r="F4269" s="94" t="n"/>
      <c r="G4269" s="94" t="n"/>
      <c r="H4269" s="94" t="n"/>
      <c r="I4269" s="94" t="n"/>
      <c r="J4269" s="55" t="n"/>
      <c r="K4269" s="95" t="n"/>
      <c r="L4269" s="116">
        <f>IF($A4269="","",DATE(YEAR($A4269),MONTH($A4269)+IF(AND(IFERROR(N(INDEX(Übersicht!$M$15:$M$22,MATCH($B4269,Übersicht!$A$15:$A$22,0))),0)&gt;1,DAY($A4269)&gt;=IFERROR(N(INDEX(Übersicht!$M$15:$M$22,MATCH($B4269,Übersicht!$A$15:$A$22,0))),0)),1,0),1))</f>
        <v/>
      </c>
    </row>
    <row r="4270">
      <c r="A4270" s="92" t="n"/>
      <c r="B4270" s="55" t="n"/>
      <c r="C4270" s="55" t="n"/>
      <c r="D4270" s="55" t="n"/>
      <c r="E4270" s="93" t="n"/>
      <c r="F4270" s="94" t="n"/>
      <c r="G4270" s="94" t="n"/>
      <c r="H4270" s="94" t="n"/>
      <c r="I4270" s="94" t="n"/>
      <c r="J4270" s="55" t="n"/>
      <c r="K4270" s="95" t="n"/>
      <c r="L4270" s="116">
        <f>IF($A4270="","",DATE(YEAR($A4270),MONTH($A4270)+IF(AND(IFERROR(N(INDEX(Übersicht!$M$15:$M$22,MATCH($B4270,Übersicht!$A$15:$A$22,0))),0)&gt;1,DAY($A4270)&gt;=IFERROR(N(INDEX(Übersicht!$M$15:$M$22,MATCH($B4270,Übersicht!$A$15:$A$22,0))),0)),1,0),1))</f>
        <v/>
      </c>
    </row>
    <row r="4271">
      <c r="A4271" s="92" t="n"/>
      <c r="B4271" s="55" t="n"/>
      <c r="C4271" s="55" t="n"/>
      <c r="D4271" s="55" t="n"/>
      <c r="E4271" s="93" t="n"/>
      <c r="F4271" s="94" t="n"/>
      <c r="G4271" s="94" t="n"/>
      <c r="H4271" s="94" t="n"/>
      <c r="I4271" s="94" t="n"/>
      <c r="J4271" s="55" t="n"/>
      <c r="K4271" s="95" t="n"/>
      <c r="L4271" s="116">
        <f>IF($A4271="","",DATE(YEAR($A4271),MONTH($A4271)+IF(AND(IFERROR(N(INDEX(Übersicht!$M$15:$M$22,MATCH($B4271,Übersicht!$A$15:$A$22,0))),0)&gt;1,DAY($A4271)&gt;=IFERROR(N(INDEX(Übersicht!$M$15:$M$22,MATCH($B4271,Übersicht!$A$15:$A$22,0))),0)),1,0),1))</f>
        <v/>
      </c>
    </row>
    <row r="4272">
      <c r="A4272" s="92" t="n"/>
      <c r="B4272" s="55" t="n"/>
      <c r="C4272" s="55" t="n"/>
      <c r="D4272" s="55" t="n"/>
      <c r="E4272" s="93" t="n"/>
      <c r="F4272" s="94" t="n"/>
      <c r="G4272" s="94" t="n"/>
      <c r="H4272" s="94" t="n"/>
      <c r="I4272" s="94" t="n"/>
      <c r="J4272" s="55" t="n"/>
      <c r="K4272" s="95" t="n"/>
      <c r="L4272" s="116">
        <f>IF($A4272="","",DATE(YEAR($A4272),MONTH($A4272)+IF(AND(IFERROR(N(INDEX(Übersicht!$M$15:$M$22,MATCH($B4272,Übersicht!$A$15:$A$22,0))),0)&gt;1,DAY($A4272)&gt;=IFERROR(N(INDEX(Übersicht!$M$15:$M$22,MATCH($B4272,Übersicht!$A$15:$A$22,0))),0)),1,0),1))</f>
        <v/>
      </c>
    </row>
    <row r="4273">
      <c r="A4273" s="92" t="n"/>
      <c r="B4273" s="55" t="n"/>
      <c r="C4273" s="55" t="n"/>
      <c r="D4273" s="55" t="n"/>
      <c r="E4273" s="93" t="n"/>
      <c r="F4273" s="94" t="n"/>
      <c r="G4273" s="94" t="n"/>
      <c r="H4273" s="94" t="n"/>
      <c r="I4273" s="94" t="n"/>
      <c r="J4273" s="55" t="n"/>
      <c r="K4273" s="95" t="n"/>
      <c r="L4273" s="116">
        <f>IF($A4273="","",DATE(YEAR($A4273),MONTH($A4273)+IF(AND(IFERROR(N(INDEX(Übersicht!$M$15:$M$22,MATCH($B4273,Übersicht!$A$15:$A$22,0))),0)&gt;1,DAY($A4273)&gt;=IFERROR(N(INDEX(Übersicht!$M$15:$M$22,MATCH($B4273,Übersicht!$A$15:$A$22,0))),0)),1,0),1))</f>
        <v/>
      </c>
    </row>
    <row r="4274">
      <c r="A4274" s="92" t="n"/>
      <c r="B4274" s="55" t="n"/>
      <c r="C4274" s="55" t="n"/>
      <c r="D4274" s="55" t="n"/>
      <c r="E4274" s="93" t="n"/>
      <c r="F4274" s="94" t="n"/>
      <c r="G4274" s="94" t="n"/>
      <c r="H4274" s="94" t="n"/>
      <c r="I4274" s="94" t="n"/>
      <c r="J4274" s="55" t="n"/>
      <c r="K4274" s="95" t="n"/>
      <c r="L4274" s="116">
        <f>IF($A4274="","",DATE(YEAR($A4274),MONTH($A4274)+IF(AND(IFERROR(N(INDEX(Übersicht!$M$15:$M$22,MATCH($B4274,Übersicht!$A$15:$A$22,0))),0)&gt;1,DAY($A4274)&gt;=IFERROR(N(INDEX(Übersicht!$M$15:$M$22,MATCH($B4274,Übersicht!$A$15:$A$22,0))),0)),1,0),1))</f>
        <v/>
      </c>
    </row>
    <row r="4275">
      <c r="A4275" s="92" t="n"/>
      <c r="B4275" s="55" t="n"/>
      <c r="C4275" s="55" t="n"/>
      <c r="D4275" s="55" t="n"/>
      <c r="E4275" s="93" t="n"/>
      <c r="F4275" s="94" t="n"/>
      <c r="G4275" s="94" t="n"/>
      <c r="H4275" s="94" t="n"/>
      <c r="I4275" s="94" t="n"/>
      <c r="J4275" s="55" t="n"/>
      <c r="K4275" s="95" t="n"/>
      <c r="L4275" s="116">
        <f>IF($A4275="","",DATE(YEAR($A4275),MONTH($A4275)+IF(AND(IFERROR(N(INDEX(Übersicht!$M$15:$M$22,MATCH($B4275,Übersicht!$A$15:$A$22,0))),0)&gt;1,DAY($A4275)&gt;=IFERROR(N(INDEX(Übersicht!$M$15:$M$22,MATCH($B4275,Übersicht!$A$15:$A$22,0))),0)),1,0),1))</f>
        <v/>
      </c>
    </row>
    <row r="4276">
      <c r="A4276" s="92" t="n"/>
      <c r="B4276" s="55" t="n"/>
      <c r="C4276" s="55" t="n"/>
      <c r="D4276" s="55" t="n"/>
      <c r="E4276" s="93" t="n"/>
      <c r="F4276" s="94" t="n"/>
      <c r="G4276" s="94" t="n"/>
      <c r="H4276" s="94" t="n"/>
      <c r="I4276" s="94" t="n"/>
      <c r="J4276" s="55" t="n"/>
      <c r="K4276" s="95" t="n"/>
      <c r="L4276" s="116">
        <f>IF($A4276="","",DATE(YEAR($A4276),MONTH($A4276)+IF(AND(IFERROR(N(INDEX(Übersicht!$M$15:$M$22,MATCH($B4276,Übersicht!$A$15:$A$22,0))),0)&gt;1,DAY($A4276)&gt;=IFERROR(N(INDEX(Übersicht!$M$15:$M$22,MATCH($B4276,Übersicht!$A$15:$A$22,0))),0)),1,0),1))</f>
        <v/>
      </c>
    </row>
    <row r="4277">
      <c r="A4277" s="92" t="n"/>
      <c r="B4277" s="55" t="n"/>
      <c r="C4277" s="55" t="n"/>
      <c r="D4277" s="55" t="n"/>
      <c r="E4277" s="93" t="n"/>
      <c r="F4277" s="94" t="n"/>
      <c r="G4277" s="94" t="n"/>
      <c r="H4277" s="94" t="n"/>
      <c r="I4277" s="94" t="n"/>
      <c r="J4277" s="55" t="n"/>
      <c r="K4277" s="95" t="n"/>
      <c r="L4277" s="116">
        <f>IF($A4277="","",DATE(YEAR($A4277),MONTH($A4277)+IF(AND(IFERROR(N(INDEX(Übersicht!$M$15:$M$22,MATCH($B4277,Übersicht!$A$15:$A$22,0))),0)&gt;1,DAY($A4277)&gt;=IFERROR(N(INDEX(Übersicht!$M$15:$M$22,MATCH($B4277,Übersicht!$A$15:$A$22,0))),0)),1,0),1))</f>
        <v/>
      </c>
    </row>
    <row r="4278">
      <c r="A4278" s="92" t="n"/>
      <c r="B4278" s="55" t="n"/>
      <c r="C4278" s="55" t="n"/>
      <c r="D4278" s="55" t="n"/>
      <c r="E4278" s="93" t="n"/>
      <c r="F4278" s="94" t="n"/>
      <c r="G4278" s="94" t="n"/>
      <c r="H4278" s="94" t="n"/>
      <c r="I4278" s="94" t="n"/>
      <c r="J4278" s="55" t="n"/>
      <c r="K4278" s="95" t="n"/>
      <c r="L4278" s="116">
        <f>IF($A4278="","",DATE(YEAR($A4278),MONTH($A4278)+IF(AND(IFERROR(N(INDEX(Übersicht!$M$15:$M$22,MATCH($B4278,Übersicht!$A$15:$A$22,0))),0)&gt;1,DAY($A4278)&gt;=IFERROR(N(INDEX(Übersicht!$M$15:$M$22,MATCH($B4278,Übersicht!$A$15:$A$22,0))),0)),1,0),1))</f>
        <v/>
      </c>
    </row>
    <row r="4279">
      <c r="A4279" s="92" t="n"/>
      <c r="B4279" s="55" t="n"/>
      <c r="C4279" s="55" t="n"/>
      <c r="D4279" s="55" t="n"/>
      <c r="E4279" s="93" t="n"/>
      <c r="F4279" s="94" t="n"/>
      <c r="G4279" s="94" t="n"/>
      <c r="H4279" s="94" t="n"/>
      <c r="I4279" s="94" t="n"/>
      <c r="J4279" s="55" t="n"/>
      <c r="K4279" s="95" t="n"/>
      <c r="L4279" s="116">
        <f>IF($A4279="","",DATE(YEAR($A4279),MONTH($A4279)+IF(AND(IFERROR(N(INDEX(Übersicht!$M$15:$M$22,MATCH($B4279,Übersicht!$A$15:$A$22,0))),0)&gt;1,DAY($A4279)&gt;=IFERROR(N(INDEX(Übersicht!$M$15:$M$22,MATCH($B4279,Übersicht!$A$15:$A$22,0))),0)),1,0),1))</f>
        <v/>
      </c>
    </row>
    <row r="4280">
      <c r="A4280" s="92" t="n"/>
      <c r="B4280" s="55" t="n"/>
      <c r="C4280" s="55" t="n"/>
      <c r="D4280" s="55" t="n"/>
      <c r="E4280" s="93" t="n"/>
      <c r="F4280" s="94" t="n"/>
      <c r="G4280" s="94" t="n"/>
      <c r="H4280" s="94" t="n"/>
      <c r="I4280" s="94" t="n"/>
      <c r="J4280" s="55" t="n"/>
      <c r="K4280" s="95" t="n"/>
      <c r="L4280" s="116">
        <f>IF($A4280="","",DATE(YEAR($A4280),MONTH($A4280)+IF(AND(IFERROR(N(INDEX(Übersicht!$M$15:$M$22,MATCH($B4280,Übersicht!$A$15:$A$22,0))),0)&gt;1,DAY($A4280)&gt;=IFERROR(N(INDEX(Übersicht!$M$15:$M$22,MATCH($B4280,Übersicht!$A$15:$A$22,0))),0)),1,0),1))</f>
        <v/>
      </c>
    </row>
    <row r="4281">
      <c r="A4281" s="92" t="n"/>
      <c r="B4281" s="55" t="n"/>
      <c r="C4281" s="55" t="n"/>
      <c r="D4281" s="55" t="n"/>
      <c r="E4281" s="93" t="n"/>
      <c r="F4281" s="94" t="n"/>
      <c r="G4281" s="94" t="n"/>
      <c r="H4281" s="94" t="n"/>
      <c r="I4281" s="94" t="n"/>
      <c r="J4281" s="55" t="n"/>
      <c r="K4281" s="95" t="n"/>
      <c r="L4281" s="116">
        <f>IF($A4281="","",DATE(YEAR($A4281),MONTH($A4281)+IF(AND(IFERROR(N(INDEX(Übersicht!$M$15:$M$22,MATCH($B4281,Übersicht!$A$15:$A$22,0))),0)&gt;1,DAY($A4281)&gt;=IFERROR(N(INDEX(Übersicht!$M$15:$M$22,MATCH($B4281,Übersicht!$A$15:$A$22,0))),0)),1,0),1))</f>
        <v/>
      </c>
    </row>
    <row r="4282">
      <c r="A4282" s="92" t="n"/>
      <c r="B4282" s="55" t="n"/>
      <c r="C4282" s="55" t="n"/>
      <c r="D4282" s="55" t="n"/>
      <c r="E4282" s="93" t="n"/>
      <c r="F4282" s="94" t="n"/>
      <c r="G4282" s="94" t="n"/>
      <c r="H4282" s="94" t="n"/>
      <c r="I4282" s="94" t="n"/>
      <c r="J4282" s="55" t="n"/>
      <c r="K4282" s="95" t="n"/>
      <c r="L4282" s="116">
        <f>IF($A4282="","",DATE(YEAR($A4282),MONTH($A4282)+IF(AND(IFERROR(N(INDEX(Übersicht!$M$15:$M$22,MATCH($B4282,Übersicht!$A$15:$A$22,0))),0)&gt;1,DAY($A4282)&gt;=IFERROR(N(INDEX(Übersicht!$M$15:$M$22,MATCH($B4282,Übersicht!$A$15:$A$22,0))),0)),1,0),1))</f>
        <v/>
      </c>
    </row>
    <row r="4283">
      <c r="A4283" s="92" t="n"/>
      <c r="B4283" s="55" t="n"/>
      <c r="C4283" s="55" t="n"/>
      <c r="D4283" s="55" t="n"/>
      <c r="E4283" s="93" t="n"/>
      <c r="F4283" s="94" t="n"/>
      <c r="G4283" s="94" t="n"/>
      <c r="H4283" s="94" t="n"/>
      <c r="I4283" s="94" t="n"/>
      <c r="J4283" s="55" t="n"/>
      <c r="K4283" s="95" t="n"/>
      <c r="L4283" s="116">
        <f>IF($A4283="","",DATE(YEAR($A4283),MONTH($A4283)+IF(AND(IFERROR(N(INDEX(Übersicht!$M$15:$M$22,MATCH($B4283,Übersicht!$A$15:$A$22,0))),0)&gt;1,DAY($A4283)&gt;=IFERROR(N(INDEX(Übersicht!$M$15:$M$22,MATCH($B4283,Übersicht!$A$15:$A$22,0))),0)),1,0),1))</f>
        <v/>
      </c>
    </row>
    <row r="4284">
      <c r="A4284" s="92" t="n"/>
      <c r="B4284" s="55" t="n"/>
      <c r="C4284" s="55" t="n"/>
      <c r="D4284" s="55" t="n"/>
      <c r="E4284" s="93" t="n"/>
      <c r="F4284" s="94" t="n"/>
      <c r="G4284" s="94" t="n"/>
      <c r="H4284" s="94" t="n"/>
      <c r="I4284" s="94" t="n"/>
      <c r="J4284" s="55" t="n"/>
      <c r="K4284" s="95" t="n"/>
      <c r="L4284" s="116">
        <f>IF($A4284="","",DATE(YEAR($A4284),MONTH($A4284)+IF(AND(IFERROR(N(INDEX(Übersicht!$M$15:$M$22,MATCH($B4284,Übersicht!$A$15:$A$22,0))),0)&gt;1,DAY($A4284)&gt;=IFERROR(N(INDEX(Übersicht!$M$15:$M$22,MATCH($B4284,Übersicht!$A$15:$A$22,0))),0)),1,0),1))</f>
        <v/>
      </c>
    </row>
    <row r="4285">
      <c r="A4285" s="92" t="n"/>
      <c r="B4285" s="55" t="n"/>
      <c r="C4285" s="55" t="n"/>
      <c r="D4285" s="55" t="n"/>
      <c r="E4285" s="93" t="n"/>
      <c r="F4285" s="94" t="n"/>
      <c r="G4285" s="94" t="n"/>
      <c r="H4285" s="94" t="n"/>
      <c r="I4285" s="94" t="n"/>
      <c r="J4285" s="55" t="n"/>
      <c r="K4285" s="95" t="n"/>
      <c r="L4285" s="116">
        <f>IF($A4285="","",DATE(YEAR($A4285),MONTH($A4285)+IF(AND(IFERROR(N(INDEX(Übersicht!$M$15:$M$22,MATCH($B4285,Übersicht!$A$15:$A$22,0))),0)&gt;1,DAY($A4285)&gt;=IFERROR(N(INDEX(Übersicht!$M$15:$M$22,MATCH($B4285,Übersicht!$A$15:$A$22,0))),0)),1,0),1))</f>
        <v/>
      </c>
    </row>
    <row r="4286">
      <c r="A4286" s="92" t="n"/>
      <c r="B4286" s="55" t="n"/>
      <c r="C4286" s="55" t="n"/>
      <c r="D4286" s="55" t="n"/>
      <c r="E4286" s="93" t="n"/>
      <c r="F4286" s="94" t="n"/>
      <c r="G4286" s="94" t="n"/>
      <c r="H4286" s="94" t="n"/>
      <c r="I4286" s="94" t="n"/>
      <c r="J4286" s="55" t="n"/>
      <c r="K4286" s="95" t="n"/>
      <c r="L4286" s="116">
        <f>IF($A4286="","",DATE(YEAR($A4286),MONTH($A4286)+IF(AND(IFERROR(N(INDEX(Übersicht!$M$15:$M$22,MATCH($B4286,Übersicht!$A$15:$A$22,0))),0)&gt;1,DAY($A4286)&gt;=IFERROR(N(INDEX(Übersicht!$M$15:$M$22,MATCH($B4286,Übersicht!$A$15:$A$22,0))),0)),1,0),1))</f>
        <v/>
      </c>
    </row>
    <row r="4287">
      <c r="A4287" s="92" t="n"/>
      <c r="B4287" s="55" t="n"/>
      <c r="C4287" s="55" t="n"/>
      <c r="D4287" s="55" t="n"/>
      <c r="E4287" s="93" t="n"/>
      <c r="F4287" s="94" t="n"/>
      <c r="G4287" s="94" t="n"/>
      <c r="H4287" s="94" t="n"/>
      <c r="I4287" s="94" t="n"/>
      <c r="J4287" s="55" t="n"/>
      <c r="K4287" s="95" t="n"/>
      <c r="L4287" s="116">
        <f>IF($A4287="","",DATE(YEAR($A4287),MONTH($A4287)+IF(AND(IFERROR(N(INDEX(Übersicht!$M$15:$M$22,MATCH($B4287,Übersicht!$A$15:$A$22,0))),0)&gt;1,DAY($A4287)&gt;=IFERROR(N(INDEX(Übersicht!$M$15:$M$22,MATCH($B4287,Übersicht!$A$15:$A$22,0))),0)),1,0),1))</f>
        <v/>
      </c>
    </row>
    <row r="4288">
      <c r="A4288" s="92" t="n"/>
      <c r="B4288" s="55" t="n"/>
      <c r="C4288" s="55" t="n"/>
      <c r="D4288" s="55" t="n"/>
      <c r="E4288" s="93" t="n"/>
      <c r="F4288" s="94" t="n"/>
      <c r="G4288" s="94" t="n"/>
      <c r="H4288" s="94" t="n"/>
      <c r="I4288" s="94" t="n"/>
      <c r="J4288" s="55" t="n"/>
      <c r="K4288" s="95" t="n"/>
      <c r="L4288" s="116">
        <f>IF($A4288="","",DATE(YEAR($A4288),MONTH($A4288)+IF(AND(IFERROR(N(INDEX(Übersicht!$M$15:$M$22,MATCH($B4288,Übersicht!$A$15:$A$22,0))),0)&gt;1,DAY($A4288)&gt;=IFERROR(N(INDEX(Übersicht!$M$15:$M$22,MATCH($B4288,Übersicht!$A$15:$A$22,0))),0)),1,0),1))</f>
        <v/>
      </c>
    </row>
    <row r="4289">
      <c r="A4289" s="92" t="n"/>
      <c r="B4289" s="55" t="n"/>
      <c r="C4289" s="55" t="n"/>
      <c r="D4289" s="55" t="n"/>
      <c r="E4289" s="93" t="n"/>
      <c r="F4289" s="94" t="n"/>
      <c r="G4289" s="94" t="n"/>
      <c r="H4289" s="94" t="n"/>
      <c r="I4289" s="94" t="n"/>
      <c r="J4289" s="55" t="n"/>
      <c r="K4289" s="95" t="n"/>
      <c r="L4289" s="116">
        <f>IF($A4289="","",DATE(YEAR($A4289),MONTH($A4289)+IF(AND(IFERROR(N(INDEX(Übersicht!$M$15:$M$22,MATCH($B4289,Übersicht!$A$15:$A$22,0))),0)&gt;1,DAY($A4289)&gt;=IFERROR(N(INDEX(Übersicht!$M$15:$M$22,MATCH($B4289,Übersicht!$A$15:$A$22,0))),0)),1,0),1))</f>
        <v/>
      </c>
    </row>
    <row r="4290">
      <c r="A4290" s="92" t="n"/>
      <c r="B4290" s="55" t="n"/>
      <c r="C4290" s="55" t="n"/>
      <c r="D4290" s="55" t="n"/>
      <c r="E4290" s="93" t="n"/>
      <c r="F4290" s="94" t="n"/>
      <c r="G4290" s="94" t="n"/>
      <c r="H4290" s="94" t="n"/>
      <c r="I4290" s="94" t="n"/>
      <c r="J4290" s="55" t="n"/>
      <c r="K4290" s="95" t="n"/>
      <c r="L4290" s="116">
        <f>IF($A4290="","",DATE(YEAR($A4290),MONTH($A4290)+IF(AND(IFERROR(N(INDEX(Übersicht!$M$15:$M$22,MATCH($B4290,Übersicht!$A$15:$A$22,0))),0)&gt;1,DAY($A4290)&gt;=IFERROR(N(INDEX(Übersicht!$M$15:$M$22,MATCH($B4290,Übersicht!$A$15:$A$22,0))),0)),1,0),1))</f>
        <v/>
      </c>
    </row>
    <row r="4291">
      <c r="A4291" s="92" t="n"/>
      <c r="B4291" s="55" t="n"/>
      <c r="C4291" s="55" t="n"/>
      <c r="D4291" s="55" t="n"/>
      <c r="E4291" s="93" t="n"/>
      <c r="F4291" s="94" t="n"/>
      <c r="G4291" s="94" t="n"/>
      <c r="H4291" s="94" t="n"/>
      <c r="I4291" s="94" t="n"/>
      <c r="J4291" s="55" t="n"/>
      <c r="K4291" s="95" t="n"/>
      <c r="L4291" s="116">
        <f>IF($A4291="","",DATE(YEAR($A4291),MONTH($A4291)+IF(AND(IFERROR(N(INDEX(Übersicht!$M$15:$M$22,MATCH($B4291,Übersicht!$A$15:$A$22,0))),0)&gt;1,DAY($A4291)&gt;=IFERROR(N(INDEX(Übersicht!$M$15:$M$22,MATCH($B4291,Übersicht!$A$15:$A$22,0))),0)),1,0),1))</f>
        <v/>
      </c>
    </row>
    <row r="4292">
      <c r="A4292" s="92" t="n"/>
      <c r="B4292" s="55" t="n"/>
      <c r="C4292" s="55" t="n"/>
      <c r="D4292" s="55" t="n"/>
      <c r="E4292" s="93" t="n"/>
      <c r="F4292" s="94" t="n"/>
      <c r="G4292" s="94" t="n"/>
      <c r="H4292" s="94" t="n"/>
      <c r="I4292" s="94" t="n"/>
      <c r="J4292" s="55" t="n"/>
      <c r="K4292" s="95" t="n"/>
      <c r="L4292" s="116">
        <f>IF($A4292="","",DATE(YEAR($A4292),MONTH($A4292)+IF(AND(IFERROR(N(INDEX(Übersicht!$M$15:$M$22,MATCH($B4292,Übersicht!$A$15:$A$22,0))),0)&gt;1,DAY($A4292)&gt;=IFERROR(N(INDEX(Übersicht!$M$15:$M$22,MATCH($B4292,Übersicht!$A$15:$A$22,0))),0)),1,0),1))</f>
        <v/>
      </c>
    </row>
    <row r="4293">
      <c r="A4293" s="92" t="n"/>
      <c r="B4293" s="55" t="n"/>
      <c r="C4293" s="55" t="n"/>
      <c r="D4293" s="55" t="n"/>
      <c r="E4293" s="93" t="n"/>
      <c r="F4293" s="94" t="n"/>
      <c r="G4293" s="94" t="n"/>
      <c r="H4293" s="94" t="n"/>
      <c r="I4293" s="94" t="n"/>
      <c r="J4293" s="55" t="n"/>
      <c r="K4293" s="95" t="n"/>
      <c r="L4293" s="116">
        <f>IF($A4293="","",DATE(YEAR($A4293),MONTH($A4293)+IF(AND(IFERROR(N(INDEX(Übersicht!$M$15:$M$22,MATCH($B4293,Übersicht!$A$15:$A$22,0))),0)&gt;1,DAY($A4293)&gt;=IFERROR(N(INDEX(Übersicht!$M$15:$M$22,MATCH($B4293,Übersicht!$A$15:$A$22,0))),0)),1,0),1))</f>
        <v/>
      </c>
    </row>
    <row r="4294">
      <c r="A4294" s="92" t="n"/>
      <c r="B4294" s="55" t="n"/>
      <c r="C4294" s="55" t="n"/>
      <c r="D4294" s="55" t="n"/>
      <c r="E4294" s="93" t="n"/>
      <c r="F4294" s="94" t="n"/>
      <c r="G4294" s="94" t="n"/>
      <c r="H4294" s="94" t="n"/>
      <c r="I4294" s="94" t="n"/>
      <c r="J4294" s="55" t="n"/>
      <c r="K4294" s="95" t="n"/>
      <c r="L4294" s="116">
        <f>IF($A4294="","",DATE(YEAR($A4294),MONTH($A4294)+IF(AND(IFERROR(N(INDEX(Übersicht!$M$15:$M$22,MATCH($B4294,Übersicht!$A$15:$A$22,0))),0)&gt;1,DAY($A4294)&gt;=IFERROR(N(INDEX(Übersicht!$M$15:$M$22,MATCH($B4294,Übersicht!$A$15:$A$22,0))),0)),1,0),1))</f>
        <v/>
      </c>
    </row>
    <row r="4295">
      <c r="A4295" s="92" t="n"/>
      <c r="B4295" s="55" t="n"/>
      <c r="C4295" s="55" t="n"/>
      <c r="D4295" s="55" t="n"/>
      <c r="E4295" s="93" t="n"/>
      <c r="F4295" s="94" t="n"/>
      <c r="G4295" s="94" t="n"/>
      <c r="H4295" s="94" t="n"/>
      <c r="I4295" s="94" t="n"/>
      <c r="J4295" s="55" t="n"/>
      <c r="K4295" s="95" t="n"/>
      <c r="L4295" s="116">
        <f>IF($A4295="","",DATE(YEAR($A4295),MONTH($A4295)+IF(AND(IFERROR(N(INDEX(Übersicht!$M$15:$M$22,MATCH($B4295,Übersicht!$A$15:$A$22,0))),0)&gt;1,DAY($A4295)&gt;=IFERROR(N(INDEX(Übersicht!$M$15:$M$22,MATCH($B4295,Übersicht!$A$15:$A$22,0))),0)),1,0),1))</f>
        <v/>
      </c>
    </row>
    <row r="4296">
      <c r="A4296" s="92" t="n"/>
      <c r="B4296" s="55" t="n"/>
      <c r="C4296" s="55" t="n"/>
      <c r="D4296" s="55" t="n"/>
      <c r="E4296" s="93" t="n"/>
      <c r="F4296" s="94" t="n"/>
      <c r="G4296" s="94" t="n"/>
      <c r="H4296" s="94" t="n"/>
      <c r="I4296" s="94" t="n"/>
      <c r="J4296" s="55" t="n"/>
      <c r="K4296" s="95" t="n"/>
      <c r="L4296" s="116">
        <f>IF($A4296="","",DATE(YEAR($A4296),MONTH($A4296)+IF(AND(IFERROR(N(INDEX(Übersicht!$M$15:$M$22,MATCH($B4296,Übersicht!$A$15:$A$22,0))),0)&gt;1,DAY($A4296)&gt;=IFERROR(N(INDEX(Übersicht!$M$15:$M$22,MATCH($B4296,Übersicht!$A$15:$A$22,0))),0)),1,0),1))</f>
        <v/>
      </c>
    </row>
    <row r="4297">
      <c r="A4297" s="92" t="n"/>
      <c r="B4297" s="55" t="n"/>
      <c r="C4297" s="55" t="n"/>
      <c r="D4297" s="55" t="n"/>
      <c r="E4297" s="93" t="n"/>
      <c r="F4297" s="94" t="n"/>
      <c r="G4297" s="94" t="n"/>
      <c r="H4297" s="94" t="n"/>
      <c r="I4297" s="94" t="n"/>
      <c r="J4297" s="55" t="n"/>
      <c r="K4297" s="95" t="n"/>
      <c r="L4297" s="116">
        <f>IF($A4297="","",DATE(YEAR($A4297),MONTH($A4297)+IF(AND(IFERROR(N(INDEX(Übersicht!$M$15:$M$22,MATCH($B4297,Übersicht!$A$15:$A$22,0))),0)&gt;1,DAY($A4297)&gt;=IFERROR(N(INDEX(Übersicht!$M$15:$M$22,MATCH($B4297,Übersicht!$A$15:$A$22,0))),0)),1,0),1))</f>
        <v/>
      </c>
    </row>
    <row r="4298">
      <c r="A4298" s="92" t="n"/>
      <c r="B4298" s="55" t="n"/>
      <c r="C4298" s="55" t="n"/>
      <c r="D4298" s="55" t="n"/>
      <c r="E4298" s="93" t="n"/>
      <c r="F4298" s="94" t="n"/>
      <c r="G4298" s="94" t="n"/>
      <c r="H4298" s="94" t="n"/>
      <c r="I4298" s="94" t="n"/>
      <c r="J4298" s="55" t="n"/>
      <c r="K4298" s="95" t="n"/>
      <c r="L4298" s="116">
        <f>IF($A4298="","",DATE(YEAR($A4298),MONTH($A4298)+IF(AND(IFERROR(N(INDEX(Übersicht!$M$15:$M$22,MATCH($B4298,Übersicht!$A$15:$A$22,0))),0)&gt;1,DAY($A4298)&gt;=IFERROR(N(INDEX(Übersicht!$M$15:$M$22,MATCH($B4298,Übersicht!$A$15:$A$22,0))),0)),1,0),1))</f>
        <v/>
      </c>
    </row>
    <row r="4299">
      <c r="A4299" s="92" t="n"/>
      <c r="B4299" s="55" t="n"/>
      <c r="C4299" s="55" t="n"/>
      <c r="D4299" s="55" t="n"/>
      <c r="E4299" s="93" t="n"/>
      <c r="F4299" s="94" t="n"/>
      <c r="G4299" s="94" t="n"/>
      <c r="H4299" s="94" t="n"/>
      <c r="I4299" s="94" t="n"/>
      <c r="J4299" s="55" t="n"/>
      <c r="K4299" s="95" t="n"/>
      <c r="L4299" s="116">
        <f>IF($A4299="","",DATE(YEAR($A4299),MONTH($A4299)+IF(AND(IFERROR(N(INDEX(Übersicht!$M$15:$M$22,MATCH($B4299,Übersicht!$A$15:$A$22,0))),0)&gt;1,DAY($A4299)&gt;=IFERROR(N(INDEX(Übersicht!$M$15:$M$22,MATCH($B4299,Übersicht!$A$15:$A$22,0))),0)),1,0),1))</f>
        <v/>
      </c>
    </row>
    <row r="4300">
      <c r="A4300" s="92" t="n"/>
      <c r="B4300" s="55" t="n"/>
      <c r="C4300" s="55" t="n"/>
      <c r="D4300" s="55" t="n"/>
      <c r="E4300" s="93" t="n"/>
      <c r="F4300" s="94" t="n"/>
      <c r="G4300" s="94" t="n"/>
      <c r="H4300" s="94" t="n"/>
      <c r="I4300" s="94" t="n"/>
      <c r="J4300" s="55" t="n"/>
      <c r="K4300" s="95" t="n"/>
      <c r="L4300" s="116">
        <f>IF($A4300="","",DATE(YEAR($A4300),MONTH($A4300)+IF(AND(IFERROR(N(INDEX(Übersicht!$M$15:$M$22,MATCH($B4300,Übersicht!$A$15:$A$22,0))),0)&gt;1,DAY($A4300)&gt;=IFERROR(N(INDEX(Übersicht!$M$15:$M$22,MATCH($B4300,Übersicht!$A$15:$A$22,0))),0)),1,0),1))</f>
        <v/>
      </c>
    </row>
    <row r="4301">
      <c r="A4301" s="92" t="n"/>
      <c r="B4301" s="55" t="n"/>
      <c r="C4301" s="55" t="n"/>
      <c r="D4301" s="55" t="n"/>
      <c r="E4301" s="93" t="n"/>
      <c r="F4301" s="94" t="n"/>
      <c r="G4301" s="94" t="n"/>
      <c r="H4301" s="94" t="n"/>
      <c r="I4301" s="94" t="n"/>
      <c r="J4301" s="55" t="n"/>
      <c r="K4301" s="95" t="n"/>
      <c r="L4301" s="116">
        <f>IF($A4301="","",DATE(YEAR($A4301),MONTH($A4301)+IF(AND(IFERROR(N(INDEX(Übersicht!$M$15:$M$22,MATCH($B4301,Übersicht!$A$15:$A$22,0))),0)&gt;1,DAY($A4301)&gt;=IFERROR(N(INDEX(Übersicht!$M$15:$M$22,MATCH($B4301,Übersicht!$A$15:$A$22,0))),0)),1,0),1))</f>
        <v/>
      </c>
    </row>
    <row r="4302">
      <c r="A4302" s="92" t="n"/>
      <c r="B4302" s="55" t="n"/>
      <c r="C4302" s="55" t="n"/>
      <c r="D4302" s="55" t="n"/>
      <c r="E4302" s="93" t="n"/>
      <c r="F4302" s="94" t="n"/>
      <c r="G4302" s="94" t="n"/>
      <c r="H4302" s="94" t="n"/>
      <c r="I4302" s="94" t="n"/>
      <c r="J4302" s="55" t="n"/>
      <c r="K4302" s="95" t="n"/>
      <c r="L4302" s="116">
        <f>IF($A4302="","",DATE(YEAR($A4302),MONTH($A4302)+IF(AND(IFERROR(N(INDEX(Übersicht!$M$15:$M$22,MATCH($B4302,Übersicht!$A$15:$A$22,0))),0)&gt;1,DAY($A4302)&gt;=IFERROR(N(INDEX(Übersicht!$M$15:$M$22,MATCH($B4302,Übersicht!$A$15:$A$22,0))),0)),1,0),1))</f>
        <v/>
      </c>
    </row>
    <row r="4303">
      <c r="A4303" s="92" t="n"/>
      <c r="B4303" s="55" t="n"/>
      <c r="C4303" s="55" t="n"/>
      <c r="D4303" s="55" t="n"/>
      <c r="E4303" s="93" t="n"/>
      <c r="F4303" s="94" t="n"/>
      <c r="G4303" s="94" t="n"/>
      <c r="H4303" s="94" t="n"/>
      <c r="I4303" s="94" t="n"/>
      <c r="J4303" s="55" t="n"/>
      <c r="K4303" s="95" t="n"/>
      <c r="L4303" s="116">
        <f>IF($A4303="","",DATE(YEAR($A4303),MONTH($A4303)+IF(AND(IFERROR(N(INDEX(Übersicht!$M$15:$M$22,MATCH($B4303,Übersicht!$A$15:$A$22,0))),0)&gt;1,DAY($A4303)&gt;=IFERROR(N(INDEX(Übersicht!$M$15:$M$22,MATCH($B4303,Übersicht!$A$15:$A$22,0))),0)),1,0),1))</f>
        <v/>
      </c>
    </row>
    <row r="4304">
      <c r="A4304" s="92" t="n"/>
      <c r="B4304" s="55" t="n"/>
      <c r="C4304" s="55" t="n"/>
      <c r="D4304" s="55" t="n"/>
      <c r="E4304" s="93" t="n"/>
      <c r="F4304" s="94" t="n"/>
      <c r="G4304" s="94" t="n"/>
      <c r="H4304" s="94" t="n"/>
      <c r="I4304" s="94" t="n"/>
      <c r="J4304" s="55" t="n"/>
      <c r="K4304" s="95" t="n"/>
      <c r="L4304" s="116">
        <f>IF($A4304="","",DATE(YEAR($A4304),MONTH($A4304)+IF(AND(IFERROR(N(INDEX(Übersicht!$M$15:$M$22,MATCH($B4304,Übersicht!$A$15:$A$22,0))),0)&gt;1,DAY($A4304)&gt;=IFERROR(N(INDEX(Übersicht!$M$15:$M$22,MATCH($B4304,Übersicht!$A$15:$A$22,0))),0)),1,0),1))</f>
        <v/>
      </c>
    </row>
    <row r="4305">
      <c r="A4305" s="92" t="n"/>
      <c r="B4305" s="55" t="n"/>
      <c r="C4305" s="55" t="n"/>
      <c r="D4305" s="55" t="n"/>
      <c r="E4305" s="93" t="n"/>
      <c r="F4305" s="94" t="n"/>
      <c r="G4305" s="94" t="n"/>
      <c r="H4305" s="94" t="n"/>
      <c r="I4305" s="94" t="n"/>
      <c r="J4305" s="55" t="n"/>
      <c r="K4305" s="95" t="n"/>
      <c r="L4305" s="116">
        <f>IF($A4305="","",DATE(YEAR($A4305),MONTH($A4305)+IF(AND(IFERROR(N(INDEX(Übersicht!$M$15:$M$22,MATCH($B4305,Übersicht!$A$15:$A$22,0))),0)&gt;1,DAY($A4305)&gt;=IFERROR(N(INDEX(Übersicht!$M$15:$M$22,MATCH($B4305,Übersicht!$A$15:$A$22,0))),0)),1,0),1))</f>
        <v/>
      </c>
    </row>
    <row r="4306">
      <c r="A4306" s="92" t="n"/>
      <c r="B4306" s="55" t="n"/>
      <c r="C4306" s="55" t="n"/>
      <c r="D4306" s="55" t="n"/>
      <c r="E4306" s="93" t="n"/>
      <c r="F4306" s="94" t="n"/>
      <c r="G4306" s="94" t="n"/>
      <c r="H4306" s="94" t="n"/>
      <c r="I4306" s="94" t="n"/>
      <c r="J4306" s="55" t="n"/>
      <c r="K4306" s="95" t="n"/>
      <c r="L4306" s="116">
        <f>IF($A4306="","",DATE(YEAR($A4306),MONTH($A4306)+IF(AND(IFERROR(N(INDEX(Übersicht!$M$15:$M$22,MATCH($B4306,Übersicht!$A$15:$A$22,0))),0)&gt;1,DAY($A4306)&gt;=IFERROR(N(INDEX(Übersicht!$M$15:$M$22,MATCH($B4306,Übersicht!$A$15:$A$22,0))),0)),1,0),1))</f>
        <v/>
      </c>
    </row>
    <row r="4307">
      <c r="A4307" s="92" t="n"/>
      <c r="B4307" s="55" t="n"/>
      <c r="C4307" s="55" t="n"/>
      <c r="D4307" s="55" t="n"/>
      <c r="E4307" s="93" t="n"/>
      <c r="F4307" s="94" t="n"/>
      <c r="G4307" s="94" t="n"/>
      <c r="H4307" s="94" t="n"/>
      <c r="I4307" s="94" t="n"/>
      <c r="J4307" s="55" t="n"/>
      <c r="K4307" s="95" t="n"/>
      <c r="L4307" s="116">
        <f>IF($A4307="","",DATE(YEAR($A4307),MONTH($A4307)+IF(AND(IFERROR(N(INDEX(Übersicht!$M$15:$M$22,MATCH($B4307,Übersicht!$A$15:$A$22,0))),0)&gt;1,DAY($A4307)&gt;=IFERROR(N(INDEX(Übersicht!$M$15:$M$22,MATCH($B4307,Übersicht!$A$15:$A$22,0))),0)),1,0),1))</f>
        <v/>
      </c>
    </row>
    <row r="4308">
      <c r="A4308" s="92" t="n"/>
      <c r="B4308" s="55" t="n"/>
      <c r="C4308" s="55" t="n"/>
      <c r="D4308" s="55" t="n"/>
      <c r="E4308" s="93" t="n"/>
      <c r="F4308" s="94" t="n"/>
      <c r="G4308" s="94" t="n"/>
      <c r="H4308" s="94" t="n"/>
      <c r="I4308" s="94" t="n"/>
      <c r="J4308" s="55" t="n"/>
      <c r="K4308" s="95" t="n"/>
      <c r="L4308" s="116">
        <f>IF($A4308="","",DATE(YEAR($A4308),MONTH($A4308)+IF(AND(IFERROR(N(INDEX(Übersicht!$M$15:$M$22,MATCH($B4308,Übersicht!$A$15:$A$22,0))),0)&gt;1,DAY($A4308)&gt;=IFERROR(N(INDEX(Übersicht!$M$15:$M$22,MATCH($B4308,Übersicht!$A$15:$A$22,0))),0)),1,0),1))</f>
        <v/>
      </c>
    </row>
    <row r="4309">
      <c r="A4309" s="92" t="n"/>
      <c r="B4309" s="55" t="n"/>
      <c r="C4309" s="55" t="n"/>
      <c r="D4309" s="55" t="n"/>
      <c r="E4309" s="93" t="n"/>
      <c r="F4309" s="94" t="n"/>
      <c r="G4309" s="94" t="n"/>
      <c r="H4309" s="94" t="n"/>
      <c r="I4309" s="94" t="n"/>
      <c r="J4309" s="55" t="n"/>
      <c r="K4309" s="95" t="n"/>
      <c r="L4309" s="116">
        <f>IF($A4309="","",DATE(YEAR($A4309),MONTH($A4309)+IF(AND(IFERROR(N(INDEX(Übersicht!$M$15:$M$22,MATCH($B4309,Übersicht!$A$15:$A$22,0))),0)&gt;1,DAY($A4309)&gt;=IFERROR(N(INDEX(Übersicht!$M$15:$M$22,MATCH($B4309,Übersicht!$A$15:$A$22,0))),0)),1,0),1))</f>
        <v/>
      </c>
    </row>
    <row r="4310">
      <c r="A4310" s="92" t="n"/>
      <c r="B4310" s="55" t="n"/>
      <c r="C4310" s="55" t="n"/>
      <c r="D4310" s="55" t="n"/>
      <c r="E4310" s="93" t="n"/>
      <c r="F4310" s="94" t="n"/>
      <c r="G4310" s="94" t="n"/>
      <c r="H4310" s="94" t="n"/>
      <c r="I4310" s="94" t="n"/>
      <c r="J4310" s="55" t="n"/>
      <c r="K4310" s="95" t="n"/>
      <c r="L4310" s="116">
        <f>IF($A4310="","",DATE(YEAR($A4310),MONTH($A4310)+IF(AND(IFERROR(N(INDEX(Übersicht!$M$15:$M$22,MATCH($B4310,Übersicht!$A$15:$A$22,0))),0)&gt;1,DAY($A4310)&gt;=IFERROR(N(INDEX(Übersicht!$M$15:$M$22,MATCH($B4310,Übersicht!$A$15:$A$22,0))),0)),1,0),1))</f>
        <v/>
      </c>
    </row>
    <row r="4311">
      <c r="A4311" s="92" t="n"/>
      <c r="B4311" s="55" t="n"/>
      <c r="C4311" s="55" t="n"/>
      <c r="D4311" s="55" t="n"/>
      <c r="E4311" s="93" t="n"/>
      <c r="F4311" s="94" t="n"/>
      <c r="G4311" s="94" t="n"/>
      <c r="H4311" s="94" t="n"/>
      <c r="I4311" s="94" t="n"/>
      <c r="J4311" s="55" t="n"/>
      <c r="K4311" s="95" t="n"/>
      <c r="L4311" s="116">
        <f>IF($A4311="","",DATE(YEAR($A4311),MONTH($A4311)+IF(AND(IFERROR(N(INDEX(Übersicht!$M$15:$M$22,MATCH($B4311,Übersicht!$A$15:$A$22,0))),0)&gt;1,DAY($A4311)&gt;=IFERROR(N(INDEX(Übersicht!$M$15:$M$22,MATCH($B4311,Übersicht!$A$15:$A$22,0))),0)),1,0),1))</f>
        <v/>
      </c>
    </row>
    <row r="4312">
      <c r="A4312" s="92" t="n"/>
      <c r="B4312" s="55" t="n"/>
      <c r="C4312" s="55" t="n"/>
      <c r="D4312" s="55" t="n"/>
      <c r="E4312" s="93" t="n"/>
      <c r="F4312" s="94" t="n"/>
      <c r="G4312" s="94" t="n"/>
      <c r="H4312" s="94" t="n"/>
      <c r="I4312" s="94" t="n"/>
      <c r="J4312" s="55" t="n"/>
      <c r="K4312" s="95" t="n"/>
      <c r="L4312" s="116">
        <f>IF($A4312="","",DATE(YEAR($A4312),MONTH($A4312)+IF(AND(IFERROR(N(INDEX(Übersicht!$M$15:$M$22,MATCH($B4312,Übersicht!$A$15:$A$22,0))),0)&gt;1,DAY($A4312)&gt;=IFERROR(N(INDEX(Übersicht!$M$15:$M$22,MATCH($B4312,Übersicht!$A$15:$A$22,0))),0)),1,0),1))</f>
        <v/>
      </c>
    </row>
    <row r="4313">
      <c r="A4313" s="92" t="n"/>
      <c r="B4313" s="55" t="n"/>
      <c r="C4313" s="55" t="n"/>
      <c r="D4313" s="55" t="n"/>
      <c r="E4313" s="93" t="n"/>
      <c r="F4313" s="94" t="n"/>
      <c r="G4313" s="94" t="n"/>
      <c r="H4313" s="94" t="n"/>
      <c r="I4313" s="94" t="n"/>
      <c r="J4313" s="55" t="n"/>
      <c r="K4313" s="95" t="n"/>
      <c r="L4313" s="116">
        <f>IF($A4313="","",DATE(YEAR($A4313),MONTH($A4313)+IF(AND(IFERROR(N(INDEX(Übersicht!$M$15:$M$22,MATCH($B4313,Übersicht!$A$15:$A$22,0))),0)&gt;1,DAY($A4313)&gt;=IFERROR(N(INDEX(Übersicht!$M$15:$M$22,MATCH($B4313,Übersicht!$A$15:$A$22,0))),0)),1,0),1))</f>
        <v/>
      </c>
    </row>
    <row r="4314">
      <c r="A4314" s="92" t="n"/>
      <c r="B4314" s="55" t="n"/>
      <c r="C4314" s="55" t="n"/>
      <c r="D4314" s="55" t="n"/>
      <c r="E4314" s="93" t="n"/>
      <c r="F4314" s="94" t="n"/>
      <c r="G4314" s="94" t="n"/>
      <c r="H4314" s="94" t="n"/>
      <c r="I4314" s="94" t="n"/>
      <c r="J4314" s="55" t="n"/>
      <c r="K4314" s="95" t="n"/>
      <c r="L4314" s="116">
        <f>IF($A4314="","",DATE(YEAR($A4314),MONTH($A4314)+IF(AND(IFERROR(N(INDEX(Übersicht!$M$15:$M$22,MATCH($B4314,Übersicht!$A$15:$A$22,0))),0)&gt;1,DAY($A4314)&gt;=IFERROR(N(INDEX(Übersicht!$M$15:$M$22,MATCH($B4314,Übersicht!$A$15:$A$22,0))),0)),1,0),1))</f>
        <v/>
      </c>
    </row>
    <row r="4315">
      <c r="A4315" s="92" t="n"/>
      <c r="B4315" s="55" t="n"/>
      <c r="C4315" s="55" t="n"/>
      <c r="D4315" s="55" t="n"/>
      <c r="E4315" s="93" t="n"/>
      <c r="F4315" s="94" t="n"/>
      <c r="G4315" s="94" t="n"/>
      <c r="H4315" s="94" t="n"/>
      <c r="I4315" s="94" t="n"/>
      <c r="J4315" s="55" t="n"/>
      <c r="K4315" s="95" t="n"/>
      <c r="L4315" s="116">
        <f>IF($A4315="","",DATE(YEAR($A4315),MONTH($A4315)+IF(AND(IFERROR(N(INDEX(Übersicht!$M$15:$M$22,MATCH($B4315,Übersicht!$A$15:$A$22,0))),0)&gt;1,DAY($A4315)&gt;=IFERROR(N(INDEX(Übersicht!$M$15:$M$22,MATCH($B4315,Übersicht!$A$15:$A$22,0))),0)),1,0),1))</f>
        <v/>
      </c>
    </row>
    <row r="4316">
      <c r="A4316" s="92" t="n"/>
      <c r="B4316" s="55" t="n"/>
      <c r="C4316" s="55" t="n"/>
      <c r="D4316" s="55" t="n"/>
      <c r="E4316" s="93" t="n"/>
      <c r="F4316" s="94" t="n"/>
      <c r="G4316" s="94" t="n"/>
      <c r="H4316" s="94" t="n"/>
      <c r="I4316" s="94" t="n"/>
      <c r="J4316" s="55" t="n"/>
      <c r="K4316" s="95" t="n"/>
      <c r="L4316" s="116">
        <f>IF($A4316="","",DATE(YEAR($A4316),MONTH($A4316)+IF(AND(IFERROR(N(INDEX(Übersicht!$M$15:$M$22,MATCH($B4316,Übersicht!$A$15:$A$22,0))),0)&gt;1,DAY($A4316)&gt;=IFERROR(N(INDEX(Übersicht!$M$15:$M$22,MATCH($B4316,Übersicht!$A$15:$A$22,0))),0)),1,0),1))</f>
        <v/>
      </c>
    </row>
    <row r="4317">
      <c r="A4317" s="92" t="n"/>
      <c r="B4317" s="55" t="n"/>
      <c r="C4317" s="55" t="n"/>
      <c r="D4317" s="55" t="n"/>
      <c r="E4317" s="93" t="n"/>
      <c r="F4317" s="94" t="n"/>
      <c r="G4317" s="94" t="n"/>
      <c r="H4317" s="94" t="n"/>
      <c r="I4317" s="94" t="n"/>
      <c r="J4317" s="55" t="n"/>
      <c r="K4317" s="95" t="n"/>
      <c r="L4317" s="116">
        <f>IF($A4317="","",DATE(YEAR($A4317),MONTH($A4317)+IF(AND(IFERROR(N(INDEX(Übersicht!$M$15:$M$22,MATCH($B4317,Übersicht!$A$15:$A$22,0))),0)&gt;1,DAY($A4317)&gt;=IFERROR(N(INDEX(Übersicht!$M$15:$M$22,MATCH($B4317,Übersicht!$A$15:$A$22,0))),0)),1,0),1))</f>
        <v/>
      </c>
    </row>
    <row r="4318">
      <c r="A4318" s="92" t="n"/>
      <c r="B4318" s="55" t="n"/>
      <c r="C4318" s="55" t="n"/>
      <c r="D4318" s="55" t="n"/>
      <c r="E4318" s="93" t="n"/>
      <c r="F4318" s="94" t="n"/>
      <c r="G4318" s="94" t="n"/>
      <c r="H4318" s="94" t="n"/>
      <c r="I4318" s="94" t="n"/>
      <c r="J4318" s="55" t="n"/>
      <c r="K4318" s="95" t="n"/>
      <c r="L4318" s="116">
        <f>IF($A4318="","",DATE(YEAR($A4318),MONTH($A4318)+IF(AND(IFERROR(N(INDEX(Übersicht!$M$15:$M$22,MATCH($B4318,Übersicht!$A$15:$A$22,0))),0)&gt;1,DAY($A4318)&gt;=IFERROR(N(INDEX(Übersicht!$M$15:$M$22,MATCH($B4318,Übersicht!$A$15:$A$22,0))),0)),1,0),1))</f>
        <v/>
      </c>
    </row>
    <row r="4319">
      <c r="A4319" s="92" t="n"/>
      <c r="B4319" s="55" t="n"/>
      <c r="C4319" s="55" t="n"/>
      <c r="D4319" s="55" t="n"/>
      <c r="E4319" s="93" t="n"/>
      <c r="F4319" s="94" t="n"/>
      <c r="G4319" s="94" t="n"/>
      <c r="H4319" s="94" t="n"/>
      <c r="I4319" s="94" t="n"/>
      <c r="J4319" s="55" t="n"/>
      <c r="K4319" s="95" t="n"/>
      <c r="L4319" s="116">
        <f>IF($A4319="","",DATE(YEAR($A4319),MONTH($A4319)+IF(AND(IFERROR(N(INDEX(Übersicht!$M$15:$M$22,MATCH($B4319,Übersicht!$A$15:$A$22,0))),0)&gt;1,DAY($A4319)&gt;=IFERROR(N(INDEX(Übersicht!$M$15:$M$22,MATCH($B4319,Übersicht!$A$15:$A$22,0))),0)),1,0),1))</f>
        <v/>
      </c>
    </row>
    <row r="4320">
      <c r="A4320" s="92" t="n"/>
      <c r="B4320" s="55" t="n"/>
      <c r="C4320" s="55" t="n"/>
      <c r="D4320" s="55" t="n"/>
      <c r="E4320" s="93" t="n"/>
      <c r="F4320" s="94" t="n"/>
      <c r="G4320" s="94" t="n"/>
      <c r="H4320" s="94" t="n"/>
      <c r="I4320" s="94" t="n"/>
      <c r="J4320" s="55" t="n"/>
      <c r="K4320" s="95" t="n"/>
      <c r="L4320" s="116">
        <f>IF($A4320="","",DATE(YEAR($A4320),MONTH($A4320)+IF(AND(IFERROR(N(INDEX(Übersicht!$M$15:$M$22,MATCH($B4320,Übersicht!$A$15:$A$22,0))),0)&gt;1,DAY($A4320)&gt;=IFERROR(N(INDEX(Übersicht!$M$15:$M$22,MATCH($B4320,Übersicht!$A$15:$A$22,0))),0)),1,0),1))</f>
        <v/>
      </c>
    </row>
    <row r="4321">
      <c r="A4321" s="92" t="n"/>
      <c r="B4321" s="55" t="n"/>
      <c r="C4321" s="55" t="n"/>
      <c r="D4321" s="55" t="n"/>
      <c r="E4321" s="93" t="n"/>
      <c r="F4321" s="94" t="n"/>
      <c r="G4321" s="94" t="n"/>
      <c r="H4321" s="94" t="n"/>
      <c r="I4321" s="94" t="n"/>
      <c r="J4321" s="55" t="n"/>
      <c r="K4321" s="95" t="n"/>
      <c r="L4321" s="116">
        <f>IF($A4321="","",DATE(YEAR($A4321),MONTH($A4321)+IF(AND(IFERROR(N(INDEX(Übersicht!$M$15:$M$22,MATCH($B4321,Übersicht!$A$15:$A$22,0))),0)&gt;1,DAY($A4321)&gt;=IFERROR(N(INDEX(Übersicht!$M$15:$M$22,MATCH($B4321,Übersicht!$A$15:$A$22,0))),0)),1,0),1))</f>
        <v/>
      </c>
    </row>
    <row r="4322">
      <c r="A4322" s="92" t="n"/>
      <c r="B4322" s="55" t="n"/>
      <c r="C4322" s="55" t="n"/>
      <c r="D4322" s="55" t="n"/>
      <c r="E4322" s="93" t="n"/>
      <c r="F4322" s="94" t="n"/>
      <c r="G4322" s="94" t="n"/>
      <c r="H4322" s="94" t="n"/>
      <c r="I4322" s="94" t="n"/>
      <c r="J4322" s="55" t="n"/>
      <c r="K4322" s="95" t="n"/>
      <c r="L4322" s="116">
        <f>IF($A4322="","",DATE(YEAR($A4322),MONTH($A4322)+IF(AND(IFERROR(N(INDEX(Übersicht!$M$15:$M$22,MATCH($B4322,Übersicht!$A$15:$A$22,0))),0)&gt;1,DAY($A4322)&gt;=IFERROR(N(INDEX(Übersicht!$M$15:$M$22,MATCH($B4322,Übersicht!$A$15:$A$22,0))),0)),1,0),1))</f>
        <v/>
      </c>
    </row>
    <row r="4323">
      <c r="A4323" s="92" t="n"/>
      <c r="B4323" s="55" t="n"/>
      <c r="C4323" s="55" t="n"/>
      <c r="D4323" s="55" t="n"/>
      <c r="E4323" s="93" t="n"/>
      <c r="F4323" s="94" t="n"/>
      <c r="G4323" s="94" t="n"/>
      <c r="H4323" s="94" t="n"/>
      <c r="I4323" s="94" t="n"/>
      <c r="J4323" s="55" t="n"/>
      <c r="K4323" s="95" t="n"/>
      <c r="L4323" s="116">
        <f>IF($A4323="","",DATE(YEAR($A4323),MONTH($A4323)+IF(AND(IFERROR(N(INDEX(Übersicht!$M$15:$M$22,MATCH($B4323,Übersicht!$A$15:$A$22,0))),0)&gt;1,DAY($A4323)&gt;=IFERROR(N(INDEX(Übersicht!$M$15:$M$22,MATCH($B4323,Übersicht!$A$15:$A$22,0))),0)),1,0),1))</f>
        <v/>
      </c>
    </row>
    <row r="4324">
      <c r="A4324" s="92" t="n"/>
      <c r="B4324" s="55" t="n"/>
      <c r="C4324" s="55" t="n"/>
      <c r="D4324" s="55" t="n"/>
      <c r="E4324" s="93" t="n"/>
      <c r="F4324" s="94" t="n"/>
      <c r="G4324" s="94" t="n"/>
      <c r="H4324" s="94" t="n"/>
      <c r="I4324" s="94" t="n"/>
      <c r="J4324" s="55" t="n"/>
      <c r="K4324" s="95" t="n"/>
      <c r="L4324" s="116">
        <f>IF($A4324="","",DATE(YEAR($A4324),MONTH($A4324)+IF(AND(IFERROR(N(INDEX(Übersicht!$M$15:$M$22,MATCH($B4324,Übersicht!$A$15:$A$22,0))),0)&gt;1,DAY($A4324)&gt;=IFERROR(N(INDEX(Übersicht!$M$15:$M$22,MATCH($B4324,Übersicht!$A$15:$A$22,0))),0)),1,0),1))</f>
        <v/>
      </c>
    </row>
    <row r="4325">
      <c r="A4325" s="92" t="n"/>
      <c r="B4325" s="55" t="n"/>
      <c r="C4325" s="55" t="n"/>
      <c r="D4325" s="55" t="n"/>
      <c r="E4325" s="93" t="n"/>
      <c r="F4325" s="94" t="n"/>
      <c r="G4325" s="94" t="n"/>
      <c r="H4325" s="94" t="n"/>
      <c r="I4325" s="94" t="n"/>
      <c r="J4325" s="55" t="n"/>
      <c r="K4325" s="95" t="n"/>
      <c r="L4325" s="116">
        <f>IF($A4325="","",DATE(YEAR($A4325),MONTH($A4325)+IF(AND(IFERROR(N(INDEX(Übersicht!$M$15:$M$22,MATCH($B4325,Übersicht!$A$15:$A$22,0))),0)&gt;1,DAY($A4325)&gt;=IFERROR(N(INDEX(Übersicht!$M$15:$M$22,MATCH($B4325,Übersicht!$A$15:$A$22,0))),0)),1,0),1))</f>
        <v/>
      </c>
    </row>
    <row r="4326">
      <c r="A4326" s="92" t="n"/>
      <c r="B4326" s="55" t="n"/>
      <c r="C4326" s="55" t="n"/>
      <c r="D4326" s="55" t="n"/>
      <c r="E4326" s="93" t="n"/>
      <c r="F4326" s="94" t="n"/>
      <c r="G4326" s="94" t="n"/>
      <c r="H4326" s="94" t="n"/>
      <c r="I4326" s="94" t="n"/>
      <c r="J4326" s="55" t="n"/>
      <c r="K4326" s="95" t="n"/>
      <c r="L4326" s="116">
        <f>IF($A4326="","",DATE(YEAR($A4326),MONTH($A4326)+IF(AND(IFERROR(N(INDEX(Übersicht!$M$15:$M$22,MATCH($B4326,Übersicht!$A$15:$A$22,0))),0)&gt;1,DAY($A4326)&gt;=IFERROR(N(INDEX(Übersicht!$M$15:$M$22,MATCH($B4326,Übersicht!$A$15:$A$22,0))),0)),1,0),1))</f>
        <v/>
      </c>
    </row>
    <row r="4327">
      <c r="A4327" s="92" t="n"/>
      <c r="B4327" s="55" t="n"/>
      <c r="C4327" s="55" t="n"/>
      <c r="D4327" s="55" t="n"/>
      <c r="E4327" s="93" t="n"/>
      <c r="F4327" s="94" t="n"/>
      <c r="G4327" s="94" t="n"/>
      <c r="H4327" s="94" t="n"/>
      <c r="I4327" s="94" t="n"/>
      <c r="J4327" s="55" t="n"/>
      <c r="K4327" s="95" t="n"/>
      <c r="L4327" s="116">
        <f>IF($A4327="","",DATE(YEAR($A4327),MONTH($A4327)+IF(AND(IFERROR(N(INDEX(Übersicht!$M$15:$M$22,MATCH($B4327,Übersicht!$A$15:$A$22,0))),0)&gt;1,DAY($A4327)&gt;=IFERROR(N(INDEX(Übersicht!$M$15:$M$22,MATCH($B4327,Übersicht!$A$15:$A$22,0))),0)),1,0),1))</f>
        <v/>
      </c>
    </row>
    <row r="4328">
      <c r="A4328" s="92" t="n"/>
      <c r="B4328" s="55" t="n"/>
      <c r="C4328" s="55" t="n"/>
      <c r="D4328" s="55" t="n"/>
      <c r="E4328" s="93" t="n"/>
      <c r="F4328" s="94" t="n"/>
      <c r="G4328" s="94" t="n"/>
      <c r="H4328" s="94" t="n"/>
      <c r="I4328" s="94" t="n"/>
      <c r="J4328" s="55" t="n"/>
      <c r="K4328" s="95" t="n"/>
      <c r="L4328" s="116">
        <f>IF($A4328="","",DATE(YEAR($A4328),MONTH($A4328)+IF(AND(IFERROR(N(INDEX(Übersicht!$M$15:$M$22,MATCH($B4328,Übersicht!$A$15:$A$22,0))),0)&gt;1,DAY($A4328)&gt;=IFERROR(N(INDEX(Übersicht!$M$15:$M$22,MATCH($B4328,Übersicht!$A$15:$A$22,0))),0)),1,0),1))</f>
        <v/>
      </c>
    </row>
    <row r="4329">
      <c r="A4329" s="92" t="n"/>
      <c r="B4329" s="55" t="n"/>
      <c r="C4329" s="55" t="n"/>
      <c r="D4329" s="55" t="n"/>
      <c r="E4329" s="93" t="n"/>
      <c r="F4329" s="94" t="n"/>
      <c r="G4329" s="94" t="n"/>
      <c r="H4329" s="94" t="n"/>
      <c r="I4329" s="94" t="n"/>
      <c r="J4329" s="55" t="n"/>
      <c r="K4329" s="95" t="n"/>
      <c r="L4329" s="116">
        <f>IF($A4329="","",DATE(YEAR($A4329),MONTH($A4329)+IF(AND(IFERROR(N(INDEX(Übersicht!$M$15:$M$22,MATCH($B4329,Übersicht!$A$15:$A$22,0))),0)&gt;1,DAY($A4329)&gt;=IFERROR(N(INDEX(Übersicht!$M$15:$M$22,MATCH($B4329,Übersicht!$A$15:$A$22,0))),0)),1,0),1))</f>
        <v/>
      </c>
    </row>
    <row r="4330">
      <c r="A4330" s="92" t="n"/>
      <c r="B4330" s="55" t="n"/>
      <c r="C4330" s="55" t="n"/>
      <c r="D4330" s="55" t="n"/>
      <c r="E4330" s="93" t="n"/>
      <c r="F4330" s="94" t="n"/>
      <c r="G4330" s="94" t="n"/>
      <c r="H4330" s="94" t="n"/>
      <c r="I4330" s="94" t="n"/>
      <c r="J4330" s="55" t="n"/>
      <c r="K4330" s="95" t="n"/>
      <c r="L4330" s="116">
        <f>IF($A4330="","",DATE(YEAR($A4330),MONTH($A4330)+IF(AND(IFERROR(N(INDEX(Übersicht!$M$15:$M$22,MATCH($B4330,Übersicht!$A$15:$A$22,0))),0)&gt;1,DAY($A4330)&gt;=IFERROR(N(INDEX(Übersicht!$M$15:$M$22,MATCH($B4330,Übersicht!$A$15:$A$22,0))),0)),1,0),1))</f>
        <v/>
      </c>
    </row>
    <row r="4331">
      <c r="A4331" s="92" t="n"/>
      <c r="B4331" s="55" t="n"/>
      <c r="C4331" s="55" t="n"/>
      <c r="D4331" s="55" t="n"/>
      <c r="E4331" s="93" t="n"/>
      <c r="F4331" s="94" t="n"/>
      <c r="G4331" s="94" t="n"/>
      <c r="H4331" s="94" t="n"/>
      <c r="I4331" s="94" t="n"/>
      <c r="J4331" s="55" t="n"/>
      <c r="K4331" s="95" t="n"/>
      <c r="L4331" s="116">
        <f>IF($A4331="","",DATE(YEAR($A4331),MONTH($A4331)+IF(AND(IFERROR(N(INDEX(Übersicht!$M$15:$M$22,MATCH($B4331,Übersicht!$A$15:$A$22,0))),0)&gt;1,DAY($A4331)&gt;=IFERROR(N(INDEX(Übersicht!$M$15:$M$22,MATCH($B4331,Übersicht!$A$15:$A$22,0))),0)),1,0),1))</f>
        <v/>
      </c>
    </row>
    <row r="4332">
      <c r="A4332" s="92" t="n"/>
      <c r="B4332" s="55" t="n"/>
      <c r="C4332" s="55" t="n"/>
      <c r="D4332" s="55" t="n"/>
      <c r="E4332" s="93" t="n"/>
      <c r="F4332" s="94" t="n"/>
      <c r="G4332" s="94" t="n"/>
      <c r="H4332" s="94" t="n"/>
      <c r="I4332" s="94" t="n"/>
      <c r="J4332" s="55" t="n"/>
      <c r="K4332" s="95" t="n"/>
      <c r="L4332" s="116">
        <f>IF($A4332="","",DATE(YEAR($A4332),MONTH($A4332)+IF(AND(IFERROR(N(INDEX(Übersicht!$M$15:$M$22,MATCH($B4332,Übersicht!$A$15:$A$22,0))),0)&gt;1,DAY($A4332)&gt;=IFERROR(N(INDEX(Übersicht!$M$15:$M$22,MATCH($B4332,Übersicht!$A$15:$A$22,0))),0)),1,0),1))</f>
        <v/>
      </c>
    </row>
    <row r="4333">
      <c r="A4333" s="92" t="n"/>
      <c r="B4333" s="55" t="n"/>
      <c r="C4333" s="55" t="n"/>
      <c r="D4333" s="55" t="n"/>
      <c r="E4333" s="93" t="n"/>
      <c r="F4333" s="94" t="n"/>
      <c r="G4333" s="94" t="n"/>
      <c r="H4333" s="94" t="n"/>
      <c r="I4333" s="94" t="n"/>
      <c r="J4333" s="55" t="n"/>
      <c r="K4333" s="95" t="n"/>
      <c r="L4333" s="116">
        <f>IF($A4333="","",DATE(YEAR($A4333),MONTH($A4333)+IF(AND(IFERROR(N(INDEX(Übersicht!$M$15:$M$22,MATCH($B4333,Übersicht!$A$15:$A$22,0))),0)&gt;1,DAY($A4333)&gt;=IFERROR(N(INDEX(Übersicht!$M$15:$M$22,MATCH($B4333,Übersicht!$A$15:$A$22,0))),0)),1,0),1))</f>
        <v/>
      </c>
    </row>
    <row r="4334">
      <c r="A4334" s="92" t="n"/>
      <c r="B4334" s="55" t="n"/>
      <c r="C4334" s="55" t="n"/>
      <c r="D4334" s="55" t="n"/>
      <c r="E4334" s="93" t="n"/>
      <c r="F4334" s="94" t="n"/>
      <c r="G4334" s="94" t="n"/>
      <c r="H4334" s="94" t="n"/>
      <c r="I4334" s="94" t="n"/>
      <c r="J4334" s="55" t="n"/>
      <c r="K4334" s="95" t="n"/>
      <c r="L4334" s="116">
        <f>IF($A4334="","",DATE(YEAR($A4334),MONTH($A4334)+IF(AND(IFERROR(N(INDEX(Übersicht!$M$15:$M$22,MATCH($B4334,Übersicht!$A$15:$A$22,0))),0)&gt;1,DAY($A4334)&gt;=IFERROR(N(INDEX(Übersicht!$M$15:$M$22,MATCH($B4334,Übersicht!$A$15:$A$22,0))),0)),1,0),1))</f>
        <v/>
      </c>
    </row>
    <row r="4335">
      <c r="A4335" s="92" t="n"/>
      <c r="B4335" s="55" t="n"/>
      <c r="C4335" s="55" t="n"/>
      <c r="D4335" s="55" t="n"/>
      <c r="E4335" s="93" t="n"/>
      <c r="F4335" s="94" t="n"/>
      <c r="G4335" s="94" t="n"/>
      <c r="H4335" s="94" t="n"/>
      <c r="I4335" s="94" t="n"/>
      <c r="J4335" s="55" t="n"/>
      <c r="K4335" s="95" t="n"/>
      <c r="L4335" s="116">
        <f>IF($A4335="","",DATE(YEAR($A4335),MONTH($A4335)+IF(AND(IFERROR(N(INDEX(Übersicht!$M$15:$M$22,MATCH($B4335,Übersicht!$A$15:$A$22,0))),0)&gt;1,DAY($A4335)&gt;=IFERROR(N(INDEX(Übersicht!$M$15:$M$22,MATCH($B4335,Übersicht!$A$15:$A$22,0))),0)),1,0),1))</f>
        <v/>
      </c>
    </row>
    <row r="4336">
      <c r="A4336" s="92" t="n"/>
      <c r="B4336" s="55" t="n"/>
      <c r="C4336" s="55" t="n"/>
      <c r="D4336" s="55" t="n"/>
      <c r="E4336" s="93" t="n"/>
      <c r="F4336" s="94" t="n"/>
      <c r="G4336" s="94" t="n"/>
      <c r="H4336" s="94" t="n"/>
      <c r="I4336" s="94" t="n"/>
      <c r="J4336" s="55" t="n"/>
      <c r="K4336" s="95" t="n"/>
      <c r="L4336" s="116">
        <f>IF($A4336="","",DATE(YEAR($A4336),MONTH($A4336)+IF(AND(IFERROR(N(INDEX(Übersicht!$M$15:$M$22,MATCH($B4336,Übersicht!$A$15:$A$22,0))),0)&gt;1,DAY($A4336)&gt;=IFERROR(N(INDEX(Übersicht!$M$15:$M$22,MATCH($B4336,Übersicht!$A$15:$A$22,0))),0)),1,0),1))</f>
        <v/>
      </c>
    </row>
    <row r="4337">
      <c r="A4337" s="92" t="n"/>
      <c r="B4337" s="55" t="n"/>
      <c r="C4337" s="55" t="n"/>
      <c r="D4337" s="55" t="n"/>
      <c r="E4337" s="93" t="n"/>
      <c r="F4337" s="94" t="n"/>
      <c r="G4337" s="94" t="n"/>
      <c r="H4337" s="94" t="n"/>
      <c r="I4337" s="94" t="n"/>
      <c r="J4337" s="55" t="n"/>
      <c r="K4337" s="95" t="n"/>
      <c r="L4337" s="116">
        <f>IF($A4337="","",DATE(YEAR($A4337),MONTH($A4337)+IF(AND(IFERROR(N(INDEX(Übersicht!$M$15:$M$22,MATCH($B4337,Übersicht!$A$15:$A$22,0))),0)&gt;1,DAY($A4337)&gt;=IFERROR(N(INDEX(Übersicht!$M$15:$M$22,MATCH($B4337,Übersicht!$A$15:$A$22,0))),0)),1,0),1))</f>
        <v/>
      </c>
    </row>
    <row r="4338">
      <c r="A4338" s="92" t="n"/>
      <c r="B4338" s="55" t="n"/>
      <c r="C4338" s="55" t="n"/>
      <c r="D4338" s="55" t="n"/>
      <c r="E4338" s="93" t="n"/>
      <c r="F4338" s="94" t="n"/>
      <c r="G4338" s="94" t="n"/>
      <c r="H4338" s="94" t="n"/>
      <c r="I4338" s="94" t="n"/>
      <c r="J4338" s="55" t="n"/>
      <c r="K4338" s="95" t="n"/>
      <c r="L4338" s="116">
        <f>IF($A4338="","",DATE(YEAR($A4338),MONTH($A4338)+IF(AND(IFERROR(N(INDEX(Übersicht!$M$15:$M$22,MATCH($B4338,Übersicht!$A$15:$A$22,0))),0)&gt;1,DAY($A4338)&gt;=IFERROR(N(INDEX(Übersicht!$M$15:$M$22,MATCH($B4338,Übersicht!$A$15:$A$22,0))),0)),1,0),1))</f>
        <v/>
      </c>
    </row>
    <row r="4339">
      <c r="A4339" s="92" t="n"/>
      <c r="B4339" s="55" t="n"/>
      <c r="C4339" s="55" t="n"/>
      <c r="D4339" s="55" t="n"/>
      <c r="E4339" s="93" t="n"/>
      <c r="F4339" s="94" t="n"/>
      <c r="G4339" s="94" t="n"/>
      <c r="H4339" s="94" t="n"/>
      <c r="I4339" s="94" t="n"/>
      <c r="J4339" s="55" t="n"/>
      <c r="K4339" s="95" t="n"/>
      <c r="L4339" s="116">
        <f>IF($A4339="","",DATE(YEAR($A4339),MONTH($A4339)+IF(AND(IFERROR(N(INDEX(Übersicht!$M$15:$M$22,MATCH($B4339,Übersicht!$A$15:$A$22,0))),0)&gt;1,DAY($A4339)&gt;=IFERROR(N(INDEX(Übersicht!$M$15:$M$22,MATCH($B4339,Übersicht!$A$15:$A$22,0))),0)),1,0),1))</f>
        <v/>
      </c>
    </row>
    <row r="4340">
      <c r="A4340" s="92" t="n"/>
      <c r="B4340" s="55" t="n"/>
      <c r="C4340" s="55" t="n"/>
      <c r="D4340" s="55" t="n"/>
      <c r="E4340" s="93" t="n"/>
      <c r="F4340" s="94" t="n"/>
      <c r="G4340" s="94" t="n"/>
      <c r="H4340" s="94" t="n"/>
      <c r="I4340" s="94" t="n"/>
      <c r="J4340" s="55" t="n"/>
      <c r="K4340" s="95" t="n"/>
      <c r="L4340" s="116">
        <f>IF($A4340="","",DATE(YEAR($A4340),MONTH($A4340)+IF(AND(IFERROR(N(INDEX(Übersicht!$M$15:$M$22,MATCH($B4340,Übersicht!$A$15:$A$22,0))),0)&gt;1,DAY($A4340)&gt;=IFERROR(N(INDEX(Übersicht!$M$15:$M$22,MATCH($B4340,Übersicht!$A$15:$A$22,0))),0)),1,0),1))</f>
        <v/>
      </c>
    </row>
    <row r="4341">
      <c r="A4341" s="92" t="n"/>
      <c r="B4341" s="55" t="n"/>
      <c r="C4341" s="55" t="n"/>
      <c r="D4341" s="55" t="n"/>
      <c r="E4341" s="93" t="n"/>
      <c r="F4341" s="94" t="n"/>
      <c r="G4341" s="94" t="n"/>
      <c r="H4341" s="94" t="n"/>
      <c r="I4341" s="94" t="n"/>
      <c r="J4341" s="55" t="n"/>
      <c r="K4341" s="95" t="n"/>
      <c r="L4341" s="116">
        <f>IF($A4341="","",DATE(YEAR($A4341),MONTH($A4341)+IF(AND(IFERROR(N(INDEX(Übersicht!$M$15:$M$22,MATCH($B4341,Übersicht!$A$15:$A$22,0))),0)&gt;1,DAY($A4341)&gt;=IFERROR(N(INDEX(Übersicht!$M$15:$M$22,MATCH($B4341,Übersicht!$A$15:$A$22,0))),0)),1,0),1))</f>
        <v/>
      </c>
    </row>
    <row r="4342">
      <c r="A4342" s="92" t="n"/>
      <c r="B4342" s="55" t="n"/>
      <c r="C4342" s="55" t="n"/>
      <c r="D4342" s="55" t="n"/>
      <c r="E4342" s="93" t="n"/>
      <c r="F4342" s="94" t="n"/>
      <c r="G4342" s="94" t="n"/>
      <c r="H4342" s="94" t="n"/>
      <c r="I4342" s="94" t="n"/>
      <c r="J4342" s="55" t="n"/>
      <c r="K4342" s="95" t="n"/>
      <c r="L4342" s="116">
        <f>IF($A4342="","",DATE(YEAR($A4342),MONTH($A4342)+IF(AND(IFERROR(N(INDEX(Übersicht!$M$15:$M$22,MATCH($B4342,Übersicht!$A$15:$A$22,0))),0)&gt;1,DAY($A4342)&gt;=IFERROR(N(INDEX(Übersicht!$M$15:$M$22,MATCH($B4342,Übersicht!$A$15:$A$22,0))),0)),1,0),1))</f>
        <v/>
      </c>
    </row>
    <row r="4343">
      <c r="A4343" s="92" t="n"/>
      <c r="B4343" s="55" t="n"/>
      <c r="C4343" s="55" t="n"/>
      <c r="D4343" s="55" t="n"/>
      <c r="E4343" s="93" t="n"/>
      <c r="F4343" s="94" t="n"/>
      <c r="G4343" s="94" t="n"/>
      <c r="H4343" s="94" t="n"/>
      <c r="I4343" s="94" t="n"/>
      <c r="J4343" s="55" t="n"/>
      <c r="K4343" s="95" t="n"/>
      <c r="L4343" s="116">
        <f>IF($A4343="","",DATE(YEAR($A4343),MONTH($A4343)+IF(AND(IFERROR(N(INDEX(Übersicht!$M$15:$M$22,MATCH($B4343,Übersicht!$A$15:$A$22,0))),0)&gt;1,DAY($A4343)&gt;=IFERROR(N(INDEX(Übersicht!$M$15:$M$22,MATCH($B4343,Übersicht!$A$15:$A$22,0))),0)),1,0),1))</f>
        <v/>
      </c>
    </row>
    <row r="4344">
      <c r="A4344" s="92" t="n"/>
      <c r="B4344" s="55" t="n"/>
      <c r="C4344" s="55" t="n"/>
      <c r="D4344" s="55" t="n"/>
      <c r="E4344" s="93" t="n"/>
      <c r="F4344" s="94" t="n"/>
      <c r="G4344" s="94" t="n"/>
      <c r="H4344" s="94" t="n"/>
      <c r="I4344" s="94" t="n"/>
      <c r="J4344" s="55" t="n"/>
      <c r="K4344" s="95" t="n"/>
      <c r="L4344" s="116">
        <f>IF($A4344="","",DATE(YEAR($A4344),MONTH($A4344)+IF(AND(IFERROR(N(INDEX(Übersicht!$M$15:$M$22,MATCH($B4344,Übersicht!$A$15:$A$22,0))),0)&gt;1,DAY($A4344)&gt;=IFERROR(N(INDEX(Übersicht!$M$15:$M$22,MATCH($B4344,Übersicht!$A$15:$A$22,0))),0)),1,0),1))</f>
        <v/>
      </c>
    </row>
    <row r="4345">
      <c r="A4345" s="92" t="n"/>
      <c r="B4345" s="55" t="n"/>
      <c r="C4345" s="55" t="n"/>
      <c r="D4345" s="55" t="n"/>
      <c r="E4345" s="93" t="n"/>
      <c r="F4345" s="94" t="n"/>
      <c r="G4345" s="94" t="n"/>
      <c r="H4345" s="94" t="n"/>
      <c r="I4345" s="94" t="n"/>
      <c r="J4345" s="55" t="n"/>
      <c r="K4345" s="95" t="n"/>
      <c r="L4345" s="116">
        <f>IF($A4345="","",DATE(YEAR($A4345),MONTH($A4345)+IF(AND(IFERROR(N(INDEX(Übersicht!$M$15:$M$22,MATCH($B4345,Übersicht!$A$15:$A$22,0))),0)&gt;1,DAY($A4345)&gt;=IFERROR(N(INDEX(Übersicht!$M$15:$M$22,MATCH($B4345,Übersicht!$A$15:$A$22,0))),0)),1,0),1))</f>
        <v/>
      </c>
    </row>
    <row r="4346">
      <c r="A4346" s="92" t="n"/>
      <c r="B4346" s="55" t="n"/>
      <c r="C4346" s="55" t="n"/>
      <c r="D4346" s="55" t="n"/>
      <c r="E4346" s="93" t="n"/>
      <c r="F4346" s="94" t="n"/>
      <c r="G4346" s="94" t="n"/>
      <c r="H4346" s="94" t="n"/>
      <c r="I4346" s="94" t="n"/>
      <c r="J4346" s="55" t="n"/>
      <c r="K4346" s="95" t="n"/>
      <c r="L4346" s="116">
        <f>IF($A4346="","",DATE(YEAR($A4346),MONTH($A4346)+IF(AND(IFERROR(N(INDEX(Übersicht!$M$15:$M$22,MATCH($B4346,Übersicht!$A$15:$A$22,0))),0)&gt;1,DAY($A4346)&gt;=IFERROR(N(INDEX(Übersicht!$M$15:$M$22,MATCH($B4346,Übersicht!$A$15:$A$22,0))),0)),1,0),1))</f>
        <v/>
      </c>
    </row>
    <row r="4347">
      <c r="A4347" s="92" t="n"/>
      <c r="B4347" s="55" t="n"/>
      <c r="C4347" s="55" t="n"/>
      <c r="D4347" s="55" t="n"/>
      <c r="E4347" s="93" t="n"/>
      <c r="F4347" s="94" t="n"/>
      <c r="G4347" s="94" t="n"/>
      <c r="H4347" s="94" t="n"/>
      <c r="I4347" s="94" t="n"/>
      <c r="J4347" s="55" t="n"/>
      <c r="K4347" s="95" t="n"/>
      <c r="L4347" s="116">
        <f>IF($A4347="","",DATE(YEAR($A4347),MONTH($A4347)+IF(AND(IFERROR(N(INDEX(Übersicht!$M$15:$M$22,MATCH($B4347,Übersicht!$A$15:$A$22,0))),0)&gt;1,DAY($A4347)&gt;=IFERROR(N(INDEX(Übersicht!$M$15:$M$22,MATCH($B4347,Übersicht!$A$15:$A$22,0))),0)),1,0),1))</f>
        <v/>
      </c>
    </row>
    <row r="4348">
      <c r="A4348" s="92" t="n"/>
      <c r="B4348" s="55" t="n"/>
      <c r="C4348" s="55" t="n"/>
      <c r="D4348" s="55" t="n"/>
      <c r="E4348" s="93" t="n"/>
      <c r="F4348" s="94" t="n"/>
      <c r="G4348" s="94" t="n"/>
      <c r="H4348" s="94" t="n"/>
      <c r="I4348" s="94" t="n"/>
      <c r="J4348" s="55" t="n"/>
      <c r="K4348" s="95" t="n"/>
      <c r="L4348" s="116">
        <f>IF($A4348="","",DATE(YEAR($A4348),MONTH($A4348)+IF(AND(IFERROR(N(INDEX(Übersicht!$M$15:$M$22,MATCH($B4348,Übersicht!$A$15:$A$22,0))),0)&gt;1,DAY($A4348)&gt;=IFERROR(N(INDEX(Übersicht!$M$15:$M$22,MATCH($B4348,Übersicht!$A$15:$A$22,0))),0)),1,0),1))</f>
        <v/>
      </c>
    </row>
    <row r="4349">
      <c r="A4349" s="92" t="n"/>
      <c r="B4349" s="55" t="n"/>
      <c r="C4349" s="55" t="n"/>
      <c r="D4349" s="55" t="n"/>
      <c r="E4349" s="93" t="n"/>
      <c r="F4349" s="94" t="n"/>
      <c r="G4349" s="94" t="n"/>
      <c r="H4349" s="94" t="n"/>
      <c r="I4349" s="94" t="n"/>
      <c r="J4349" s="55" t="n"/>
      <c r="K4349" s="95" t="n"/>
      <c r="L4349" s="116">
        <f>IF($A4349="","",DATE(YEAR($A4349),MONTH($A4349)+IF(AND(IFERROR(N(INDEX(Übersicht!$M$15:$M$22,MATCH($B4349,Übersicht!$A$15:$A$22,0))),0)&gt;1,DAY($A4349)&gt;=IFERROR(N(INDEX(Übersicht!$M$15:$M$22,MATCH($B4349,Übersicht!$A$15:$A$22,0))),0)),1,0),1))</f>
        <v/>
      </c>
    </row>
    <row r="4350">
      <c r="A4350" s="92" t="n"/>
      <c r="B4350" s="55" t="n"/>
      <c r="C4350" s="55" t="n"/>
      <c r="D4350" s="55" t="n"/>
      <c r="E4350" s="93" t="n"/>
      <c r="F4350" s="94" t="n"/>
      <c r="G4350" s="94" t="n"/>
      <c r="H4350" s="94" t="n"/>
      <c r="I4350" s="94" t="n"/>
      <c r="J4350" s="55" t="n"/>
      <c r="K4350" s="95" t="n"/>
      <c r="L4350" s="116">
        <f>IF($A4350="","",DATE(YEAR($A4350),MONTH($A4350)+IF(AND(IFERROR(N(INDEX(Übersicht!$M$15:$M$22,MATCH($B4350,Übersicht!$A$15:$A$22,0))),0)&gt;1,DAY($A4350)&gt;=IFERROR(N(INDEX(Übersicht!$M$15:$M$22,MATCH($B4350,Übersicht!$A$15:$A$22,0))),0)),1,0),1))</f>
        <v/>
      </c>
    </row>
    <row r="4351">
      <c r="A4351" s="92" t="n"/>
      <c r="B4351" s="55" t="n"/>
      <c r="C4351" s="55" t="n"/>
      <c r="D4351" s="55" t="n"/>
      <c r="E4351" s="93" t="n"/>
      <c r="F4351" s="94" t="n"/>
      <c r="G4351" s="94" t="n"/>
      <c r="H4351" s="94" t="n"/>
      <c r="I4351" s="94" t="n"/>
      <c r="J4351" s="55" t="n"/>
      <c r="K4351" s="95" t="n"/>
      <c r="L4351" s="116">
        <f>IF($A4351="","",DATE(YEAR($A4351),MONTH($A4351)+IF(AND(IFERROR(N(INDEX(Übersicht!$M$15:$M$22,MATCH($B4351,Übersicht!$A$15:$A$22,0))),0)&gt;1,DAY($A4351)&gt;=IFERROR(N(INDEX(Übersicht!$M$15:$M$22,MATCH($B4351,Übersicht!$A$15:$A$22,0))),0)),1,0),1))</f>
        <v/>
      </c>
    </row>
    <row r="4352">
      <c r="A4352" s="92" t="n"/>
      <c r="B4352" s="55" t="n"/>
      <c r="C4352" s="55" t="n"/>
      <c r="D4352" s="55" t="n"/>
      <c r="E4352" s="93" t="n"/>
      <c r="F4352" s="94" t="n"/>
      <c r="G4352" s="94" t="n"/>
      <c r="H4352" s="94" t="n"/>
      <c r="I4352" s="94" t="n"/>
      <c r="J4352" s="55" t="n"/>
      <c r="K4352" s="95" t="n"/>
      <c r="L4352" s="116">
        <f>IF($A4352="","",DATE(YEAR($A4352),MONTH($A4352)+IF(AND(IFERROR(N(INDEX(Übersicht!$M$15:$M$22,MATCH($B4352,Übersicht!$A$15:$A$22,0))),0)&gt;1,DAY($A4352)&gt;=IFERROR(N(INDEX(Übersicht!$M$15:$M$22,MATCH($B4352,Übersicht!$A$15:$A$22,0))),0)),1,0),1))</f>
        <v/>
      </c>
    </row>
    <row r="4353">
      <c r="A4353" s="92" t="n"/>
      <c r="B4353" s="55" t="n"/>
      <c r="C4353" s="55" t="n"/>
      <c r="D4353" s="55" t="n"/>
      <c r="E4353" s="93" t="n"/>
      <c r="F4353" s="94" t="n"/>
      <c r="G4353" s="94" t="n"/>
      <c r="H4353" s="94" t="n"/>
      <c r="I4353" s="94" t="n"/>
      <c r="J4353" s="55" t="n"/>
      <c r="K4353" s="95" t="n"/>
      <c r="L4353" s="116">
        <f>IF($A4353="","",DATE(YEAR($A4353),MONTH($A4353)+IF(AND(IFERROR(N(INDEX(Übersicht!$M$15:$M$22,MATCH($B4353,Übersicht!$A$15:$A$22,0))),0)&gt;1,DAY($A4353)&gt;=IFERROR(N(INDEX(Übersicht!$M$15:$M$22,MATCH($B4353,Übersicht!$A$15:$A$22,0))),0)),1,0),1))</f>
        <v/>
      </c>
    </row>
    <row r="4354">
      <c r="A4354" s="92" t="n"/>
      <c r="B4354" s="55" t="n"/>
      <c r="C4354" s="55" t="n"/>
      <c r="D4354" s="55" t="n"/>
      <c r="E4354" s="93" t="n"/>
      <c r="F4354" s="94" t="n"/>
      <c r="G4354" s="94" t="n"/>
      <c r="H4354" s="94" t="n"/>
      <c r="I4354" s="94" t="n"/>
      <c r="J4354" s="55" t="n"/>
      <c r="K4354" s="95" t="n"/>
      <c r="L4354" s="116">
        <f>IF($A4354="","",DATE(YEAR($A4354),MONTH($A4354)+IF(AND(IFERROR(N(INDEX(Übersicht!$M$15:$M$22,MATCH($B4354,Übersicht!$A$15:$A$22,0))),0)&gt;1,DAY($A4354)&gt;=IFERROR(N(INDEX(Übersicht!$M$15:$M$22,MATCH($B4354,Übersicht!$A$15:$A$22,0))),0)),1,0),1))</f>
        <v/>
      </c>
    </row>
    <row r="4355">
      <c r="A4355" s="92" t="n"/>
      <c r="B4355" s="55" t="n"/>
      <c r="C4355" s="55" t="n"/>
      <c r="D4355" s="55" t="n"/>
      <c r="E4355" s="93" t="n"/>
      <c r="F4355" s="94" t="n"/>
      <c r="G4355" s="94" t="n"/>
      <c r="H4355" s="94" t="n"/>
      <c r="I4355" s="94" t="n"/>
      <c r="J4355" s="55" t="n"/>
      <c r="K4355" s="95" t="n"/>
      <c r="L4355" s="116">
        <f>IF($A4355="","",DATE(YEAR($A4355),MONTH($A4355)+IF(AND(IFERROR(N(INDEX(Übersicht!$M$15:$M$22,MATCH($B4355,Übersicht!$A$15:$A$22,0))),0)&gt;1,DAY($A4355)&gt;=IFERROR(N(INDEX(Übersicht!$M$15:$M$22,MATCH($B4355,Übersicht!$A$15:$A$22,0))),0)),1,0),1))</f>
        <v/>
      </c>
    </row>
    <row r="4356">
      <c r="A4356" s="92" t="n"/>
      <c r="B4356" s="55" t="n"/>
      <c r="C4356" s="55" t="n"/>
      <c r="D4356" s="55" t="n"/>
      <c r="E4356" s="93" t="n"/>
      <c r="F4356" s="94" t="n"/>
      <c r="G4356" s="94" t="n"/>
      <c r="H4356" s="94" t="n"/>
      <c r="I4356" s="94" t="n"/>
      <c r="J4356" s="55" t="n"/>
      <c r="K4356" s="95" t="n"/>
      <c r="L4356" s="116">
        <f>IF($A4356="","",DATE(YEAR($A4356),MONTH($A4356)+IF(AND(IFERROR(N(INDEX(Übersicht!$M$15:$M$22,MATCH($B4356,Übersicht!$A$15:$A$22,0))),0)&gt;1,DAY($A4356)&gt;=IFERROR(N(INDEX(Übersicht!$M$15:$M$22,MATCH($B4356,Übersicht!$A$15:$A$22,0))),0)),1,0),1))</f>
        <v/>
      </c>
    </row>
    <row r="4357">
      <c r="A4357" s="92" t="n"/>
      <c r="B4357" s="55" t="n"/>
      <c r="C4357" s="55" t="n"/>
      <c r="D4357" s="55" t="n"/>
      <c r="E4357" s="93" t="n"/>
      <c r="F4357" s="94" t="n"/>
      <c r="G4357" s="94" t="n"/>
      <c r="H4357" s="94" t="n"/>
      <c r="I4357" s="94" t="n"/>
      <c r="J4357" s="55" t="n"/>
      <c r="K4357" s="95" t="n"/>
      <c r="L4357" s="116">
        <f>IF($A4357="","",DATE(YEAR($A4357),MONTH($A4357)+IF(AND(IFERROR(N(INDEX(Übersicht!$M$15:$M$22,MATCH($B4357,Übersicht!$A$15:$A$22,0))),0)&gt;1,DAY($A4357)&gt;=IFERROR(N(INDEX(Übersicht!$M$15:$M$22,MATCH($B4357,Übersicht!$A$15:$A$22,0))),0)),1,0),1))</f>
        <v/>
      </c>
    </row>
    <row r="4358">
      <c r="A4358" s="92" t="n"/>
      <c r="B4358" s="55" t="n"/>
      <c r="C4358" s="55" t="n"/>
      <c r="D4358" s="55" t="n"/>
      <c r="E4358" s="93" t="n"/>
      <c r="F4358" s="94" t="n"/>
      <c r="G4358" s="94" t="n"/>
      <c r="H4358" s="94" t="n"/>
      <c r="I4358" s="94" t="n"/>
      <c r="J4358" s="55" t="n"/>
      <c r="K4358" s="95" t="n"/>
      <c r="L4358" s="116">
        <f>IF($A4358="","",DATE(YEAR($A4358),MONTH($A4358)+IF(AND(IFERROR(N(INDEX(Übersicht!$M$15:$M$22,MATCH($B4358,Übersicht!$A$15:$A$22,0))),0)&gt;1,DAY($A4358)&gt;=IFERROR(N(INDEX(Übersicht!$M$15:$M$22,MATCH($B4358,Übersicht!$A$15:$A$22,0))),0)),1,0),1))</f>
        <v/>
      </c>
    </row>
    <row r="4359">
      <c r="A4359" s="92" t="n"/>
      <c r="B4359" s="55" t="n"/>
      <c r="C4359" s="55" t="n"/>
      <c r="D4359" s="55" t="n"/>
      <c r="E4359" s="93" t="n"/>
      <c r="F4359" s="94" t="n"/>
      <c r="G4359" s="94" t="n"/>
      <c r="H4359" s="94" t="n"/>
      <c r="I4359" s="94" t="n"/>
      <c r="J4359" s="55" t="n"/>
      <c r="K4359" s="95" t="n"/>
      <c r="L4359" s="116">
        <f>IF($A4359="","",DATE(YEAR($A4359),MONTH($A4359)+IF(AND(IFERROR(N(INDEX(Übersicht!$M$15:$M$22,MATCH($B4359,Übersicht!$A$15:$A$22,0))),0)&gt;1,DAY($A4359)&gt;=IFERROR(N(INDEX(Übersicht!$M$15:$M$22,MATCH($B4359,Übersicht!$A$15:$A$22,0))),0)),1,0),1))</f>
        <v/>
      </c>
    </row>
    <row r="4360">
      <c r="A4360" s="92" t="n"/>
      <c r="B4360" s="55" t="n"/>
      <c r="C4360" s="55" t="n"/>
      <c r="D4360" s="55" t="n"/>
      <c r="E4360" s="93" t="n"/>
      <c r="F4360" s="94" t="n"/>
      <c r="G4360" s="94" t="n"/>
      <c r="H4360" s="94" t="n"/>
      <c r="I4360" s="94" t="n"/>
      <c r="J4360" s="55" t="n"/>
      <c r="K4360" s="95" t="n"/>
      <c r="L4360" s="116">
        <f>IF($A4360="","",DATE(YEAR($A4360),MONTH($A4360)+IF(AND(IFERROR(N(INDEX(Übersicht!$M$15:$M$22,MATCH($B4360,Übersicht!$A$15:$A$22,0))),0)&gt;1,DAY($A4360)&gt;=IFERROR(N(INDEX(Übersicht!$M$15:$M$22,MATCH($B4360,Übersicht!$A$15:$A$22,0))),0)),1,0),1))</f>
        <v/>
      </c>
    </row>
    <row r="4361">
      <c r="A4361" s="92" t="n"/>
      <c r="B4361" s="55" t="n"/>
      <c r="C4361" s="55" t="n"/>
      <c r="D4361" s="55" t="n"/>
      <c r="E4361" s="93" t="n"/>
      <c r="F4361" s="94" t="n"/>
      <c r="G4361" s="94" t="n"/>
      <c r="H4361" s="94" t="n"/>
      <c r="I4361" s="94" t="n"/>
      <c r="J4361" s="55" t="n"/>
      <c r="K4361" s="95" t="n"/>
      <c r="L4361" s="116">
        <f>IF($A4361="","",DATE(YEAR($A4361),MONTH($A4361)+IF(AND(IFERROR(N(INDEX(Übersicht!$M$15:$M$22,MATCH($B4361,Übersicht!$A$15:$A$22,0))),0)&gt;1,DAY($A4361)&gt;=IFERROR(N(INDEX(Übersicht!$M$15:$M$22,MATCH($B4361,Übersicht!$A$15:$A$22,0))),0)),1,0),1))</f>
        <v/>
      </c>
    </row>
    <row r="4362">
      <c r="A4362" s="92" t="n"/>
      <c r="B4362" s="55" t="n"/>
      <c r="C4362" s="55" t="n"/>
      <c r="D4362" s="55" t="n"/>
      <c r="E4362" s="93" t="n"/>
      <c r="F4362" s="94" t="n"/>
      <c r="G4362" s="94" t="n"/>
      <c r="H4362" s="94" t="n"/>
      <c r="I4362" s="94" t="n"/>
      <c r="J4362" s="55" t="n"/>
      <c r="K4362" s="95" t="n"/>
      <c r="L4362" s="116">
        <f>IF($A4362="","",DATE(YEAR($A4362),MONTH($A4362)+IF(AND(IFERROR(N(INDEX(Übersicht!$M$15:$M$22,MATCH($B4362,Übersicht!$A$15:$A$22,0))),0)&gt;1,DAY($A4362)&gt;=IFERROR(N(INDEX(Übersicht!$M$15:$M$22,MATCH($B4362,Übersicht!$A$15:$A$22,0))),0)),1,0),1))</f>
        <v/>
      </c>
    </row>
    <row r="4363">
      <c r="A4363" s="92" t="n"/>
      <c r="B4363" s="55" t="n"/>
      <c r="C4363" s="55" t="n"/>
      <c r="D4363" s="55" t="n"/>
      <c r="E4363" s="93" t="n"/>
      <c r="F4363" s="94" t="n"/>
      <c r="G4363" s="94" t="n"/>
      <c r="H4363" s="94" t="n"/>
      <c r="I4363" s="94" t="n"/>
      <c r="J4363" s="55" t="n"/>
      <c r="K4363" s="95" t="n"/>
      <c r="L4363" s="116">
        <f>IF($A4363="","",DATE(YEAR($A4363),MONTH($A4363)+IF(AND(IFERROR(N(INDEX(Übersicht!$M$15:$M$22,MATCH($B4363,Übersicht!$A$15:$A$22,0))),0)&gt;1,DAY($A4363)&gt;=IFERROR(N(INDEX(Übersicht!$M$15:$M$22,MATCH($B4363,Übersicht!$A$15:$A$22,0))),0)),1,0),1))</f>
        <v/>
      </c>
    </row>
    <row r="4364">
      <c r="A4364" s="92" t="n"/>
      <c r="B4364" s="55" t="n"/>
      <c r="C4364" s="55" t="n"/>
      <c r="D4364" s="55" t="n"/>
      <c r="E4364" s="93" t="n"/>
      <c r="F4364" s="94" t="n"/>
      <c r="G4364" s="94" t="n"/>
      <c r="H4364" s="94" t="n"/>
      <c r="I4364" s="94" t="n"/>
      <c r="J4364" s="55" t="n"/>
      <c r="K4364" s="95" t="n"/>
      <c r="L4364" s="116">
        <f>IF($A4364="","",DATE(YEAR($A4364),MONTH($A4364)+IF(AND(IFERROR(N(INDEX(Übersicht!$M$15:$M$22,MATCH($B4364,Übersicht!$A$15:$A$22,0))),0)&gt;1,DAY($A4364)&gt;=IFERROR(N(INDEX(Übersicht!$M$15:$M$22,MATCH($B4364,Übersicht!$A$15:$A$22,0))),0)),1,0),1))</f>
        <v/>
      </c>
    </row>
    <row r="4365">
      <c r="A4365" s="92" t="n"/>
      <c r="B4365" s="55" t="n"/>
      <c r="C4365" s="55" t="n"/>
      <c r="D4365" s="55" t="n"/>
      <c r="E4365" s="93" t="n"/>
      <c r="F4365" s="94" t="n"/>
      <c r="G4365" s="94" t="n"/>
      <c r="H4365" s="94" t="n"/>
      <c r="I4365" s="94" t="n"/>
      <c r="J4365" s="55" t="n"/>
      <c r="K4365" s="95" t="n"/>
      <c r="L4365" s="116">
        <f>IF($A4365="","",DATE(YEAR($A4365),MONTH($A4365)+IF(AND(IFERROR(N(INDEX(Übersicht!$M$15:$M$22,MATCH($B4365,Übersicht!$A$15:$A$22,0))),0)&gt;1,DAY($A4365)&gt;=IFERROR(N(INDEX(Übersicht!$M$15:$M$22,MATCH($B4365,Übersicht!$A$15:$A$22,0))),0)),1,0),1))</f>
        <v/>
      </c>
    </row>
    <row r="4366">
      <c r="A4366" s="92" t="n"/>
      <c r="B4366" s="55" t="n"/>
      <c r="C4366" s="55" t="n"/>
      <c r="D4366" s="55" t="n"/>
      <c r="E4366" s="93" t="n"/>
      <c r="F4366" s="94" t="n"/>
      <c r="G4366" s="94" t="n"/>
      <c r="H4366" s="94" t="n"/>
      <c r="I4366" s="94" t="n"/>
      <c r="J4366" s="55" t="n"/>
      <c r="K4366" s="95" t="n"/>
      <c r="L4366" s="116">
        <f>IF($A4366="","",DATE(YEAR($A4366),MONTH($A4366)+IF(AND(IFERROR(N(INDEX(Übersicht!$M$15:$M$22,MATCH($B4366,Übersicht!$A$15:$A$22,0))),0)&gt;1,DAY($A4366)&gt;=IFERROR(N(INDEX(Übersicht!$M$15:$M$22,MATCH($B4366,Übersicht!$A$15:$A$22,0))),0)),1,0),1))</f>
        <v/>
      </c>
    </row>
    <row r="4367">
      <c r="A4367" s="92" t="n"/>
      <c r="B4367" s="55" t="n"/>
      <c r="C4367" s="55" t="n"/>
      <c r="D4367" s="55" t="n"/>
      <c r="E4367" s="93" t="n"/>
      <c r="F4367" s="94" t="n"/>
      <c r="G4367" s="94" t="n"/>
      <c r="H4367" s="94" t="n"/>
      <c r="I4367" s="94" t="n"/>
      <c r="J4367" s="55" t="n"/>
      <c r="K4367" s="95" t="n"/>
      <c r="L4367" s="116">
        <f>IF($A4367="","",DATE(YEAR($A4367),MONTH($A4367)+IF(AND(IFERROR(N(INDEX(Übersicht!$M$15:$M$22,MATCH($B4367,Übersicht!$A$15:$A$22,0))),0)&gt;1,DAY($A4367)&gt;=IFERROR(N(INDEX(Übersicht!$M$15:$M$22,MATCH($B4367,Übersicht!$A$15:$A$22,0))),0)),1,0),1))</f>
        <v/>
      </c>
    </row>
    <row r="4368">
      <c r="A4368" s="92" t="n"/>
      <c r="B4368" s="55" t="n"/>
      <c r="C4368" s="55" t="n"/>
      <c r="D4368" s="55" t="n"/>
      <c r="E4368" s="93" t="n"/>
      <c r="F4368" s="94" t="n"/>
      <c r="G4368" s="94" t="n"/>
      <c r="H4368" s="94" t="n"/>
      <c r="I4368" s="94" t="n"/>
      <c r="J4368" s="55" t="n"/>
      <c r="K4368" s="95" t="n"/>
      <c r="L4368" s="116">
        <f>IF($A4368="","",DATE(YEAR($A4368),MONTH($A4368)+IF(AND(IFERROR(N(INDEX(Übersicht!$M$15:$M$22,MATCH($B4368,Übersicht!$A$15:$A$22,0))),0)&gt;1,DAY($A4368)&gt;=IFERROR(N(INDEX(Übersicht!$M$15:$M$22,MATCH($B4368,Übersicht!$A$15:$A$22,0))),0)),1,0),1))</f>
        <v/>
      </c>
    </row>
    <row r="4369">
      <c r="A4369" s="92" t="n"/>
      <c r="B4369" s="55" t="n"/>
      <c r="C4369" s="55" t="n"/>
      <c r="D4369" s="55" t="n"/>
      <c r="E4369" s="93" t="n"/>
      <c r="F4369" s="94" t="n"/>
      <c r="G4369" s="94" t="n"/>
      <c r="H4369" s="94" t="n"/>
      <c r="I4369" s="94" t="n"/>
      <c r="J4369" s="55" t="n"/>
      <c r="K4369" s="95" t="n"/>
      <c r="L4369" s="116">
        <f>IF($A4369="","",DATE(YEAR($A4369),MONTH($A4369)+IF(AND(IFERROR(N(INDEX(Übersicht!$M$15:$M$22,MATCH($B4369,Übersicht!$A$15:$A$22,0))),0)&gt;1,DAY($A4369)&gt;=IFERROR(N(INDEX(Übersicht!$M$15:$M$22,MATCH($B4369,Übersicht!$A$15:$A$22,0))),0)),1,0),1))</f>
        <v/>
      </c>
    </row>
    <row r="4370">
      <c r="A4370" s="92" t="n"/>
      <c r="B4370" s="55" t="n"/>
      <c r="C4370" s="55" t="n"/>
      <c r="D4370" s="55" t="n"/>
      <c r="E4370" s="93" t="n"/>
      <c r="F4370" s="94" t="n"/>
      <c r="G4370" s="94" t="n"/>
      <c r="H4370" s="94" t="n"/>
      <c r="I4370" s="94" t="n"/>
      <c r="J4370" s="55" t="n"/>
      <c r="K4370" s="95" t="n"/>
      <c r="L4370" s="116">
        <f>IF($A4370="","",DATE(YEAR($A4370),MONTH($A4370)+IF(AND(IFERROR(N(INDEX(Übersicht!$M$15:$M$22,MATCH($B4370,Übersicht!$A$15:$A$22,0))),0)&gt;1,DAY($A4370)&gt;=IFERROR(N(INDEX(Übersicht!$M$15:$M$22,MATCH($B4370,Übersicht!$A$15:$A$22,0))),0)),1,0),1))</f>
        <v/>
      </c>
    </row>
    <row r="4371">
      <c r="A4371" s="92" t="n"/>
      <c r="B4371" s="55" t="n"/>
      <c r="C4371" s="55" t="n"/>
      <c r="D4371" s="55" t="n"/>
      <c r="E4371" s="93" t="n"/>
      <c r="F4371" s="94" t="n"/>
      <c r="G4371" s="94" t="n"/>
      <c r="H4371" s="94" t="n"/>
      <c r="I4371" s="94" t="n"/>
      <c r="J4371" s="55" t="n"/>
      <c r="K4371" s="95" t="n"/>
      <c r="L4371" s="116">
        <f>IF($A4371="","",DATE(YEAR($A4371),MONTH($A4371)+IF(AND(IFERROR(N(INDEX(Übersicht!$M$15:$M$22,MATCH($B4371,Übersicht!$A$15:$A$22,0))),0)&gt;1,DAY($A4371)&gt;=IFERROR(N(INDEX(Übersicht!$M$15:$M$22,MATCH($B4371,Übersicht!$A$15:$A$22,0))),0)),1,0),1))</f>
        <v/>
      </c>
    </row>
    <row r="4372">
      <c r="A4372" s="92" t="n"/>
      <c r="B4372" s="55" t="n"/>
      <c r="C4372" s="55" t="n"/>
      <c r="D4372" s="55" t="n"/>
      <c r="E4372" s="93" t="n"/>
      <c r="F4372" s="94" t="n"/>
      <c r="G4372" s="94" t="n"/>
      <c r="H4372" s="94" t="n"/>
      <c r="I4372" s="94" t="n"/>
      <c r="J4372" s="55" t="n"/>
      <c r="K4372" s="95" t="n"/>
      <c r="L4372" s="116">
        <f>IF($A4372="","",DATE(YEAR($A4372),MONTH($A4372)+IF(AND(IFERROR(N(INDEX(Übersicht!$M$15:$M$22,MATCH($B4372,Übersicht!$A$15:$A$22,0))),0)&gt;1,DAY($A4372)&gt;=IFERROR(N(INDEX(Übersicht!$M$15:$M$22,MATCH($B4372,Übersicht!$A$15:$A$22,0))),0)),1,0),1))</f>
        <v/>
      </c>
    </row>
    <row r="4373">
      <c r="A4373" s="92" t="n"/>
      <c r="B4373" s="55" t="n"/>
      <c r="C4373" s="55" t="n"/>
      <c r="D4373" s="55" t="n"/>
      <c r="E4373" s="93" t="n"/>
      <c r="F4373" s="94" t="n"/>
      <c r="G4373" s="94" t="n"/>
      <c r="H4373" s="94" t="n"/>
      <c r="I4373" s="94" t="n"/>
      <c r="J4373" s="55" t="n"/>
      <c r="K4373" s="95" t="n"/>
      <c r="L4373" s="116">
        <f>IF($A4373="","",DATE(YEAR($A4373),MONTH($A4373)+IF(AND(IFERROR(N(INDEX(Übersicht!$M$15:$M$22,MATCH($B4373,Übersicht!$A$15:$A$22,0))),0)&gt;1,DAY($A4373)&gt;=IFERROR(N(INDEX(Übersicht!$M$15:$M$22,MATCH($B4373,Übersicht!$A$15:$A$22,0))),0)),1,0),1))</f>
        <v/>
      </c>
    </row>
    <row r="4374">
      <c r="A4374" s="92" t="n"/>
      <c r="B4374" s="55" t="n"/>
      <c r="C4374" s="55" t="n"/>
      <c r="D4374" s="55" t="n"/>
      <c r="E4374" s="93" t="n"/>
      <c r="F4374" s="94" t="n"/>
      <c r="G4374" s="94" t="n"/>
      <c r="H4374" s="94" t="n"/>
      <c r="I4374" s="94" t="n"/>
      <c r="J4374" s="55" t="n"/>
      <c r="K4374" s="95" t="n"/>
      <c r="L4374" s="116">
        <f>IF($A4374="","",DATE(YEAR($A4374),MONTH($A4374)+IF(AND(IFERROR(N(INDEX(Übersicht!$M$15:$M$22,MATCH($B4374,Übersicht!$A$15:$A$22,0))),0)&gt;1,DAY($A4374)&gt;=IFERROR(N(INDEX(Übersicht!$M$15:$M$22,MATCH($B4374,Übersicht!$A$15:$A$22,0))),0)),1,0),1))</f>
        <v/>
      </c>
    </row>
    <row r="4375">
      <c r="A4375" s="92" t="n"/>
      <c r="B4375" s="55" t="n"/>
      <c r="C4375" s="55" t="n"/>
      <c r="D4375" s="55" t="n"/>
      <c r="E4375" s="93" t="n"/>
      <c r="F4375" s="94" t="n"/>
      <c r="G4375" s="94" t="n"/>
      <c r="H4375" s="94" t="n"/>
      <c r="I4375" s="94" t="n"/>
      <c r="J4375" s="55" t="n"/>
      <c r="K4375" s="95" t="n"/>
      <c r="L4375" s="116">
        <f>IF($A4375="","",DATE(YEAR($A4375),MONTH($A4375)+IF(AND(IFERROR(N(INDEX(Übersicht!$M$15:$M$22,MATCH($B4375,Übersicht!$A$15:$A$22,0))),0)&gt;1,DAY($A4375)&gt;=IFERROR(N(INDEX(Übersicht!$M$15:$M$22,MATCH($B4375,Übersicht!$A$15:$A$22,0))),0)),1,0),1))</f>
        <v/>
      </c>
    </row>
    <row r="4376">
      <c r="A4376" s="92" t="n"/>
      <c r="B4376" s="55" t="n"/>
      <c r="C4376" s="55" t="n"/>
      <c r="D4376" s="55" t="n"/>
      <c r="E4376" s="93" t="n"/>
      <c r="F4376" s="94" t="n"/>
      <c r="G4376" s="94" t="n"/>
      <c r="H4376" s="94" t="n"/>
      <c r="I4376" s="94" t="n"/>
      <c r="J4376" s="55" t="n"/>
      <c r="K4376" s="95" t="n"/>
      <c r="L4376" s="116">
        <f>IF($A4376="","",DATE(YEAR($A4376),MONTH($A4376)+IF(AND(IFERROR(N(INDEX(Übersicht!$M$15:$M$22,MATCH($B4376,Übersicht!$A$15:$A$22,0))),0)&gt;1,DAY($A4376)&gt;=IFERROR(N(INDEX(Übersicht!$M$15:$M$22,MATCH($B4376,Übersicht!$A$15:$A$22,0))),0)),1,0),1))</f>
        <v/>
      </c>
    </row>
    <row r="4377">
      <c r="A4377" s="92" t="n"/>
      <c r="B4377" s="55" t="n"/>
      <c r="C4377" s="55" t="n"/>
      <c r="D4377" s="55" t="n"/>
      <c r="E4377" s="93" t="n"/>
      <c r="F4377" s="94" t="n"/>
      <c r="G4377" s="94" t="n"/>
      <c r="H4377" s="94" t="n"/>
      <c r="I4377" s="94" t="n"/>
      <c r="J4377" s="55" t="n"/>
      <c r="K4377" s="95" t="n"/>
      <c r="L4377" s="116">
        <f>IF($A4377="","",DATE(YEAR($A4377),MONTH($A4377)+IF(AND(IFERROR(N(INDEX(Übersicht!$M$15:$M$22,MATCH($B4377,Übersicht!$A$15:$A$22,0))),0)&gt;1,DAY($A4377)&gt;=IFERROR(N(INDEX(Übersicht!$M$15:$M$22,MATCH($B4377,Übersicht!$A$15:$A$22,0))),0)),1,0),1))</f>
        <v/>
      </c>
    </row>
    <row r="4378">
      <c r="A4378" s="92" t="n"/>
      <c r="B4378" s="55" t="n"/>
      <c r="C4378" s="55" t="n"/>
      <c r="D4378" s="55" t="n"/>
      <c r="E4378" s="93" t="n"/>
      <c r="F4378" s="94" t="n"/>
      <c r="G4378" s="94" t="n"/>
      <c r="H4378" s="94" t="n"/>
      <c r="I4378" s="94" t="n"/>
      <c r="J4378" s="55" t="n"/>
      <c r="K4378" s="95" t="n"/>
      <c r="L4378" s="116">
        <f>IF($A4378="","",DATE(YEAR($A4378),MONTH($A4378)+IF(AND(IFERROR(N(INDEX(Übersicht!$M$15:$M$22,MATCH($B4378,Übersicht!$A$15:$A$22,0))),0)&gt;1,DAY($A4378)&gt;=IFERROR(N(INDEX(Übersicht!$M$15:$M$22,MATCH($B4378,Übersicht!$A$15:$A$22,0))),0)),1,0),1))</f>
        <v/>
      </c>
    </row>
    <row r="4379">
      <c r="A4379" s="92" t="n"/>
      <c r="B4379" s="55" t="n"/>
      <c r="C4379" s="55" t="n"/>
      <c r="D4379" s="55" t="n"/>
      <c r="E4379" s="93" t="n"/>
      <c r="F4379" s="94" t="n"/>
      <c r="G4379" s="94" t="n"/>
      <c r="H4379" s="94" t="n"/>
      <c r="I4379" s="94" t="n"/>
      <c r="J4379" s="55" t="n"/>
      <c r="K4379" s="95" t="n"/>
      <c r="L4379" s="116">
        <f>IF($A4379="","",DATE(YEAR($A4379),MONTH($A4379)+IF(AND(IFERROR(N(INDEX(Übersicht!$M$15:$M$22,MATCH($B4379,Übersicht!$A$15:$A$22,0))),0)&gt;1,DAY($A4379)&gt;=IFERROR(N(INDEX(Übersicht!$M$15:$M$22,MATCH($B4379,Übersicht!$A$15:$A$22,0))),0)),1,0),1))</f>
        <v/>
      </c>
    </row>
    <row r="4380">
      <c r="A4380" s="92" t="n"/>
      <c r="B4380" s="55" t="n"/>
      <c r="C4380" s="55" t="n"/>
      <c r="D4380" s="55" t="n"/>
      <c r="E4380" s="93" t="n"/>
      <c r="F4380" s="94" t="n"/>
      <c r="G4380" s="94" t="n"/>
      <c r="H4380" s="94" t="n"/>
      <c r="I4380" s="94" t="n"/>
      <c r="J4380" s="55" t="n"/>
      <c r="K4380" s="95" t="n"/>
      <c r="L4380" s="116">
        <f>IF($A4380="","",DATE(YEAR($A4380),MONTH($A4380)+IF(AND(IFERROR(N(INDEX(Übersicht!$M$15:$M$22,MATCH($B4380,Übersicht!$A$15:$A$22,0))),0)&gt;1,DAY($A4380)&gt;=IFERROR(N(INDEX(Übersicht!$M$15:$M$22,MATCH($B4380,Übersicht!$A$15:$A$22,0))),0)),1,0),1))</f>
        <v/>
      </c>
    </row>
    <row r="4381">
      <c r="A4381" s="92" t="n"/>
      <c r="B4381" s="55" t="n"/>
      <c r="C4381" s="55" t="n"/>
      <c r="D4381" s="55" t="n"/>
      <c r="E4381" s="93" t="n"/>
      <c r="F4381" s="94" t="n"/>
      <c r="G4381" s="94" t="n"/>
      <c r="H4381" s="94" t="n"/>
      <c r="I4381" s="94" t="n"/>
      <c r="J4381" s="55" t="n"/>
      <c r="K4381" s="95" t="n"/>
      <c r="L4381" s="116">
        <f>IF($A4381="","",DATE(YEAR($A4381),MONTH($A4381)+IF(AND(IFERROR(N(INDEX(Übersicht!$M$15:$M$22,MATCH($B4381,Übersicht!$A$15:$A$22,0))),0)&gt;1,DAY($A4381)&gt;=IFERROR(N(INDEX(Übersicht!$M$15:$M$22,MATCH($B4381,Übersicht!$A$15:$A$22,0))),0)),1,0),1))</f>
        <v/>
      </c>
    </row>
    <row r="4382">
      <c r="A4382" s="92" t="n"/>
      <c r="B4382" s="55" t="n"/>
      <c r="C4382" s="55" t="n"/>
      <c r="D4382" s="55" t="n"/>
      <c r="E4382" s="93" t="n"/>
      <c r="F4382" s="94" t="n"/>
      <c r="G4382" s="94" t="n"/>
      <c r="H4382" s="94" t="n"/>
      <c r="I4382" s="94" t="n"/>
      <c r="J4382" s="55" t="n"/>
      <c r="K4382" s="95" t="n"/>
      <c r="L4382" s="116">
        <f>IF($A4382="","",DATE(YEAR($A4382),MONTH($A4382)+IF(AND(IFERROR(N(INDEX(Übersicht!$M$15:$M$22,MATCH($B4382,Übersicht!$A$15:$A$22,0))),0)&gt;1,DAY($A4382)&gt;=IFERROR(N(INDEX(Übersicht!$M$15:$M$22,MATCH($B4382,Übersicht!$A$15:$A$22,0))),0)),1,0),1))</f>
        <v/>
      </c>
    </row>
    <row r="4383">
      <c r="A4383" s="92" t="n"/>
      <c r="B4383" s="55" t="n"/>
      <c r="C4383" s="55" t="n"/>
      <c r="D4383" s="55" t="n"/>
      <c r="E4383" s="93" t="n"/>
      <c r="F4383" s="94" t="n"/>
      <c r="G4383" s="94" t="n"/>
      <c r="H4383" s="94" t="n"/>
      <c r="I4383" s="94" t="n"/>
      <c r="J4383" s="55" t="n"/>
      <c r="K4383" s="95" t="n"/>
      <c r="L4383" s="116">
        <f>IF($A4383="","",DATE(YEAR($A4383),MONTH($A4383)+IF(AND(IFERROR(N(INDEX(Übersicht!$M$15:$M$22,MATCH($B4383,Übersicht!$A$15:$A$22,0))),0)&gt;1,DAY($A4383)&gt;=IFERROR(N(INDEX(Übersicht!$M$15:$M$22,MATCH($B4383,Übersicht!$A$15:$A$22,0))),0)),1,0),1))</f>
        <v/>
      </c>
    </row>
    <row r="4384">
      <c r="A4384" s="92" t="n"/>
      <c r="B4384" s="55" t="n"/>
      <c r="C4384" s="55" t="n"/>
      <c r="D4384" s="55" t="n"/>
      <c r="E4384" s="93" t="n"/>
      <c r="F4384" s="94" t="n"/>
      <c r="G4384" s="94" t="n"/>
      <c r="H4384" s="94" t="n"/>
      <c r="I4384" s="94" t="n"/>
      <c r="J4384" s="55" t="n"/>
      <c r="K4384" s="95" t="n"/>
      <c r="L4384" s="116">
        <f>IF($A4384="","",DATE(YEAR($A4384),MONTH($A4384)+IF(AND(IFERROR(N(INDEX(Übersicht!$M$15:$M$22,MATCH($B4384,Übersicht!$A$15:$A$22,0))),0)&gt;1,DAY($A4384)&gt;=IFERROR(N(INDEX(Übersicht!$M$15:$M$22,MATCH($B4384,Übersicht!$A$15:$A$22,0))),0)),1,0),1))</f>
        <v/>
      </c>
    </row>
    <row r="4385">
      <c r="A4385" s="92" t="n"/>
      <c r="B4385" s="55" t="n"/>
      <c r="C4385" s="55" t="n"/>
      <c r="D4385" s="55" t="n"/>
      <c r="E4385" s="93" t="n"/>
      <c r="F4385" s="94" t="n"/>
      <c r="G4385" s="94" t="n"/>
      <c r="H4385" s="94" t="n"/>
      <c r="I4385" s="94" t="n"/>
      <c r="J4385" s="55" t="n"/>
      <c r="K4385" s="95" t="n"/>
      <c r="L4385" s="116">
        <f>IF($A4385="","",DATE(YEAR($A4385),MONTH($A4385)+IF(AND(IFERROR(N(INDEX(Übersicht!$M$15:$M$22,MATCH($B4385,Übersicht!$A$15:$A$22,0))),0)&gt;1,DAY($A4385)&gt;=IFERROR(N(INDEX(Übersicht!$M$15:$M$22,MATCH($B4385,Übersicht!$A$15:$A$22,0))),0)),1,0),1))</f>
        <v/>
      </c>
    </row>
    <row r="4386">
      <c r="A4386" s="92" t="n"/>
      <c r="B4386" s="55" t="n"/>
      <c r="C4386" s="55" t="n"/>
      <c r="D4386" s="55" t="n"/>
      <c r="E4386" s="93" t="n"/>
      <c r="F4386" s="94" t="n"/>
      <c r="G4386" s="94" t="n"/>
      <c r="H4386" s="94" t="n"/>
      <c r="I4386" s="94" t="n"/>
      <c r="J4386" s="55" t="n"/>
      <c r="K4386" s="95" t="n"/>
      <c r="L4386" s="116">
        <f>IF($A4386="","",DATE(YEAR($A4386),MONTH($A4386)+IF(AND(IFERROR(N(INDEX(Übersicht!$M$15:$M$22,MATCH($B4386,Übersicht!$A$15:$A$22,0))),0)&gt;1,DAY($A4386)&gt;=IFERROR(N(INDEX(Übersicht!$M$15:$M$22,MATCH($B4386,Übersicht!$A$15:$A$22,0))),0)),1,0),1))</f>
        <v/>
      </c>
    </row>
    <row r="4387">
      <c r="A4387" s="92" t="n"/>
      <c r="B4387" s="55" t="n"/>
      <c r="C4387" s="55" t="n"/>
      <c r="D4387" s="55" t="n"/>
      <c r="E4387" s="93" t="n"/>
      <c r="F4387" s="94" t="n"/>
      <c r="G4387" s="94" t="n"/>
      <c r="H4387" s="94" t="n"/>
      <c r="I4387" s="94" t="n"/>
      <c r="J4387" s="55" t="n"/>
      <c r="K4387" s="95" t="n"/>
      <c r="L4387" s="116">
        <f>IF($A4387="","",DATE(YEAR($A4387),MONTH($A4387)+IF(AND(IFERROR(N(INDEX(Übersicht!$M$15:$M$22,MATCH($B4387,Übersicht!$A$15:$A$22,0))),0)&gt;1,DAY($A4387)&gt;=IFERROR(N(INDEX(Übersicht!$M$15:$M$22,MATCH($B4387,Übersicht!$A$15:$A$22,0))),0)),1,0),1))</f>
        <v/>
      </c>
    </row>
    <row r="4388">
      <c r="A4388" s="92" t="n"/>
      <c r="B4388" s="55" t="n"/>
      <c r="C4388" s="55" t="n"/>
      <c r="D4388" s="55" t="n"/>
      <c r="E4388" s="93" t="n"/>
      <c r="F4388" s="94" t="n"/>
      <c r="G4388" s="94" t="n"/>
      <c r="H4388" s="94" t="n"/>
      <c r="I4388" s="94" t="n"/>
      <c r="J4388" s="55" t="n"/>
      <c r="K4388" s="95" t="n"/>
      <c r="L4388" s="116">
        <f>IF($A4388="","",DATE(YEAR($A4388),MONTH($A4388)+IF(AND(IFERROR(N(INDEX(Übersicht!$M$15:$M$22,MATCH($B4388,Übersicht!$A$15:$A$22,0))),0)&gt;1,DAY($A4388)&gt;=IFERROR(N(INDEX(Übersicht!$M$15:$M$22,MATCH($B4388,Übersicht!$A$15:$A$22,0))),0)),1,0),1))</f>
        <v/>
      </c>
    </row>
    <row r="4389">
      <c r="A4389" s="92" t="n"/>
      <c r="B4389" s="55" t="n"/>
      <c r="C4389" s="55" t="n"/>
      <c r="D4389" s="55" t="n"/>
      <c r="E4389" s="93" t="n"/>
      <c r="F4389" s="94" t="n"/>
      <c r="G4389" s="94" t="n"/>
      <c r="H4389" s="94" t="n"/>
      <c r="I4389" s="94" t="n"/>
      <c r="J4389" s="55" t="n"/>
      <c r="K4389" s="95" t="n"/>
      <c r="L4389" s="116">
        <f>IF($A4389="","",DATE(YEAR($A4389),MONTH($A4389)+IF(AND(IFERROR(N(INDEX(Übersicht!$M$15:$M$22,MATCH($B4389,Übersicht!$A$15:$A$22,0))),0)&gt;1,DAY($A4389)&gt;=IFERROR(N(INDEX(Übersicht!$M$15:$M$22,MATCH($B4389,Übersicht!$A$15:$A$22,0))),0)),1,0),1))</f>
        <v/>
      </c>
    </row>
    <row r="4390">
      <c r="A4390" s="92" t="n"/>
      <c r="B4390" s="55" t="n"/>
      <c r="C4390" s="55" t="n"/>
      <c r="D4390" s="55" t="n"/>
      <c r="E4390" s="93" t="n"/>
      <c r="F4390" s="94" t="n"/>
      <c r="G4390" s="94" t="n"/>
      <c r="H4390" s="94" t="n"/>
      <c r="I4390" s="94" t="n"/>
      <c r="J4390" s="55" t="n"/>
      <c r="K4390" s="95" t="n"/>
      <c r="L4390" s="116">
        <f>IF($A4390="","",DATE(YEAR($A4390),MONTH($A4390)+IF(AND(IFERROR(N(INDEX(Übersicht!$M$15:$M$22,MATCH($B4390,Übersicht!$A$15:$A$22,0))),0)&gt;1,DAY($A4390)&gt;=IFERROR(N(INDEX(Übersicht!$M$15:$M$22,MATCH($B4390,Übersicht!$A$15:$A$22,0))),0)),1,0),1))</f>
        <v/>
      </c>
    </row>
    <row r="4391">
      <c r="A4391" s="92" t="n"/>
      <c r="B4391" s="55" t="n"/>
      <c r="C4391" s="55" t="n"/>
      <c r="D4391" s="55" t="n"/>
      <c r="E4391" s="93" t="n"/>
      <c r="F4391" s="94" t="n"/>
      <c r="G4391" s="94" t="n"/>
      <c r="H4391" s="94" t="n"/>
      <c r="I4391" s="94" t="n"/>
      <c r="J4391" s="55" t="n"/>
      <c r="K4391" s="95" t="n"/>
      <c r="L4391" s="116">
        <f>IF($A4391="","",DATE(YEAR($A4391),MONTH($A4391)+IF(AND(IFERROR(N(INDEX(Übersicht!$M$15:$M$22,MATCH($B4391,Übersicht!$A$15:$A$22,0))),0)&gt;1,DAY($A4391)&gt;=IFERROR(N(INDEX(Übersicht!$M$15:$M$22,MATCH($B4391,Übersicht!$A$15:$A$22,0))),0)),1,0),1))</f>
        <v/>
      </c>
    </row>
    <row r="4392">
      <c r="A4392" s="92" t="n"/>
      <c r="B4392" s="55" t="n"/>
      <c r="C4392" s="55" t="n"/>
      <c r="D4392" s="55" t="n"/>
      <c r="E4392" s="93" t="n"/>
      <c r="F4392" s="94" t="n"/>
      <c r="G4392" s="94" t="n"/>
      <c r="H4392" s="94" t="n"/>
      <c r="I4392" s="94" t="n"/>
      <c r="J4392" s="55" t="n"/>
      <c r="K4392" s="95" t="n"/>
      <c r="L4392" s="116">
        <f>IF($A4392="","",DATE(YEAR($A4392),MONTH($A4392)+IF(AND(IFERROR(N(INDEX(Übersicht!$M$15:$M$22,MATCH($B4392,Übersicht!$A$15:$A$22,0))),0)&gt;1,DAY($A4392)&gt;=IFERROR(N(INDEX(Übersicht!$M$15:$M$22,MATCH($B4392,Übersicht!$A$15:$A$22,0))),0)),1,0),1))</f>
        <v/>
      </c>
    </row>
    <row r="4393">
      <c r="A4393" s="92" t="n"/>
      <c r="B4393" s="55" t="n"/>
      <c r="C4393" s="55" t="n"/>
      <c r="D4393" s="55" t="n"/>
      <c r="E4393" s="93" t="n"/>
      <c r="F4393" s="94" t="n"/>
      <c r="G4393" s="94" t="n"/>
      <c r="H4393" s="94" t="n"/>
      <c r="I4393" s="94" t="n"/>
      <c r="J4393" s="55" t="n"/>
      <c r="K4393" s="95" t="n"/>
      <c r="L4393" s="116">
        <f>IF($A4393="","",DATE(YEAR($A4393),MONTH($A4393)+IF(AND(IFERROR(N(INDEX(Übersicht!$M$15:$M$22,MATCH($B4393,Übersicht!$A$15:$A$22,0))),0)&gt;1,DAY($A4393)&gt;=IFERROR(N(INDEX(Übersicht!$M$15:$M$22,MATCH($B4393,Übersicht!$A$15:$A$22,0))),0)),1,0),1))</f>
        <v/>
      </c>
    </row>
    <row r="4394">
      <c r="A4394" s="92" t="n"/>
      <c r="B4394" s="55" t="n"/>
      <c r="C4394" s="55" t="n"/>
      <c r="D4394" s="55" t="n"/>
      <c r="E4394" s="93" t="n"/>
      <c r="F4394" s="94" t="n"/>
      <c r="G4394" s="94" t="n"/>
      <c r="H4394" s="94" t="n"/>
      <c r="I4394" s="94" t="n"/>
      <c r="J4394" s="55" t="n"/>
      <c r="K4394" s="95" t="n"/>
      <c r="L4394" s="116">
        <f>IF($A4394="","",DATE(YEAR($A4394),MONTH($A4394)+IF(AND(IFERROR(N(INDEX(Übersicht!$M$15:$M$22,MATCH($B4394,Übersicht!$A$15:$A$22,0))),0)&gt;1,DAY($A4394)&gt;=IFERROR(N(INDEX(Übersicht!$M$15:$M$22,MATCH($B4394,Übersicht!$A$15:$A$22,0))),0)),1,0),1))</f>
        <v/>
      </c>
    </row>
    <row r="4395">
      <c r="A4395" s="92" t="n"/>
      <c r="B4395" s="55" t="n"/>
      <c r="C4395" s="55" t="n"/>
      <c r="D4395" s="55" t="n"/>
      <c r="E4395" s="93" t="n"/>
      <c r="F4395" s="94" t="n"/>
      <c r="G4395" s="94" t="n"/>
      <c r="H4395" s="94" t="n"/>
      <c r="I4395" s="94" t="n"/>
      <c r="J4395" s="55" t="n"/>
      <c r="K4395" s="95" t="n"/>
      <c r="L4395" s="116">
        <f>IF($A4395="","",DATE(YEAR($A4395),MONTH($A4395)+IF(AND(IFERROR(N(INDEX(Übersicht!$M$15:$M$22,MATCH($B4395,Übersicht!$A$15:$A$22,0))),0)&gt;1,DAY($A4395)&gt;=IFERROR(N(INDEX(Übersicht!$M$15:$M$22,MATCH($B4395,Übersicht!$A$15:$A$22,0))),0)),1,0),1))</f>
        <v/>
      </c>
    </row>
    <row r="4396">
      <c r="A4396" s="92" t="n"/>
      <c r="B4396" s="55" t="n"/>
      <c r="C4396" s="55" t="n"/>
      <c r="D4396" s="55" t="n"/>
      <c r="E4396" s="93" t="n"/>
      <c r="F4396" s="94" t="n"/>
      <c r="G4396" s="94" t="n"/>
      <c r="H4396" s="94" t="n"/>
      <c r="I4396" s="94" t="n"/>
      <c r="J4396" s="55" t="n"/>
      <c r="K4396" s="95" t="n"/>
      <c r="L4396" s="116">
        <f>IF($A4396="","",DATE(YEAR($A4396),MONTH($A4396)+IF(AND(IFERROR(N(INDEX(Übersicht!$M$15:$M$22,MATCH($B4396,Übersicht!$A$15:$A$22,0))),0)&gt;1,DAY($A4396)&gt;=IFERROR(N(INDEX(Übersicht!$M$15:$M$22,MATCH($B4396,Übersicht!$A$15:$A$22,0))),0)),1,0),1))</f>
        <v/>
      </c>
    </row>
    <row r="4397">
      <c r="A4397" s="92" t="n"/>
      <c r="B4397" s="55" t="n"/>
      <c r="C4397" s="55" t="n"/>
      <c r="D4397" s="55" t="n"/>
      <c r="E4397" s="93" t="n"/>
      <c r="F4397" s="94" t="n"/>
      <c r="G4397" s="94" t="n"/>
      <c r="H4397" s="94" t="n"/>
      <c r="I4397" s="94" t="n"/>
      <c r="J4397" s="55" t="n"/>
      <c r="K4397" s="95" t="n"/>
      <c r="L4397" s="116">
        <f>IF($A4397="","",DATE(YEAR($A4397),MONTH($A4397)+IF(AND(IFERROR(N(INDEX(Übersicht!$M$15:$M$22,MATCH($B4397,Übersicht!$A$15:$A$22,0))),0)&gt;1,DAY($A4397)&gt;=IFERROR(N(INDEX(Übersicht!$M$15:$M$22,MATCH($B4397,Übersicht!$A$15:$A$22,0))),0)),1,0),1))</f>
        <v/>
      </c>
    </row>
    <row r="4398">
      <c r="A4398" s="92" t="n"/>
      <c r="B4398" s="55" t="n"/>
      <c r="C4398" s="55" t="n"/>
      <c r="D4398" s="55" t="n"/>
      <c r="E4398" s="93" t="n"/>
      <c r="F4398" s="94" t="n"/>
      <c r="G4398" s="94" t="n"/>
      <c r="H4398" s="94" t="n"/>
      <c r="I4398" s="94" t="n"/>
      <c r="J4398" s="55" t="n"/>
      <c r="K4398" s="95" t="n"/>
      <c r="L4398" s="116">
        <f>IF($A4398="","",DATE(YEAR($A4398),MONTH($A4398)+IF(AND(IFERROR(N(INDEX(Übersicht!$M$15:$M$22,MATCH($B4398,Übersicht!$A$15:$A$22,0))),0)&gt;1,DAY($A4398)&gt;=IFERROR(N(INDEX(Übersicht!$M$15:$M$22,MATCH($B4398,Übersicht!$A$15:$A$22,0))),0)),1,0),1))</f>
        <v/>
      </c>
    </row>
    <row r="4399">
      <c r="A4399" s="92" t="n"/>
      <c r="B4399" s="55" t="n"/>
      <c r="C4399" s="55" t="n"/>
      <c r="D4399" s="55" t="n"/>
      <c r="E4399" s="93" t="n"/>
      <c r="F4399" s="94" t="n"/>
      <c r="G4399" s="94" t="n"/>
      <c r="H4399" s="94" t="n"/>
      <c r="I4399" s="94" t="n"/>
      <c r="J4399" s="55" t="n"/>
      <c r="K4399" s="95" t="n"/>
      <c r="L4399" s="116">
        <f>IF($A4399="","",DATE(YEAR($A4399),MONTH($A4399)+IF(AND(IFERROR(N(INDEX(Übersicht!$M$15:$M$22,MATCH($B4399,Übersicht!$A$15:$A$22,0))),0)&gt;1,DAY($A4399)&gt;=IFERROR(N(INDEX(Übersicht!$M$15:$M$22,MATCH($B4399,Übersicht!$A$15:$A$22,0))),0)),1,0),1))</f>
        <v/>
      </c>
    </row>
    <row r="4400">
      <c r="A4400" s="92" t="n"/>
      <c r="B4400" s="55" t="n"/>
      <c r="C4400" s="55" t="n"/>
      <c r="D4400" s="55" t="n"/>
      <c r="E4400" s="93" t="n"/>
      <c r="F4400" s="94" t="n"/>
      <c r="G4400" s="94" t="n"/>
      <c r="H4400" s="94" t="n"/>
      <c r="I4400" s="94" t="n"/>
      <c r="J4400" s="55" t="n"/>
      <c r="K4400" s="95" t="n"/>
      <c r="L4400" s="116">
        <f>IF($A4400="","",DATE(YEAR($A4400),MONTH($A4400)+IF(AND(IFERROR(N(INDEX(Übersicht!$M$15:$M$22,MATCH($B4400,Übersicht!$A$15:$A$22,0))),0)&gt;1,DAY($A4400)&gt;=IFERROR(N(INDEX(Übersicht!$M$15:$M$22,MATCH($B4400,Übersicht!$A$15:$A$22,0))),0)),1,0),1))</f>
        <v/>
      </c>
    </row>
    <row r="4401">
      <c r="A4401" s="92" t="n"/>
      <c r="B4401" s="55" t="n"/>
      <c r="C4401" s="55" t="n"/>
      <c r="D4401" s="55" t="n"/>
      <c r="E4401" s="93" t="n"/>
      <c r="F4401" s="94" t="n"/>
      <c r="G4401" s="94" t="n"/>
      <c r="H4401" s="94" t="n"/>
      <c r="I4401" s="94" t="n"/>
      <c r="J4401" s="55" t="n"/>
      <c r="K4401" s="95" t="n"/>
      <c r="L4401" s="116">
        <f>IF($A4401="","",DATE(YEAR($A4401),MONTH($A4401)+IF(AND(IFERROR(N(INDEX(Übersicht!$M$15:$M$22,MATCH($B4401,Übersicht!$A$15:$A$22,0))),0)&gt;1,DAY($A4401)&gt;=IFERROR(N(INDEX(Übersicht!$M$15:$M$22,MATCH($B4401,Übersicht!$A$15:$A$22,0))),0)),1,0),1))</f>
        <v/>
      </c>
    </row>
    <row r="4402">
      <c r="A4402" s="92" t="n"/>
      <c r="B4402" s="55" t="n"/>
      <c r="C4402" s="55" t="n"/>
      <c r="D4402" s="55" t="n"/>
      <c r="E4402" s="93" t="n"/>
      <c r="F4402" s="94" t="n"/>
      <c r="G4402" s="94" t="n"/>
      <c r="H4402" s="94" t="n"/>
      <c r="I4402" s="94" t="n"/>
      <c r="J4402" s="55" t="n"/>
      <c r="K4402" s="95" t="n"/>
      <c r="L4402" s="116">
        <f>IF($A4402="","",DATE(YEAR($A4402),MONTH($A4402)+IF(AND(IFERROR(N(INDEX(Übersicht!$M$15:$M$22,MATCH($B4402,Übersicht!$A$15:$A$22,0))),0)&gt;1,DAY($A4402)&gt;=IFERROR(N(INDEX(Übersicht!$M$15:$M$22,MATCH($B4402,Übersicht!$A$15:$A$22,0))),0)),1,0),1))</f>
        <v/>
      </c>
    </row>
    <row r="4403">
      <c r="A4403" s="92" t="n"/>
      <c r="B4403" s="55" t="n"/>
      <c r="C4403" s="55" t="n"/>
      <c r="D4403" s="55" t="n"/>
      <c r="E4403" s="93" t="n"/>
      <c r="F4403" s="94" t="n"/>
      <c r="G4403" s="94" t="n"/>
      <c r="H4403" s="94" t="n"/>
      <c r="I4403" s="94" t="n"/>
      <c r="J4403" s="55" t="n"/>
      <c r="K4403" s="95" t="n"/>
      <c r="L4403" s="116">
        <f>IF($A4403="","",DATE(YEAR($A4403),MONTH($A4403)+IF(AND(IFERROR(N(INDEX(Übersicht!$M$15:$M$22,MATCH($B4403,Übersicht!$A$15:$A$22,0))),0)&gt;1,DAY($A4403)&gt;=IFERROR(N(INDEX(Übersicht!$M$15:$M$22,MATCH($B4403,Übersicht!$A$15:$A$22,0))),0)),1,0),1))</f>
        <v/>
      </c>
    </row>
    <row r="4404">
      <c r="A4404" s="92" t="n"/>
      <c r="B4404" s="55" t="n"/>
      <c r="C4404" s="55" t="n"/>
      <c r="D4404" s="55" t="n"/>
      <c r="E4404" s="93" t="n"/>
      <c r="F4404" s="94" t="n"/>
      <c r="G4404" s="94" t="n"/>
      <c r="H4404" s="94" t="n"/>
      <c r="I4404" s="94" t="n"/>
      <c r="J4404" s="55" t="n"/>
      <c r="K4404" s="95" t="n"/>
      <c r="L4404" s="116">
        <f>IF($A4404="","",DATE(YEAR($A4404),MONTH($A4404)+IF(AND(IFERROR(N(INDEX(Übersicht!$M$15:$M$22,MATCH($B4404,Übersicht!$A$15:$A$22,0))),0)&gt;1,DAY($A4404)&gt;=IFERROR(N(INDEX(Übersicht!$M$15:$M$22,MATCH($B4404,Übersicht!$A$15:$A$22,0))),0)),1,0),1))</f>
        <v/>
      </c>
    </row>
    <row r="4405">
      <c r="A4405" s="92" t="n"/>
      <c r="B4405" s="55" t="n"/>
      <c r="C4405" s="55" t="n"/>
      <c r="D4405" s="55" t="n"/>
      <c r="E4405" s="93" t="n"/>
      <c r="F4405" s="94" t="n"/>
      <c r="G4405" s="94" t="n"/>
      <c r="H4405" s="94" t="n"/>
      <c r="I4405" s="94" t="n"/>
      <c r="J4405" s="55" t="n"/>
      <c r="K4405" s="95" t="n"/>
      <c r="L4405" s="116">
        <f>IF($A4405="","",DATE(YEAR($A4405),MONTH($A4405)+IF(AND(IFERROR(N(INDEX(Übersicht!$M$15:$M$22,MATCH($B4405,Übersicht!$A$15:$A$22,0))),0)&gt;1,DAY($A4405)&gt;=IFERROR(N(INDEX(Übersicht!$M$15:$M$22,MATCH($B4405,Übersicht!$A$15:$A$22,0))),0)),1,0),1))</f>
        <v/>
      </c>
    </row>
    <row r="4406">
      <c r="A4406" s="92" t="n"/>
      <c r="B4406" s="55" t="n"/>
      <c r="C4406" s="55" t="n"/>
      <c r="D4406" s="55" t="n"/>
      <c r="E4406" s="93" t="n"/>
      <c r="F4406" s="94" t="n"/>
      <c r="G4406" s="94" t="n"/>
      <c r="H4406" s="94" t="n"/>
      <c r="I4406" s="94" t="n"/>
      <c r="J4406" s="55" t="n"/>
      <c r="K4406" s="95" t="n"/>
      <c r="L4406" s="116">
        <f>IF($A4406="","",DATE(YEAR($A4406),MONTH($A4406)+IF(AND(IFERROR(N(INDEX(Übersicht!$M$15:$M$22,MATCH($B4406,Übersicht!$A$15:$A$22,0))),0)&gt;1,DAY($A4406)&gt;=IFERROR(N(INDEX(Übersicht!$M$15:$M$22,MATCH($B4406,Übersicht!$A$15:$A$22,0))),0)),1,0),1))</f>
        <v/>
      </c>
    </row>
    <row r="4407">
      <c r="A4407" s="92" t="n"/>
      <c r="B4407" s="55" t="n"/>
      <c r="C4407" s="55" t="n"/>
      <c r="D4407" s="55" t="n"/>
      <c r="E4407" s="93" t="n"/>
      <c r="F4407" s="94" t="n"/>
      <c r="G4407" s="94" t="n"/>
      <c r="H4407" s="94" t="n"/>
      <c r="I4407" s="94" t="n"/>
      <c r="J4407" s="55" t="n"/>
      <c r="K4407" s="95" t="n"/>
      <c r="L4407" s="116">
        <f>IF($A4407="","",DATE(YEAR($A4407),MONTH($A4407)+IF(AND(IFERROR(N(INDEX(Übersicht!$M$15:$M$22,MATCH($B4407,Übersicht!$A$15:$A$22,0))),0)&gt;1,DAY($A4407)&gt;=IFERROR(N(INDEX(Übersicht!$M$15:$M$22,MATCH($B4407,Übersicht!$A$15:$A$22,0))),0)),1,0),1))</f>
        <v/>
      </c>
    </row>
    <row r="4408">
      <c r="A4408" s="92" t="n"/>
      <c r="B4408" s="55" t="n"/>
      <c r="C4408" s="55" t="n"/>
      <c r="D4408" s="55" t="n"/>
      <c r="E4408" s="93" t="n"/>
      <c r="F4408" s="94" t="n"/>
      <c r="G4408" s="94" t="n"/>
      <c r="H4408" s="94" t="n"/>
      <c r="I4408" s="94" t="n"/>
      <c r="J4408" s="55" t="n"/>
      <c r="K4408" s="95" t="n"/>
      <c r="L4408" s="116">
        <f>IF($A4408="","",DATE(YEAR($A4408),MONTH($A4408)+IF(AND(IFERROR(N(INDEX(Übersicht!$M$15:$M$22,MATCH($B4408,Übersicht!$A$15:$A$22,0))),0)&gt;1,DAY($A4408)&gt;=IFERROR(N(INDEX(Übersicht!$M$15:$M$22,MATCH($B4408,Übersicht!$A$15:$A$22,0))),0)),1,0),1))</f>
        <v/>
      </c>
    </row>
    <row r="4409">
      <c r="A4409" s="92" t="n"/>
      <c r="B4409" s="55" t="n"/>
      <c r="C4409" s="55" t="n"/>
      <c r="D4409" s="55" t="n"/>
      <c r="E4409" s="93" t="n"/>
      <c r="F4409" s="94" t="n"/>
      <c r="G4409" s="94" t="n"/>
      <c r="H4409" s="94" t="n"/>
      <c r="I4409" s="94" t="n"/>
      <c r="J4409" s="55" t="n"/>
      <c r="K4409" s="95" t="n"/>
      <c r="L4409" s="116">
        <f>IF($A4409="","",DATE(YEAR($A4409),MONTH($A4409)+IF(AND(IFERROR(N(INDEX(Übersicht!$M$15:$M$22,MATCH($B4409,Übersicht!$A$15:$A$22,0))),0)&gt;1,DAY($A4409)&gt;=IFERROR(N(INDEX(Übersicht!$M$15:$M$22,MATCH($B4409,Übersicht!$A$15:$A$22,0))),0)),1,0),1))</f>
        <v/>
      </c>
    </row>
    <row r="4410">
      <c r="A4410" s="92" t="n"/>
      <c r="B4410" s="55" t="n"/>
      <c r="C4410" s="55" t="n"/>
      <c r="D4410" s="55" t="n"/>
      <c r="E4410" s="93" t="n"/>
      <c r="F4410" s="94" t="n"/>
      <c r="G4410" s="94" t="n"/>
      <c r="H4410" s="94" t="n"/>
      <c r="I4410" s="94" t="n"/>
      <c r="J4410" s="55" t="n"/>
      <c r="K4410" s="95" t="n"/>
      <c r="L4410" s="116">
        <f>IF($A4410="","",DATE(YEAR($A4410),MONTH($A4410)+IF(AND(IFERROR(N(INDEX(Übersicht!$M$15:$M$22,MATCH($B4410,Übersicht!$A$15:$A$22,0))),0)&gt;1,DAY($A4410)&gt;=IFERROR(N(INDEX(Übersicht!$M$15:$M$22,MATCH($B4410,Übersicht!$A$15:$A$22,0))),0)),1,0),1))</f>
        <v/>
      </c>
    </row>
    <row r="4411">
      <c r="A4411" s="92" t="n"/>
      <c r="B4411" s="55" t="n"/>
      <c r="C4411" s="55" t="n"/>
      <c r="D4411" s="55" t="n"/>
      <c r="E4411" s="93" t="n"/>
      <c r="F4411" s="94" t="n"/>
      <c r="G4411" s="94" t="n"/>
      <c r="H4411" s="94" t="n"/>
      <c r="I4411" s="94" t="n"/>
      <c r="J4411" s="55" t="n"/>
      <c r="K4411" s="95" t="n"/>
      <c r="L4411" s="116">
        <f>IF($A4411="","",DATE(YEAR($A4411),MONTH($A4411)+IF(AND(IFERROR(N(INDEX(Übersicht!$M$15:$M$22,MATCH($B4411,Übersicht!$A$15:$A$22,0))),0)&gt;1,DAY($A4411)&gt;=IFERROR(N(INDEX(Übersicht!$M$15:$M$22,MATCH($B4411,Übersicht!$A$15:$A$22,0))),0)),1,0),1))</f>
        <v/>
      </c>
    </row>
    <row r="4412">
      <c r="A4412" s="92" t="n"/>
      <c r="B4412" s="55" t="n"/>
      <c r="C4412" s="55" t="n"/>
      <c r="D4412" s="55" t="n"/>
      <c r="E4412" s="93" t="n"/>
      <c r="F4412" s="94" t="n"/>
      <c r="G4412" s="94" t="n"/>
      <c r="H4412" s="94" t="n"/>
      <c r="I4412" s="94" t="n"/>
      <c r="J4412" s="55" t="n"/>
      <c r="K4412" s="95" t="n"/>
      <c r="L4412" s="116">
        <f>IF($A4412="","",DATE(YEAR($A4412),MONTH($A4412)+IF(AND(IFERROR(N(INDEX(Übersicht!$M$15:$M$22,MATCH($B4412,Übersicht!$A$15:$A$22,0))),0)&gt;1,DAY($A4412)&gt;=IFERROR(N(INDEX(Übersicht!$M$15:$M$22,MATCH($B4412,Übersicht!$A$15:$A$22,0))),0)),1,0),1))</f>
        <v/>
      </c>
    </row>
    <row r="4413">
      <c r="A4413" s="92" t="n"/>
      <c r="B4413" s="55" t="n"/>
      <c r="C4413" s="55" t="n"/>
      <c r="D4413" s="55" t="n"/>
      <c r="E4413" s="93" t="n"/>
      <c r="F4413" s="94" t="n"/>
      <c r="G4413" s="94" t="n"/>
      <c r="H4413" s="94" t="n"/>
      <c r="I4413" s="94" t="n"/>
      <c r="J4413" s="55" t="n"/>
      <c r="K4413" s="95" t="n"/>
      <c r="L4413" s="116">
        <f>IF($A4413="","",DATE(YEAR($A4413),MONTH($A4413)+IF(AND(IFERROR(N(INDEX(Übersicht!$M$15:$M$22,MATCH($B4413,Übersicht!$A$15:$A$22,0))),0)&gt;1,DAY($A4413)&gt;=IFERROR(N(INDEX(Übersicht!$M$15:$M$22,MATCH($B4413,Übersicht!$A$15:$A$22,0))),0)),1,0),1))</f>
        <v/>
      </c>
    </row>
    <row r="4414">
      <c r="A4414" s="92" t="n"/>
      <c r="B4414" s="55" t="n"/>
      <c r="C4414" s="55" t="n"/>
      <c r="D4414" s="55" t="n"/>
      <c r="E4414" s="93" t="n"/>
      <c r="F4414" s="94" t="n"/>
      <c r="G4414" s="94" t="n"/>
      <c r="H4414" s="94" t="n"/>
      <c r="I4414" s="94" t="n"/>
      <c r="J4414" s="55" t="n"/>
      <c r="K4414" s="95" t="n"/>
      <c r="L4414" s="116">
        <f>IF($A4414="","",DATE(YEAR($A4414),MONTH($A4414)+IF(AND(IFERROR(N(INDEX(Übersicht!$M$15:$M$22,MATCH($B4414,Übersicht!$A$15:$A$22,0))),0)&gt;1,DAY($A4414)&gt;=IFERROR(N(INDEX(Übersicht!$M$15:$M$22,MATCH($B4414,Übersicht!$A$15:$A$22,0))),0)),1,0),1))</f>
        <v/>
      </c>
    </row>
    <row r="4415">
      <c r="A4415" s="92" t="n"/>
      <c r="B4415" s="55" t="n"/>
      <c r="C4415" s="55" t="n"/>
      <c r="D4415" s="55" t="n"/>
      <c r="E4415" s="93" t="n"/>
      <c r="F4415" s="94" t="n"/>
      <c r="G4415" s="94" t="n"/>
      <c r="H4415" s="94" t="n"/>
      <c r="I4415" s="94" t="n"/>
      <c r="J4415" s="55" t="n"/>
      <c r="K4415" s="95" t="n"/>
      <c r="L4415" s="116">
        <f>IF($A4415="","",DATE(YEAR($A4415),MONTH($A4415)+IF(AND(IFERROR(N(INDEX(Übersicht!$M$15:$M$22,MATCH($B4415,Übersicht!$A$15:$A$22,0))),0)&gt;1,DAY($A4415)&gt;=IFERROR(N(INDEX(Übersicht!$M$15:$M$22,MATCH($B4415,Übersicht!$A$15:$A$22,0))),0)),1,0),1))</f>
        <v/>
      </c>
    </row>
    <row r="4416">
      <c r="A4416" s="92" t="n"/>
      <c r="B4416" s="55" t="n"/>
      <c r="C4416" s="55" t="n"/>
      <c r="D4416" s="55" t="n"/>
      <c r="E4416" s="93" t="n"/>
      <c r="F4416" s="94" t="n"/>
      <c r="G4416" s="94" t="n"/>
      <c r="H4416" s="94" t="n"/>
      <c r="I4416" s="94" t="n"/>
      <c r="J4416" s="55" t="n"/>
      <c r="K4416" s="95" t="n"/>
      <c r="L4416" s="116">
        <f>IF($A4416="","",DATE(YEAR($A4416),MONTH($A4416)+IF(AND(IFERROR(N(INDEX(Übersicht!$M$15:$M$22,MATCH($B4416,Übersicht!$A$15:$A$22,0))),0)&gt;1,DAY($A4416)&gt;=IFERROR(N(INDEX(Übersicht!$M$15:$M$22,MATCH($B4416,Übersicht!$A$15:$A$22,0))),0)),1,0),1))</f>
        <v/>
      </c>
    </row>
    <row r="4417">
      <c r="A4417" s="92" t="n"/>
      <c r="B4417" s="55" t="n"/>
      <c r="C4417" s="55" t="n"/>
      <c r="D4417" s="55" t="n"/>
      <c r="E4417" s="93" t="n"/>
      <c r="F4417" s="94" t="n"/>
      <c r="G4417" s="94" t="n"/>
      <c r="H4417" s="94" t="n"/>
      <c r="I4417" s="94" t="n"/>
      <c r="J4417" s="55" t="n"/>
      <c r="K4417" s="95" t="n"/>
      <c r="L4417" s="116">
        <f>IF($A4417="","",DATE(YEAR($A4417),MONTH($A4417)+IF(AND(IFERROR(N(INDEX(Übersicht!$M$15:$M$22,MATCH($B4417,Übersicht!$A$15:$A$22,0))),0)&gt;1,DAY($A4417)&gt;=IFERROR(N(INDEX(Übersicht!$M$15:$M$22,MATCH($B4417,Übersicht!$A$15:$A$22,0))),0)),1,0),1))</f>
        <v/>
      </c>
    </row>
    <row r="4418">
      <c r="A4418" s="92" t="n"/>
      <c r="B4418" s="55" t="n"/>
      <c r="C4418" s="55" t="n"/>
      <c r="D4418" s="55" t="n"/>
      <c r="E4418" s="93" t="n"/>
      <c r="F4418" s="94" t="n"/>
      <c r="G4418" s="94" t="n"/>
      <c r="H4418" s="94" t="n"/>
      <c r="I4418" s="94" t="n"/>
      <c r="J4418" s="55" t="n"/>
      <c r="K4418" s="95" t="n"/>
      <c r="L4418" s="116">
        <f>IF($A4418="","",DATE(YEAR($A4418),MONTH($A4418)+IF(AND(IFERROR(N(INDEX(Übersicht!$M$15:$M$22,MATCH($B4418,Übersicht!$A$15:$A$22,0))),0)&gt;1,DAY($A4418)&gt;=IFERROR(N(INDEX(Übersicht!$M$15:$M$22,MATCH($B4418,Übersicht!$A$15:$A$22,0))),0)),1,0),1))</f>
        <v/>
      </c>
    </row>
    <row r="4419">
      <c r="A4419" s="92" t="n"/>
      <c r="B4419" s="55" t="n"/>
      <c r="C4419" s="55" t="n"/>
      <c r="D4419" s="55" t="n"/>
      <c r="E4419" s="93" t="n"/>
      <c r="F4419" s="94" t="n"/>
      <c r="G4419" s="94" t="n"/>
      <c r="H4419" s="94" t="n"/>
      <c r="I4419" s="94" t="n"/>
      <c r="J4419" s="55" t="n"/>
      <c r="K4419" s="95" t="n"/>
      <c r="L4419" s="116">
        <f>IF($A4419="","",DATE(YEAR($A4419),MONTH($A4419)+IF(AND(IFERROR(N(INDEX(Übersicht!$M$15:$M$22,MATCH($B4419,Übersicht!$A$15:$A$22,0))),0)&gt;1,DAY($A4419)&gt;=IFERROR(N(INDEX(Übersicht!$M$15:$M$22,MATCH($B4419,Übersicht!$A$15:$A$22,0))),0)),1,0),1))</f>
        <v/>
      </c>
    </row>
    <row r="4420">
      <c r="A4420" s="92" t="n"/>
      <c r="B4420" s="55" t="n"/>
      <c r="C4420" s="55" t="n"/>
      <c r="D4420" s="55" t="n"/>
      <c r="E4420" s="93" t="n"/>
      <c r="F4420" s="94" t="n"/>
      <c r="G4420" s="94" t="n"/>
      <c r="H4420" s="94" t="n"/>
      <c r="I4420" s="94" t="n"/>
      <c r="J4420" s="55" t="n"/>
      <c r="K4420" s="95" t="n"/>
      <c r="L4420" s="116">
        <f>IF($A4420="","",DATE(YEAR($A4420),MONTH($A4420)+IF(AND(IFERROR(N(INDEX(Übersicht!$M$15:$M$22,MATCH($B4420,Übersicht!$A$15:$A$22,0))),0)&gt;1,DAY($A4420)&gt;=IFERROR(N(INDEX(Übersicht!$M$15:$M$22,MATCH($B4420,Übersicht!$A$15:$A$22,0))),0)),1,0),1))</f>
        <v/>
      </c>
    </row>
    <row r="4421">
      <c r="A4421" s="92" t="n"/>
      <c r="B4421" s="55" t="n"/>
      <c r="C4421" s="55" t="n"/>
      <c r="D4421" s="55" t="n"/>
      <c r="E4421" s="93" t="n"/>
      <c r="F4421" s="94" t="n"/>
      <c r="G4421" s="94" t="n"/>
      <c r="H4421" s="94" t="n"/>
      <c r="I4421" s="94" t="n"/>
      <c r="J4421" s="55" t="n"/>
      <c r="K4421" s="95" t="n"/>
      <c r="L4421" s="116">
        <f>IF($A4421="","",DATE(YEAR($A4421),MONTH($A4421)+IF(AND(IFERROR(N(INDEX(Übersicht!$M$15:$M$22,MATCH($B4421,Übersicht!$A$15:$A$22,0))),0)&gt;1,DAY($A4421)&gt;=IFERROR(N(INDEX(Übersicht!$M$15:$M$22,MATCH($B4421,Übersicht!$A$15:$A$22,0))),0)),1,0),1))</f>
        <v/>
      </c>
    </row>
    <row r="4422">
      <c r="A4422" s="92" t="n"/>
      <c r="B4422" s="55" t="n"/>
      <c r="C4422" s="55" t="n"/>
      <c r="D4422" s="55" t="n"/>
      <c r="E4422" s="93" t="n"/>
      <c r="F4422" s="94" t="n"/>
      <c r="G4422" s="94" t="n"/>
      <c r="H4422" s="94" t="n"/>
      <c r="I4422" s="94" t="n"/>
      <c r="J4422" s="55" t="n"/>
      <c r="K4422" s="95" t="n"/>
      <c r="L4422" s="116">
        <f>IF($A4422="","",DATE(YEAR($A4422),MONTH($A4422)+IF(AND(IFERROR(N(INDEX(Übersicht!$M$15:$M$22,MATCH($B4422,Übersicht!$A$15:$A$22,0))),0)&gt;1,DAY($A4422)&gt;=IFERROR(N(INDEX(Übersicht!$M$15:$M$22,MATCH($B4422,Übersicht!$A$15:$A$22,0))),0)),1,0),1))</f>
        <v/>
      </c>
    </row>
    <row r="4423">
      <c r="A4423" s="92" t="n"/>
      <c r="B4423" s="55" t="n"/>
      <c r="C4423" s="55" t="n"/>
      <c r="D4423" s="55" t="n"/>
      <c r="E4423" s="93" t="n"/>
      <c r="F4423" s="94" t="n"/>
      <c r="G4423" s="94" t="n"/>
      <c r="H4423" s="94" t="n"/>
      <c r="I4423" s="94" t="n"/>
      <c r="J4423" s="55" t="n"/>
      <c r="K4423" s="95" t="n"/>
      <c r="L4423" s="116">
        <f>IF($A4423="","",DATE(YEAR($A4423),MONTH($A4423)+IF(AND(IFERROR(N(INDEX(Übersicht!$M$15:$M$22,MATCH($B4423,Übersicht!$A$15:$A$22,0))),0)&gt;1,DAY($A4423)&gt;=IFERROR(N(INDEX(Übersicht!$M$15:$M$22,MATCH($B4423,Übersicht!$A$15:$A$22,0))),0)),1,0),1))</f>
        <v/>
      </c>
    </row>
    <row r="4424">
      <c r="A4424" s="92" t="n"/>
      <c r="B4424" s="55" t="n"/>
      <c r="C4424" s="55" t="n"/>
      <c r="D4424" s="55" t="n"/>
      <c r="E4424" s="93" t="n"/>
      <c r="F4424" s="94" t="n"/>
      <c r="G4424" s="94" t="n"/>
      <c r="H4424" s="94" t="n"/>
      <c r="I4424" s="94" t="n"/>
      <c r="J4424" s="55" t="n"/>
      <c r="K4424" s="95" t="n"/>
      <c r="L4424" s="116">
        <f>IF($A4424="","",DATE(YEAR($A4424),MONTH($A4424)+IF(AND(IFERROR(N(INDEX(Übersicht!$M$15:$M$22,MATCH($B4424,Übersicht!$A$15:$A$22,0))),0)&gt;1,DAY($A4424)&gt;=IFERROR(N(INDEX(Übersicht!$M$15:$M$22,MATCH($B4424,Übersicht!$A$15:$A$22,0))),0)),1,0),1))</f>
        <v/>
      </c>
    </row>
    <row r="4425">
      <c r="A4425" s="92" t="n"/>
      <c r="B4425" s="55" t="n"/>
      <c r="C4425" s="55" t="n"/>
      <c r="D4425" s="55" t="n"/>
      <c r="E4425" s="93" t="n"/>
      <c r="F4425" s="94" t="n"/>
      <c r="G4425" s="94" t="n"/>
      <c r="H4425" s="94" t="n"/>
      <c r="I4425" s="94" t="n"/>
      <c r="J4425" s="55" t="n"/>
      <c r="K4425" s="95" t="n"/>
      <c r="L4425" s="116">
        <f>IF($A4425="","",DATE(YEAR($A4425),MONTH($A4425)+IF(AND(IFERROR(N(INDEX(Übersicht!$M$15:$M$22,MATCH($B4425,Übersicht!$A$15:$A$22,0))),0)&gt;1,DAY($A4425)&gt;=IFERROR(N(INDEX(Übersicht!$M$15:$M$22,MATCH($B4425,Übersicht!$A$15:$A$22,0))),0)),1,0),1))</f>
        <v/>
      </c>
    </row>
    <row r="4426">
      <c r="A4426" s="92" t="n"/>
      <c r="B4426" s="55" t="n"/>
      <c r="C4426" s="55" t="n"/>
      <c r="D4426" s="55" t="n"/>
      <c r="E4426" s="93" t="n"/>
      <c r="F4426" s="94" t="n"/>
      <c r="G4426" s="94" t="n"/>
      <c r="H4426" s="94" t="n"/>
      <c r="I4426" s="94" t="n"/>
      <c r="J4426" s="55" t="n"/>
      <c r="K4426" s="95" t="n"/>
      <c r="L4426" s="116">
        <f>IF($A4426="","",DATE(YEAR($A4426),MONTH($A4426)+IF(AND(IFERROR(N(INDEX(Übersicht!$M$15:$M$22,MATCH($B4426,Übersicht!$A$15:$A$22,0))),0)&gt;1,DAY($A4426)&gt;=IFERROR(N(INDEX(Übersicht!$M$15:$M$22,MATCH($B4426,Übersicht!$A$15:$A$22,0))),0)),1,0),1))</f>
        <v/>
      </c>
    </row>
    <row r="4427">
      <c r="A4427" s="92" t="n"/>
      <c r="B4427" s="55" t="n"/>
      <c r="C4427" s="55" t="n"/>
      <c r="D4427" s="55" t="n"/>
      <c r="E4427" s="93" t="n"/>
      <c r="F4427" s="94" t="n"/>
      <c r="G4427" s="94" t="n"/>
      <c r="H4427" s="94" t="n"/>
      <c r="I4427" s="94" t="n"/>
      <c r="J4427" s="55" t="n"/>
      <c r="K4427" s="95" t="n"/>
      <c r="L4427" s="116">
        <f>IF($A4427="","",DATE(YEAR($A4427),MONTH($A4427)+IF(AND(IFERROR(N(INDEX(Übersicht!$M$15:$M$22,MATCH($B4427,Übersicht!$A$15:$A$22,0))),0)&gt;1,DAY($A4427)&gt;=IFERROR(N(INDEX(Übersicht!$M$15:$M$22,MATCH($B4427,Übersicht!$A$15:$A$22,0))),0)),1,0),1))</f>
        <v/>
      </c>
    </row>
    <row r="4428">
      <c r="A4428" s="92" t="n"/>
      <c r="B4428" s="55" t="n"/>
      <c r="C4428" s="55" t="n"/>
      <c r="D4428" s="55" t="n"/>
      <c r="E4428" s="93" t="n"/>
      <c r="F4428" s="94" t="n"/>
      <c r="G4428" s="94" t="n"/>
      <c r="H4428" s="94" t="n"/>
      <c r="I4428" s="94" t="n"/>
      <c r="J4428" s="55" t="n"/>
      <c r="K4428" s="95" t="n"/>
      <c r="L4428" s="116">
        <f>IF($A4428="","",DATE(YEAR($A4428),MONTH($A4428)+IF(AND(IFERROR(N(INDEX(Übersicht!$M$15:$M$22,MATCH($B4428,Übersicht!$A$15:$A$22,0))),0)&gt;1,DAY($A4428)&gt;=IFERROR(N(INDEX(Übersicht!$M$15:$M$22,MATCH($B4428,Übersicht!$A$15:$A$22,0))),0)),1,0),1))</f>
        <v/>
      </c>
    </row>
    <row r="4429">
      <c r="A4429" s="92" t="n"/>
      <c r="B4429" s="55" t="n"/>
      <c r="C4429" s="55" t="n"/>
      <c r="D4429" s="55" t="n"/>
      <c r="E4429" s="93" t="n"/>
      <c r="F4429" s="94" t="n"/>
      <c r="G4429" s="94" t="n"/>
      <c r="H4429" s="94" t="n"/>
      <c r="I4429" s="94" t="n"/>
      <c r="J4429" s="55" t="n"/>
      <c r="K4429" s="95" t="n"/>
      <c r="L4429" s="116">
        <f>IF($A4429="","",DATE(YEAR($A4429),MONTH($A4429)+IF(AND(IFERROR(N(INDEX(Übersicht!$M$15:$M$22,MATCH($B4429,Übersicht!$A$15:$A$22,0))),0)&gt;1,DAY($A4429)&gt;=IFERROR(N(INDEX(Übersicht!$M$15:$M$22,MATCH($B4429,Übersicht!$A$15:$A$22,0))),0)),1,0),1))</f>
        <v/>
      </c>
    </row>
    <row r="4430">
      <c r="A4430" s="92" t="n"/>
      <c r="B4430" s="55" t="n"/>
      <c r="C4430" s="55" t="n"/>
      <c r="D4430" s="55" t="n"/>
      <c r="E4430" s="93" t="n"/>
      <c r="F4430" s="94" t="n"/>
      <c r="G4430" s="94" t="n"/>
      <c r="H4430" s="94" t="n"/>
      <c r="I4430" s="94" t="n"/>
      <c r="J4430" s="55" t="n"/>
      <c r="K4430" s="95" t="n"/>
      <c r="L4430" s="116">
        <f>IF($A4430="","",DATE(YEAR($A4430),MONTH($A4430)+IF(AND(IFERROR(N(INDEX(Übersicht!$M$15:$M$22,MATCH($B4430,Übersicht!$A$15:$A$22,0))),0)&gt;1,DAY($A4430)&gt;=IFERROR(N(INDEX(Übersicht!$M$15:$M$22,MATCH($B4430,Übersicht!$A$15:$A$22,0))),0)),1,0),1))</f>
        <v/>
      </c>
    </row>
    <row r="4431">
      <c r="A4431" s="92" t="n"/>
      <c r="B4431" s="55" t="n"/>
      <c r="C4431" s="55" t="n"/>
      <c r="D4431" s="55" t="n"/>
      <c r="E4431" s="93" t="n"/>
      <c r="F4431" s="94" t="n"/>
      <c r="G4431" s="94" t="n"/>
      <c r="H4431" s="94" t="n"/>
      <c r="I4431" s="94" t="n"/>
      <c r="J4431" s="55" t="n"/>
      <c r="K4431" s="95" t="n"/>
      <c r="L4431" s="116">
        <f>IF($A4431="","",DATE(YEAR($A4431),MONTH($A4431)+IF(AND(IFERROR(N(INDEX(Übersicht!$M$15:$M$22,MATCH($B4431,Übersicht!$A$15:$A$22,0))),0)&gt;1,DAY($A4431)&gt;=IFERROR(N(INDEX(Übersicht!$M$15:$M$22,MATCH($B4431,Übersicht!$A$15:$A$22,0))),0)),1,0),1))</f>
        <v/>
      </c>
    </row>
    <row r="4432">
      <c r="A4432" s="92" t="n"/>
      <c r="B4432" s="55" t="n"/>
      <c r="C4432" s="55" t="n"/>
      <c r="D4432" s="55" t="n"/>
      <c r="E4432" s="93" t="n"/>
      <c r="F4432" s="94" t="n"/>
      <c r="G4432" s="94" t="n"/>
      <c r="H4432" s="94" t="n"/>
      <c r="I4432" s="94" t="n"/>
      <c r="J4432" s="55" t="n"/>
      <c r="K4432" s="95" t="n"/>
      <c r="L4432" s="116">
        <f>IF($A4432="","",DATE(YEAR($A4432),MONTH($A4432)+IF(AND(IFERROR(N(INDEX(Übersicht!$M$15:$M$22,MATCH($B4432,Übersicht!$A$15:$A$22,0))),0)&gt;1,DAY($A4432)&gt;=IFERROR(N(INDEX(Übersicht!$M$15:$M$22,MATCH($B4432,Übersicht!$A$15:$A$22,0))),0)),1,0),1))</f>
        <v/>
      </c>
    </row>
    <row r="4433">
      <c r="A4433" s="92" t="n"/>
      <c r="B4433" s="55" t="n"/>
      <c r="C4433" s="55" t="n"/>
      <c r="D4433" s="55" t="n"/>
      <c r="E4433" s="93" t="n"/>
      <c r="F4433" s="94" t="n"/>
      <c r="G4433" s="94" t="n"/>
      <c r="H4433" s="94" t="n"/>
      <c r="I4433" s="94" t="n"/>
      <c r="J4433" s="55" t="n"/>
      <c r="K4433" s="95" t="n"/>
      <c r="L4433" s="116">
        <f>IF($A4433="","",DATE(YEAR($A4433),MONTH($A4433)+IF(AND(IFERROR(N(INDEX(Übersicht!$M$15:$M$22,MATCH($B4433,Übersicht!$A$15:$A$22,0))),0)&gt;1,DAY($A4433)&gt;=IFERROR(N(INDEX(Übersicht!$M$15:$M$22,MATCH($B4433,Übersicht!$A$15:$A$22,0))),0)),1,0),1))</f>
        <v/>
      </c>
    </row>
    <row r="4434">
      <c r="A4434" s="92" t="n"/>
      <c r="B4434" s="55" t="n"/>
      <c r="C4434" s="55" t="n"/>
      <c r="D4434" s="55" t="n"/>
      <c r="E4434" s="93" t="n"/>
      <c r="F4434" s="94" t="n"/>
      <c r="G4434" s="94" t="n"/>
      <c r="H4434" s="94" t="n"/>
      <c r="I4434" s="94" t="n"/>
      <c r="J4434" s="55" t="n"/>
      <c r="K4434" s="95" t="n"/>
      <c r="L4434" s="116">
        <f>IF($A4434="","",DATE(YEAR($A4434),MONTH($A4434)+IF(AND(IFERROR(N(INDEX(Übersicht!$M$15:$M$22,MATCH($B4434,Übersicht!$A$15:$A$22,0))),0)&gt;1,DAY($A4434)&gt;=IFERROR(N(INDEX(Übersicht!$M$15:$M$22,MATCH($B4434,Übersicht!$A$15:$A$22,0))),0)),1,0),1))</f>
        <v/>
      </c>
    </row>
    <row r="4435">
      <c r="A4435" s="92" t="n"/>
      <c r="B4435" s="55" t="n"/>
      <c r="C4435" s="55" t="n"/>
      <c r="D4435" s="55" t="n"/>
      <c r="E4435" s="93" t="n"/>
      <c r="F4435" s="94" t="n"/>
      <c r="G4435" s="94" t="n"/>
      <c r="H4435" s="94" t="n"/>
      <c r="I4435" s="94" t="n"/>
      <c r="J4435" s="55" t="n"/>
      <c r="K4435" s="95" t="n"/>
      <c r="L4435" s="116">
        <f>IF($A4435="","",DATE(YEAR($A4435),MONTH($A4435)+IF(AND(IFERROR(N(INDEX(Übersicht!$M$15:$M$22,MATCH($B4435,Übersicht!$A$15:$A$22,0))),0)&gt;1,DAY($A4435)&gt;=IFERROR(N(INDEX(Übersicht!$M$15:$M$22,MATCH($B4435,Übersicht!$A$15:$A$22,0))),0)),1,0),1))</f>
        <v/>
      </c>
    </row>
    <row r="4436">
      <c r="A4436" s="92" t="n"/>
      <c r="B4436" s="55" t="n"/>
      <c r="C4436" s="55" t="n"/>
      <c r="D4436" s="55" t="n"/>
      <c r="E4436" s="93" t="n"/>
      <c r="F4436" s="94" t="n"/>
      <c r="G4436" s="94" t="n"/>
      <c r="H4436" s="94" t="n"/>
      <c r="I4436" s="94" t="n"/>
      <c r="J4436" s="55" t="n"/>
      <c r="K4436" s="95" t="n"/>
      <c r="L4436" s="116">
        <f>IF($A4436="","",DATE(YEAR($A4436),MONTH($A4436)+IF(AND(IFERROR(N(INDEX(Übersicht!$M$15:$M$22,MATCH($B4436,Übersicht!$A$15:$A$22,0))),0)&gt;1,DAY($A4436)&gt;=IFERROR(N(INDEX(Übersicht!$M$15:$M$22,MATCH($B4436,Übersicht!$A$15:$A$22,0))),0)),1,0),1))</f>
        <v/>
      </c>
    </row>
    <row r="4437">
      <c r="A4437" s="92" t="n"/>
      <c r="B4437" s="55" t="n"/>
      <c r="C4437" s="55" t="n"/>
      <c r="D4437" s="55" t="n"/>
      <c r="E4437" s="93" t="n"/>
      <c r="F4437" s="94" t="n"/>
      <c r="G4437" s="94" t="n"/>
      <c r="H4437" s="94" t="n"/>
      <c r="I4437" s="94" t="n"/>
      <c r="J4437" s="55" t="n"/>
      <c r="K4437" s="95" t="n"/>
      <c r="L4437" s="116">
        <f>IF($A4437="","",DATE(YEAR($A4437),MONTH($A4437)+IF(AND(IFERROR(N(INDEX(Übersicht!$M$15:$M$22,MATCH($B4437,Übersicht!$A$15:$A$22,0))),0)&gt;1,DAY($A4437)&gt;=IFERROR(N(INDEX(Übersicht!$M$15:$M$22,MATCH($B4437,Übersicht!$A$15:$A$22,0))),0)),1,0),1))</f>
        <v/>
      </c>
    </row>
    <row r="4438">
      <c r="A4438" s="92" t="n"/>
      <c r="B4438" s="55" t="n"/>
      <c r="C4438" s="55" t="n"/>
      <c r="D4438" s="55" t="n"/>
      <c r="E4438" s="93" t="n"/>
      <c r="F4438" s="94" t="n"/>
      <c r="G4438" s="94" t="n"/>
      <c r="H4438" s="94" t="n"/>
      <c r="I4438" s="94" t="n"/>
      <c r="J4438" s="55" t="n"/>
      <c r="K4438" s="95" t="n"/>
      <c r="L4438" s="116">
        <f>IF($A4438="","",DATE(YEAR($A4438),MONTH($A4438)+IF(AND(IFERROR(N(INDEX(Übersicht!$M$15:$M$22,MATCH($B4438,Übersicht!$A$15:$A$22,0))),0)&gt;1,DAY($A4438)&gt;=IFERROR(N(INDEX(Übersicht!$M$15:$M$22,MATCH($B4438,Übersicht!$A$15:$A$22,0))),0)),1,0),1))</f>
        <v/>
      </c>
    </row>
    <row r="4439">
      <c r="A4439" s="92" t="n"/>
      <c r="B4439" s="55" t="n"/>
      <c r="C4439" s="55" t="n"/>
      <c r="D4439" s="55" t="n"/>
      <c r="E4439" s="93" t="n"/>
      <c r="F4439" s="94" t="n"/>
      <c r="G4439" s="94" t="n"/>
      <c r="H4439" s="94" t="n"/>
      <c r="I4439" s="94" t="n"/>
      <c r="J4439" s="55" t="n"/>
      <c r="K4439" s="95" t="n"/>
      <c r="L4439" s="116">
        <f>IF($A4439="","",DATE(YEAR($A4439),MONTH($A4439)+IF(AND(IFERROR(N(INDEX(Übersicht!$M$15:$M$22,MATCH($B4439,Übersicht!$A$15:$A$22,0))),0)&gt;1,DAY($A4439)&gt;=IFERROR(N(INDEX(Übersicht!$M$15:$M$22,MATCH($B4439,Übersicht!$A$15:$A$22,0))),0)),1,0),1))</f>
        <v/>
      </c>
    </row>
    <row r="4440">
      <c r="A4440" s="92" t="n"/>
      <c r="B4440" s="55" t="n"/>
      <c r="C4440" s="55" t="n"/>
      <c r="D4440" s="55" t="n"/>
      <c r="E4440" s="93" t="n"/>
      <c r="F4440" s="94" t="n"/>
      <c r="G4440" s="94" t="n"/>
      <c r="H4440" s="94" t="n"/>
      <c r="I4440" s="94" t="n"/>
      <c r="J4440" s="55" t="n"/>
      <c r="K4440" s="95" t="n"/>
      <c r="L4440" s="116">
        <f>IF($A4440="","",DATE(YEAR($A4440),MONTH($A4440)+IF(AND(IFERROR(N(INDEX(Übersicht!$M$15:$M$22,MATCH($B4440,Übersicht!$A$15:$A$22,0))),0)&gt;1,DAY($A4440)&gt;=IFERROR(N(INDEX(Übersicht!$M$15:$M$22,MATCH($B4440,Übersicht!$A$15:$A$22,0))),0)),1,0),1))</f>
        <v/>
      </c>
    </row>
    <row r="4441">
      <c r="A4441" s="92" t="n"/>
      <c r="B4441" s="55" t="n"/>
      <c r="C4441" s="55" t="n"/>
      <c r="D4441" s="55" t="n"/>
      <c r="E4441" s="93" t="n"/>
      <c r="F4441" s="94" t="n"/>
      <c r="G4441" s="94" t="n"/>
      <c r="H4441" s="94" t="n"/>
      <c r="I4441" s="94" t="n"/>
      <c r="J4441" s="55" t="n"/>
      <c r="K4441" s="95" t="n"/>
      <c r="L4441" s="116">
        <f>IF($A4441="","",DATE(YEAR($A4441),MONTH($A4441)+IF(AND(IFERROR(N(INDEX(Übersicht!$M$15:$M$22,MATCH($B4441,Übersicht!$A$15:$A$22,0))),0)&gt;1,DAY($A4441)&gt;=IFERROR(N(INDEX(Übersicht!$M$15:$M$22,MATCH($B4441,Übersicht!$A$15:$A$22,0))),0)),1,0),1))</f>
        <v/>
      </c>
    </row>
    <row r="4442">
      <c r="A4442" s="92" t="n"/>
      <c r="B4442" s="55" t="n"/>
      <c r="C4442" s="55" t="n"/>
      <c r="D4442" s="55" t="n"/>
      <c r="E4442" s="93" t="n"/>
      <c r="F4442" s="94" t="n"/>
      <c r="G4442" s="94" t="n"/>
      <c r="H4442" s="94" t="n"/>
      <c r="I4442" s="94" t="n"/>
      <c r="J4442" s="55" t="n"/>
      <c r="K4442" s="95" t="n"/>
      <c r="L4442" s="116">
        <f>IF($A4442="","",DATE(YEAR($A4442),MONTH($A4442)+IF(AND(IFERROR(N(INDEX(Übersicht!$M$15:$M$22,MATCH($B4442,Übersicht!$A$15:$A$22,0))),0)&gt;1,DAY($A4442)&gt;=IFERROR(N(INDEX(Übersicht!$M$15:$M$22,MATCH($B4442,Übersicht!$A$15:$A$22,0))),0)),1,0),1))</f>
        <v/>
      </c>
    </row>
    <row r="4443">
      <c r="A4443" s="92" t="n"/>
      <c r="B4443" s="55" t="n"/>
      <c r="C4443" s="55" t="n"/>
      <c r="D4443" s="55" t="n"/>
      <c r="E4443" s="93" t="n"/>
      <c r="F4443" s="94" t="n"/>
      <c r="G4443" s="94" t="n"/>
      <c r="H4443" s="94" t="n"/>
      <c r="I4443" s="94" t="n"/>
      <c r="J4443" s="55" t="n"/>
      <c r="K4443" s="95" t="n"/>
      <c r="L4443" s="116">
        <f>IF($A4443="","",DATE(YEAR($A4443),MONTH($A4443)+IF(AND(IFERROR(N(INDEX(Übersicht!$M$15:$M$22,MATCH($B4443,Übersicht!$A$15:$A$22,0))),0)&gt;1,DAY($A4443)&gt;=IFERROR(N(INDEX(Übersicht!$M$15:$M$22,MATCH($B4443,Übersicht!$A$15:$A$22,0))),0)),1,0),1))</f>
        <v/>
      </c>
    </row>
    <row r="4444">
      <c r="A4444" s="92" t="n"/>
      <c r="B4444" s="55" t="n"/>
      <c r="C4444" s="55" t="n"/>
      <c r="D4444" s="55" t="n"/>
      <c r="E4444" s="93" t="n"/>
      <c r="F4444" s="94" t="n"/>
      <c r="G4444" s="94" t="n"/>
      <c r="H4444" s="94" t="n"/>
      <c r="I4444" s="94" t="n"/>
      <c r="J4444" s="55" t="n"/>
      <c r="K4444" s="95" t="n"/>
      <c r="L4444" s="116">
        <f>IF($A4444="","",DATE(YEAR($A4444),MONTH($A4444)+IF(AND(IFERROR(N(INDEX(Übersicht!$M$15:$M$22,MATCH($B4444,Übersicht!$A$15:$A$22,0))),0)&gt;1,DAY($A4444)&gt;=IFERROR(N(INDEX(Übersicht!$M$15:$M$22,MATCH($B4444,Übersicht!$A$15:$A$22,0))),0)),1,0),1))</f>
        <v/>
      </c>
    </row>
    <row r="4445">
      <c r="A4445" s="92" t="n"/>
      <c r="B4445" s="55" t="n"/>
      <c r="C4445" s="55" t="n"/>
      <c r="D4445" s="55" t="n"/>
      <c r="E4445" s="93" t="n"/>
      <c r="F4445" s="94" t="n"/>
      <c r="G4445" s="94" t="n"/>
      <c r="H4445" s="94" t="n"/>
      <c r="I4445" s="94" t="n"/>
      <c r="J4445" s="55" t="n"/>
      <c r="K4445" s="95" t="n"/>
      <c r="L4445" s="116">
        <f>IF($A4445="","",DATE(YEAR($A4445),MONTH($A4445)+IF(AND(IFERROR(N(INDEX(Übersicht!$M$15:$M$22,MATCH($B4445,Übersicht!$A$15:$A$22,0))),0)&gt;1,DAY($A4445)&gt;=IFERROR(N(INDEX(Übersicht!$M$15:$M$22,MATCH($B4445,Übersicht!$A$15:$A$22,0))),0)),1,0),1))</f>
        <v/>
      </c>
    </row>
    <row r="4446">
      <c r="A4446" s="92" t="n"/>
      <c r="B4446" s="55" t="n"/>
      <c r="C4446" s="55" t="n"/>
      <c r="D4446" s="55" t="n"/>
      <c r="E4446" s="93" t="n"/>
      <c r="F4446" s="94" t="n"/>
      <c r="G4446" s="94" t="n"/>
      <c r="H4446" s="94" t="n"/>
      <c r="I4446" s="94" t="n"/>
      <c r="J4446" s="55" t="n"/>
      <c r="K4446" s="95" t="n"/>
      <c r="L4446" s="116">
        <f>IF($A4446="","",DATE(YEAR($A4446),MONTH($A4446)+IF(AND(IFERROR(N(INDEX(Übersicht!$M$15:$M$22,MATCH($B4446,Übersicht!$A$15:$A$22,0))),0)&gt;1,DAY($A4446)&gt;=IFERROR(N(INDEX(Übersicht!$M$15:$M$22,MATCH($B4446,Übersicht!$A$15:$A$22,0))),0)),1,0),1))</f>
        <v/>
      </c>
    </row>
    <row r="4447">
      <c r="A4447" s="92" t="n"/>
      <c r="B4447" s="55" t="n"/>
      <c r="C4447" s="55" t="n"/>
      <c r="D4447" s="55" t="n"/>
      <c r="E4447" s="93" t="n"/>
      <c r="F4447" s="94" t="n"/>
      <c r="G4447" s="94" t="n"/>
      <c r="H4447" s="94" t="n"/>
      <c r="I4447" s="94" t="n"/>
      <c r="J4447" s="55" t="n"/>
      <c r="K4447" s="95" t="n"/>
      <c r="L4447" s="116">
        <f>IF($A4447="","",DATE(YEAR($A4447),MONTH($A4447)+IF(AND(IFERROR(N(INDEX(Übersicht!$M$15:$M$22,MATCH($B4447,Übersicht!$A$15:$A$22,0))),0)&gt;1,DAY($A4447)&gt;=IFERROR(N(INDEX(Übersicht!$M$15:$M$22,MATCH($B4447,Übersicht!$A$15:$A$22,0))),0)),1,0),1))</f>
        <v/>
      </c>
    </row>
    <row r="4448">
      <c r="A4448" s="92" t="n"/>
      <c r="B4448" s="55" t="n"/>
      <c r="C4448" s="55" t="n"/>
      <c r="D4448" s="55" t="n"/>
      <c r="E4448" s="93" t="n"/>
      <c r="F4448" s="94" t="n"/>
      <c r="G4448" s="94" t="n"/>
      <c r="H4448" s="94" t="n"/>
      <c r="I4448" s="94" t="n"/>
      <c r="J4448" s="55" t="n"/>
      <c r="K4448" s="95" t="n"/>
      <c r="L4448" s="116">
        <f>IF($A4448="","",DATE(YEAR($A4448),MONTH($A4448)+IF(AND(IFERROR(N(INDEX(Übersicht!$M$15:$M$22,MATCH($B4448,Übersicht!$A$15:$A$22,0))),0)&gt;1,DAY($A4448)&gt;=IFERROR(N(INDEX(Übersicht!$M$15:$M$22,MATCH($B4448,Übersicht!$A$15:$A$22,0))),0)),1,0),1))</f>
        <v/>
      </c>
    </row>
    <row r="4449">
      <c r="A4449" s="92" t="n"/>
      <c r="B4449" s="55" t="n"/>
      <c r="C4449" s="55" t="n"/>
      <c r="D4449" s="55" t="n"/>
      <c r="E4449" s="93" t="n"/>
      <c r="F4449" s="94" t="n"/>
      <c r="G4449" s="94" t="n"/>
      <c r="H4449" s="94" t="n"/>
      <c r="I4449" s="94" t="n"/>
      <c r="J4449" s="55" t="n"/>
      <c r="K4449" s="95" t="n"/>
      <c r="L4449" s="116">
        <f>IF($A4449="","",DATE(YEAR($A4449),MONTH($A4449)+IF(AND(IFERROR(N(INDEX(Übersicht!$M$15:$M$22,MATCH($B4449,Übersicht!$A$15:$A$22,0))),0)&gt;1,DAY($A4449)&gt;=IFERROR(N(INDEX(Übersicht!$M$15:$M$22,MATCH($B4449,Übersicht!$A$15:$A$22,0))),0)),1,0),1))</f>
        <v/>
      </c>
    </row>
    <row r="4450">
      <c r="A4450" s="92" t="n"/>
      <c r="B4450" s="55" t="n"/>
      <c r="C4450" s="55" t="n"/>
      <c r="D4450" s="55" t="n"/>
      <c r="E4450" s="93" t="n"/>
      <c r="F4450" s="94" t="n"/>
      <c r="G4450" s="94" t="n"/>
      <c r="H4450" s="94" t="n"/>
      <c r="I4450" s="94" t="n"/>
      <c r="J4450" s="55" t="n"/>
      <c r="K4450" s="95" t="n"/>
      <c r="L4450" s="116">
        <f>IF($A4450="","",DATE(YEAR($A4450),MONTH($A4450)+IF(AND(IFERROR(N(INDEX(Übersicht!$M$15:$M$22,MATCH($B4450,Übersicht!$A$15:$A$22,0))),0)&gt;1,DAY($A4450)&gt;=IFERROR(N(INDEX(Übersicht!$M$15:$M$22,MATCH($B4450,Übersicht!$A$15:$A$22,0))),0)),1,0),1))</f>
        <v/>
      </c>
    </row>
    <row r="4451">
      <c r="A4451" s="92" t="n"/>
      <c r="B4451" s="55" t="n"/>
      <c r="C4451" s="55" t="n"/>
      <c r="D4451" s="55" t="n"/>
      <c r="E4451" s="93" t="n"/>
      <c r="F4451" s="94" t="n"/>
      <c r="G4451" s="94" t="n"/>
      <c r="H4451" s="94" t="n"/>
      <c r="I4451" s="94" t="n"/>
      <c r="J4451" s="55" t="n"/>
      <c r="K4451" s="95" t="n"/>
      <c r="L4451" s="116">
        <f>IF($A4451="","",DATE(YEAR($A4451),MONTH($A4451)+IF(AND(IFERROR(N(INDEX(Übersicht!$M$15:$M$22,MATCH($B4451,Übersicht!$A$15:$A$22,0))),0)&gt;1,DAY($A4451)&gt;=IFERROR(N(INDEX(Übersicht!$M$15:$M$22,MATCH($B4451,Übersicht!$A$15:$A$22,0))),0)),1,0),1))</f>
        <v/>
      </c>
    </row>
    <row r="4452">
      <c r="A4452" s="92" t="n"/>
      <c r="B4452" s="55" t="n"/>
      <c r="C4452" s="55" t="n"/>
      <c r="D4452" s="55" t="n"/>
      <c r="E4452" s="93" t="n"/>
      <c r="F4452" s="94" t="n"/>
      <c r="G4452" s="94" t="n"/>
      <c r="H4452" s="94" t="n"/>
      <c r="I4452" s="94" t="n"/>
      <c r="J4452" s="55" t="n"/>
      <c r="K4452" s="95" t="n"/>
      <c r="L4452" s="116">
        <f>IF($A4452="","",DATE(YEAR($A4452),MONTH($A4452)+IF(AND(IFERROR(N(INDEX(Übersicht!$M$15:$M$22,MATCH($B4452,Übersicht!$A$15:$A$22,0))),0)&gt;1,DAY($A4452)&gt;=IFERROR(N(INDEX(Übersicht!$M$15:$M$22,MATCH($B4452,Übersicht!$A$15:$A$22,0))),0)),1,0),1))</f>
        <v/>
      </c>
    </row>
    <row r="4453">
      <c r="A4453" s="92" t="n"/>
      <c r="B4453" s="55" t="n"/>
      <c r="C4453" s="55" t="n"/>
      <c r="D4453" s="55" t="n"/>
      <c r="E4453" s="93" t="n"/>
      <c r="F4453" s="94" t="n"/>
      <c r="G4453" s="94" t="n"/>
      <c r="H4453" s="94" t="n"/>
      <c r="I4453" s="94" t="n"/>
      <c r="J4453" s="55" t="n"/>
      <c r="K4453" s="95" t="n"/>
      <c r="L4453" s="116">
        <f>IF($A4453="","",DATE(YEAR($A4453),MONTH($A4453)+IF(AND(IFERROR(N(INDEX(Übersicht!$M$15:$M$22,MATCH($B4453,Übersicht!$A$15:$A$22,0))),0)&gt;1,DAY($A4453)&gt;=IFERROR(N(INDEX(Übersicht!$M$15:$M$22,MATCH($B4453,Übersicht!$A$15:$A$22,0))),0)),1,0),1))</f>
        <v/>
      </c>
    </row>
    <row r="4454">
      <c r="A4454" s="92" t="n"/>
      <c r="B4454" s="55" t="n"/>
      <c r="C4454" s="55" t="n"/>
      <c r="D4454" s="55" t="n"/>
      <c r="E4454" s="93" t="n"/>
      <c r="F4454" s="94" t="n"/>
      <c r="G4454" s="94" t="n"/>
      <c r="H4454" s="94" t="n"/>
      <c r="I4454" s="94" t="n"/>
      <c r="J4454" s="55" t="n"/>
      <c r="K4454" s="95" t="n"/>
      <c r="L4454" s="116">
        <f>IF($A4454="","",DATE(YEAR($A4454),MONTH($A4454)+IF(AND(IFERROR(N(INDEX(Übersicht!$M$15:$M$22,MATCH($B4454,Übersicht!$A$15:$A$22,0))),0)&gt;1,DAY($A4454)&gt;=IFERROR(N(INDEX(Übersicht!$M$15:$M$22,MATCH($B4454,Übersicht!$A$15:$A$22,0))),0)),1,0),1))</f>
        <v/>
      </c>
    </row>
    <row r="4455">
      <c r="A4455" s="92" t="n"/>
      <c r="B4455" s="55" t="n"/>
      <c r="C4455" s="55" t="n"/>
      <c r="D4455" s="55" t="n"/>
      <c r="E4455" s="93" t="n"/>
      <c r="F4455" s="94" t="n"/>
      <c r="G4455" s="94" t="n"/>
      <c r="H4455" s="94" t="n"/>
      <c r="I4455" s="94" t="n"/>
      <c r="J4455" s="55" t="n"/>
      <c r="K4455" s="95" t="n"/>
      <c r="L4455" s="116">
        <f>IF($A4455="","",DATE(YEAR($A4455),MONTH($A4455)+IF(AND(IFERROR(N(INDEX(Übersicht!$M$15:$M$22,MATCH($B4455,Übersicht!$A$15:$A$22,0))),0)&gt;1,DAY($A4455)&gt;=IFERROR(N(INDEX(Übersicht!$M$15:$M$22,MATCH($B4455,Übersicht!$A$15:$A$22,0))),0)),1,0),1))</f>
        <v/>
      </c>
    </row>
    <row r="4456">
      <c r="A4456" s="92" t="n"/>
      <c r="B4456" s="55" t="n"/>
      <c r="C4456" s="55" t="n"/>
      <c r="D4456" s="55" t="n"/>
      <c r="E4456" s="93" t="n"/>
      <c r="F4456" s="94" t="n"/>
      <c r="G4456" s="94" t="n"/>
      <c r="H4456" s="94" t="n"/>
      <c r="I4456" s="94" t="n"/>
      <c r="J4456" s="55" t="n"/>
      <c r="K4456" s="95" t="n"/>
      <c r="L4456" s="116">
        <f>IF($A4456="","",DATE(YEAR($A4456),MONTH($A4456)+IF(AND(IFERROR(N(INDEX(Übersicht!$M$15:$M$22,MATCH($B4456,Übersicht!$A$15:$A$22,0))),0)&gt;1,DAY($A4456)&gt;=IFERROR(N(INDEX(Übersicht!$M$15:$M$22,MATCH($B4456,Übersicht!$A$15:$A$22,0))),0)),1,0),1))</f>
        <v/>
      </c>
    </row>
    <row r="4457">
      <c r="A4457" s="92" t="n"/>
      <c r="B4457" s="55" t="n"/>
      <c r="C4457" s="55" t="n"/>
      <c r="D4457" s="55" t="n"/>
      <c r="E4457" s="93" t="n"/>
      <c r="F4457" s="94" t="n"/>
      <c r="G4457" s="94" t="n"/>
      <c r="H4457" s="94" t="n"/>
      <c r="I4457" s="94" t="n"/>
      <c r="J4457" s="55" t="n"/>
      <c r="K4457" s="95" t="n"/>
      <c r="L4457" s="116">
        <f>IF($A4457="","",DATE(YEAR($A4457),MONTH($A4457)+IF(AND(IFERROR(N(INDEX(Übersicht!$M$15:$M$22,MATCH($B4457,Übersicht!$A$15:$A$22,0))),0)&gt;1,DAY($A4457)&gt;=IFERROR(N(INDEX(Übersicht!$M$15:$M$22,MATCH($B4457,Übersicht!$A$15:$A$22,0))),0)),1,0),1))</f>
        <v/>
      </c>
    </row>
    <row r="4458">
      <c r="A4458" s="92" t="n"/>
      <c r="B4458" s="55" t="n"/>
      <c r="C4458" s="55" t="n"/>
      <c r="D4458" s="55" t="n"/>
      <c r="E4458" s="93" t="n"/>
      <c r="F4458" s="94" t="n"/>
      <c r="G4458" s="94" t="n"/>
      <c r="H4458" s="94" t="n"/>
      <c r="I4458" s="94" t="n"/>
      <c r="J4458" s="55" t="n"/>
      <c r="K4458" s="95" t="n"/>
      <c r="L4458" s="116">
        <f>IF($A4458="","",DATE(YEAR($A4458),MONTH($A4458)+IF(AND(IFERROR(N(INDEX(Übersicht!$M$15:$M$22,MATCH($B4458,Übersicht!$A$15:$A$22,0))),0)&gt;1,DAY($A4458)&gt;=IFERROR(N(INDEX(Übersicht!$M$15:$M$22,MATCH($B4458,Übersicht!$A$15:$A$22,0))),0)),1,0),1))</f>
        <v/>
      </c>
    </row>
    <row r="4459">
      <c r="A4459" s="92" t="n"/>
      <c r="B4459" s="55" t="n"/>
      <c r="C4459" s="55" t="n"/>
      <c r="D4459" s="55" t="n"/>
      <c r="E4459" s="93" t="n"/>
      <c r="F4459" s="94" t="n"/>
      <c r="G4459" s="94" t="n"/>
      <c r="H4459" s="94" t="n"/>
      <c r="I4459" s="94" t="n"/>
      <c r="J4459" s="55" t="n"/>
      <c r="K4459" s="95" t="n"/>
      <c r="L4459" s="116">
        <f>IF($A4459="","",DATE(YEAR($A4459),MONTH($A4459)+IF(AND(IFERROR(N(INDEX(Übersicht!$M$15:$M$22,MATCH($B4459,Übersicht!$A$15:$A$22,0))),0)&gt;1,DAY($A4459)&gt;=IFERROR(N(INDEX(Übersicht!$M$15:$M$22,MATCH($B4459,Übersicht!$A$15:$A$22,0))),0)),1,0),1))</f>
        <v/>
      </c>
    </row>
    <row r="4460">
      <c r="A4460" s="92" t="n"/>
      <c r="B4460" s="55" t="n"/>
      <c r="C4460" s="55" t="n"/>
      <c r="D4460" s="55" t="n"/>
      <c r="E4460" s="93" t="n"/>
      <c r="F4460" s="94" t="n"/>
      <c r="G4460" s="94" t="n"/>
      <c r="H4460" s="94" t="n"/>
      <c r="I4460" s="94" t="n"/>
      <c r="J4460" s="55" t="n"/>
      <c r="K4460" s="95" t="n"/>
      <c r="L4460" s="116">
        <f>IF($A4460="","",DATE(YEAR($A4460),MONTH($A4460)+IF(AND(IFERROR(N(INDEX(Übersicht!$M$15:$M$22,MATCH($B4460,Übersicht!$A$15:$A$22,0))),0)&gt;1,DAY($A4460)&gt;=IFERROR(N(INDEX(Übersicht!$M$15:$M$22,MATCH($B4460,Übersicht!$A$15:$A$22,0))),0)),1,0),1))</f>
        <v/>
      </c>
    </row>
    <row r="4461">
      <c r="A4461" s="92" t="n"/>
      <c r="B4461" s="55" t="n"/>
      <c r="C4461" s="55" t="n"/>
      <c r="D4461" s="55" t="n"/>
      <c r="E4461" s="93" t="n"/>
      <c r="F4461" s="94" t="n"/>
      <c r="G4461" s="94" t="n"/>
      <c r="H4461" s="94" t="n"/>
      <c r="I4461" s="94" t="n"/>
      <c r="J4461" s="55" t="n"/>
      <c r="K4461" s="95" t="n"/>
      <c r="L4461" s="116">
        <f>IF($A4461="","",DATE(YEAR($A4461),MONTH($A4461)+IF(AND(IFERROR(N(INDEX(Übersicht!$M$15:$M$22,MATCH($B4461,Übersicht!$A$15:$A$22,0))),0)&gt;1,DAY($A4461)&gt;=IFERROR(N(INDEX(Übersicht!$M$15:$M$22,MATCH($B4461,Übersicht!$A$15:$A$22,0))),0)),1,0),1))</f>
        <v/>
      </c>
    </row>
    <row r="4462">
      <c r="A4462" s="92" t="n"/>
      <c r="B4462" s="55" t="n"/>
      <c r="C4462" s="55" t="n"/>
      <c r="D4462" s="55" t="n"/>
      <c r="E4462" s="93" t="n"/>
      <c r="F4462" s="94" t="n"/>
      <c r="G4462" s="94" t="n"/>
      <c r="H4462" s="94" t="n"/>
      <c r="I4462" s="94" t="n"/>
      <c r="J4462" s="55" t="n"/>
      <c r="K4462" s="95" t="n"/>
      <c r="L4462" s="116">
        <f>IF($A4462="","",DATE(YEAR($A4462),MONTH($A4462)+IF(AND(IFERROR(N(INDEX(Übersicht!$M$15:$M$22,MATCH($B4462,Übersicht!$A$15:$A$22,0))),0)&gt;1,DAY($A4462)&gt;=IFERROR(N(INDEX(Übersicht!$M$15:$M$22,MATCH($B4462,Übersicht!$A$15:$A$22,0))),0)),1,0),1))</f>
        <v/>
      </c>
    </row>
    <row r="4463">
      <c r="A4463" s="92" t="n"/>
      <c r="B4463" s="55" t="n"/>
      <c r="C4463" s="55" t="n"/>
      <c r="D4463" s="55" t="n"/>
      <c r="E4463" s="93" t="n"/>
      <c r="F4463" s="94" t="n"/>
      <c r="G4463" s="94" t="n"/>
      <c r="H4463" s="94" t="n"/>
      <c r="I4463" s="94" t="n"/>
      <c r="J4463" s="55" t="n"/>
      <c r="K4463" s="95" t="n"/>
      <c r="L4463" s="116">
        <f>IF($A4463="","",DATE(YEAR($A4463),MONTH($A4463)+IF(AND(IFERROR(N(INDEX(Übersicht!$M$15:$M$22,MATCH($B4463,Übersicht!$A$15:$A$22,0))),0)&gt;1,DAY($A4463)&gt;=IFERROR(N(INDEX(Übersicht!$M$15:$M$22,MATCH($B4463,Übersicht!$A$15:$A$22,0))),0)),1,0),1))</f>
        <v/>
      </c>
    </row>
    <row r="4464">
      <c r="A4464" s="92" t="n"/>
      <c r="B4464" s="55" t="n"/>
      <c r="C4464" s="55" t="n"/>
      <c r="D4464" s="55" t="n"/>
      <c r="E4464" s="93" t="n"/>
      <c r="F4464" s="94" t="n"/>
      <c r="G4464" s="94" t="n"/>
      <c r="H4464" s="94" t="n"/>
      <c r="I4464" s="94" t="n"/>
      <c r="J4464" s="55" t="n"/>
      <c r="K4464" s="95" t="n"/>
      <c r="L4464" s="116">
        <f>IF($A4464="","",DATE(YEAR($A4464),MONTH($A4464)+IF(AND(IFERROR(N(INDEX(Übersicht!$M$15:$M$22,MATCH($B4464,Übersicht!$A$15:$A$22,0))),0)&gt;1,DAY($A4464)&gt;=IFERROR(N(INDEX(Übersicht!$M$15:$M$22,MATCH($B4464,Übersicht!$A$15:$A$22,0))),0)),1,0),1))</f>
        <v/>
      </c>
    </row>
    <row r="4465">
      <c r="A4465" s="92" t="n"/>
      <c r="B4465" s="55" t="n"/>
      <c r="C4465" s="55" t="n"/>
      <c r="D4465" s="55" t="n"/>
      <c r="E4465" s="93" t="n"/>
      <c r="F4465" s="94" t="n"/>
      <c r="G4465" s="94" t="n"/>
      <c r="H4465" s="94" t="n"/>
      <c r="I4465" s="94" t="n"/>
      <c r="J4465" s="55" t="n"/>
      <c r="K4465" s="95" t="n"/>
      <c r="L4465" s="116">
        <f>IF($A4465="","",DATE(YEAR($A4465),MONTH($A4465)+IF(AND(IFERROR(N(INDEX(Übersicht!$M$15:$M$22,MATCH($B4465,Übersicht!$A$15:$A$22,0))),0)&gt;1,DAY($A4465)&gt;=IFERROR(N(INDEX(Übersicht!$M$15:$M$22,MATCH($B4465,Übersicht!$A$15:$A$22,0))),0)),1,0),1))</f>
        <v/>
      </c>
    </row>
    <row r="4466">
      <c r="A4466" s="92" t="n"/>
      <c r="B4466" s="55" t="n"/>
      <c r="C4466" s="55" t="n"/>
      <c r="D4466" s="55" t="n"/>
      <c r="E4466" s="93" t="n"/>
      <c r="F4466" s="94" t="n"/>
      <c r="G4466" s="94" t="n"/>
      <c r="H4466" s="94" t="n"/>
      <c r="I4466" s="94" t="n"/>
      <c r="J4466" s="55" t="n"/>
      <c r="K4466" s="95" t="n"/>
      <c r="L4466" s="116">
        <f>IF($A4466="","",DATE(YEAR($A4466),MONTH($A4466)+IF(AND(IFERROR(N(INDEX(Übersicht!$M$15:$M$22,MATCH($B4466,Übersicht!$A$15:$A$22,0))),0)&gt;1,DAY($A4466)&gt;=IFERROR(N(INDEX(Übersicht!$M$15:$M$22,MATCH($B4466,Übersicht!$A$15:$A$22,0))),0)),1,0),1))</f>
        <v/>
      </c>
    </row>
    <row r="4467">
      <c r="A4467" s="92" t="n"/>
      <c r="B4467" s="55" t="n"/>
      <c r="C4467" s="55" t="n"/>
      <c r="D4467" s="55" t="n"/>
      <c r="E4467" s="93" t="n"/>
      <c r="F4467" s="94" t="n"/>
      <c r="G4467" s="94" t="n"/>
      <c r="H4467" s="94" t="n"/>
      <c r="I4467" s="94" t="n"/>
      <c r="J4467" s="55" t="n"/>
      <c r="K4467" s="95" t="n"/>
      <c r="L4467" s="116">
        <f>IF($A4467="","",DATE(YEAR($A4467),MONTH($A4467)+IF(AND(IFERROR(N(INDEX(Übersicht!$M$15:$M$22,MATCH($B4467,Übersicht!$A$15:$A$22,0))),0)&gt;1,DAY($A4467)&gt;=IFERROR(N(INDEX(Übersicht!$M$15:$M$22,MATCH($B4467,Übersicht!$A$15:$A$22,0))),0)),1,0),1))</f>
        <v/>
      </c>
    </row>
    <row r="4468">
      <c r="A4468" s="92" t="n"/>
      <c r="B4468" s="55" t="n"/>
      <c r="C4468" s="55" t="n"/>
      <c r="D4468" s="55" t="n"/>
      <c r="E4468" s="93" t="n"/>
      <c r="F4468" s="94" t="n"/>
      <c r="G4468" s="94" t="n"/>
      <c r="H4468" s="94" t="n"/>
      <c r="I4468" s="94" t="n"/>
      <c r="J4468" s="55" t="n"/>
      <c r="K4468" s="95" t="n"/>
      <c r="L4468" s="116">
        <f>IF($A4468="","",DATE(YEAR($A4468),MONTH($A4468)+IF(AND(IFERROR(N(INDEX(Übersicht!$M$15:$M$22,MATCH($B4468,Übersicht!$A$15:$A$22,0))),0)&gt;1,DAY($A4468)&gt;=IFERROR(N(INDEX(Übersicht!$M$15:$M$22,MATCH($B4468,Übersicht!$A$15:$A$22,0))),0)),1,0),1))</f>
        <v/>
      </c>
    </row>
    <row r="4469">
      <c r="A4469" s="92" t="n"/>
      <c r="B4469" s="55" t="n"/>
      <c r="C4469" s="55" t="n"/>
      <c r="D4469" s="55" t="n"/>
      <c r="E4469" s="93" t="n"/>
      <c r="F4469" s="94" t="n"/>
      <c r="G4469" s="94" t="n"/>
      <c r="H4469" s="94" t="n"/>
      <c r="I4469" s="94" t="n"/>
      <c r="J4469" s="55" t="n"/>
      <c r="K4469" s="95" t="n"/>
      <c r="L4469" s="116">
        <f>IF($A4469="","",DATE(YEAR($A4469),MONTH($A4469)+IF(AND(IFERROR(N(INDEX(Übersicht!$M$15:$M$22,MATCH($B4469,Übersicht!$A$15:$A$22,0))),0)&gt;1,DAY($A4469)&gt;=IFERROR(N(INDEX(Übersicht!$M$15:$M$22,MATCH($B4469,Übersicht!$A$15:$A$22,0))),0)),1,0),1))</f>
        <v/>
      </c>
    </row>
    <row r="4470">
      <c r="A4470" s="92" t="n"/>
      <c r="B4470" s="55" t="n"/>
      <c r="C4470" s="55" t="n"/>
      <c r="D4470" s="55" t="n"/>
      <c r="E4470" s="93" t="n"/>
      <c r="F4470" s="94" t="n"/>
      <c r="G4470" s="94" t="n"/>
      <c r="H4470" s="94" t="n"/>
      <c r="I4470" s="94" t="n"/>
      <c r="J4470" s="55" t="n"/>
      <c r="K4470" s="95" t="n"/>
      <c r="L4470" s="116">
        <f>IF($A4470="","",DATE(YEAR($A4470),MONTH($A4470)+IF(AND(IFERROR(N(INDEX(Übersicht!$M$15:$M$22,MATCH($B4470,Übersicht!$A$15:$A$22,0))),0)&gt;1,DAY($A4470)&gt;=IFERROR(N(INDEX(Übersicht!$M$15:$M$22,MATCH($B4470,Übersicht!$A$15:$A$22,0))),0)),1,0),1))</f>
        <v/>
      </c>
    </row>
    <row r="4471">
      <c r="A4471" s="92" t="n"/>
      <c r="B4471" s="55" t="n"/>
      <c r="C4471" s="55" t="n"/>
      <c r="D4471" s="55" t="n"/>
      <c r="E4471" s="93" t="n"/>
      <c r="F4471" s="94" t="n"/>
      <c r="G4471" s="94" t="n"/>
      <c r="H4471" s="94" t="n"/>
      <c r="I4471" s="94" t="n"/>
      <c r="J4471" s="55" t="n"/>
      <c r="K4471" s="95" t="n"/>
      <c r="L4471" s="116">
        <f>IF($A4471="","",DATE(YEAR($A4471),MONTH($A4471)+IF(AND(IFERROR(N(INDEX(Übersicht!$M$15:$M$22,MATCH($B4471,Übersicht!$A$15:$A$22,0))),0)&gt;1,DAY($A4471)&gt;=IFERROR(N(INDEX(Übersicht!$M$15:$M$22,MATCH($B4471,Übersicht!$A$15:$A$22,0))),0)),1,0),1))</f>
        <v/>
      </c>
    </row>
    <row r="4472">
      <c r="A4472" s="92" t="n"/>
      <c r="B4472" s="55" t="n"/>
      <c r="C4472" s="55" t="n"/>
      <c r="D4472" s="55" t="n"/>
      <c r="E4472" s="93" t="n"/>
      <c r="F4472" s="94" t="n"/>
      <c r="G4472" s="94" t="n"/>
      <c r="H4472" s="94" t="n"/>
      <c r="I4472" s="94" t="n"/>
      <c r="J4472" s="55" t="n"/>
      <c r="K4472" s="95" t="n"/>
      <c r="L4472" s="116">
        <f>IF($A4472="","",DATE(YEAR($A4472),MONTH($A4472)+IF(AND(IFERROR(N(INDEX(Übersicht!$M$15:$M$22,MATCH($B4472,Übersicht!$A$15:$A$22,0))),0)&gt;1,DAY($A4472)&gt;=IFERROR(N(INDEX(Übersicht!$M$15:$M$22,MATCH($B4472,Übersicht!$A$15:$A$22,0))),0)),1,0),1))</f>
        <v/>
      </c>
    </row>
    <row r="4473">
      <c r="A4473" s="92" t="n"/>
      <c r="B4473" s="55" t="n"/>
      <c r="C4473" s="55" t="n"/>
      <c r="D4473" s="55" t="n"/>
      <c r="E4473" s="93" t="n"/>
      <c r="F4473" s="94" t="n"/>
      <c r="G4473" s="94" t="n"/>
      <c r="H4473" s="94" t="n"/>
      <c r="I4473" s="94" t="n"/>
      <c r="J4473" s="55" t="n"/>
      <c r="K4473" s="95" t="n"/>
      <c r="L4473" s="116">
        <f>IF($A4473="","",DATE(YEAR($A4473),MONTH($A4473)+IF(AND(IFERROR(N(INDEX(Übersicht!$M$15:$M$22,MATCH($B4473,Übersicht!$A$15:$A$22,0))),0)&gt;1,DAY($A4473)&gt;=IFERROR(N(INDEX(Übersicht!$M$15:$M$22,MATCH($B4473,Übersicht!$A$15:$A$22,0))),0)),1,0),1))</f>
        <v/>
      </c>
    </row>
    <row r="4474">
      <c r="A4474" s="92" t="n"/>
      <c r="B4474" s="55" t="n"/>
      <c r="C4474" s="55" t="n"/>
      <c r="D4474" s="55" t="n"/>
      <c r="E4474" s="93" t="n"/>
      <c r="F4474" s="94" t="n"/>
      <c r="G4474" s="94" t="n"/>
      <c r="H4474" s="94" t="n"/>
      <c r="I4474" s="94" t="n"/>
      <c r="J4474" s="55" t="n"/>
      <c r="K4474" s="95" t="n"/>
      <c r="L4474" s="116">
        <f>IF($A4474="","",DATE(YEAR($A4474),MONTH($A4474)+IF(AND(IFERROR(N(INDEX(Übersicht!$M$15:$M$22,MATCH($B4474,Übersicht!$A$15:$A$22,0))),0)&gt;1,DAY($A4474)&gt;=IFERROR(N(INDEX(Übersicht!$M$15:$M$22,MATCH($B4474,Übersicht!$A$15:$A$22,0))),0)),1,0),1))</f>
        <v/>
      </c>
    </row>
    <row r="4475">
      <c r="A4475" s="92" t="n"/>
      <c r="B4475" s="55" t="n"/>
      <c r="C4475" s="55" t="n"/>
      <c r="D4475" s="55" t="n"/>
      <c r="E4475" s="93" t="n"/>
      <c r="F4475" s="94" t="n"/>
      <c r="G4475" s="94" t="n"/>
      <c r="H4475" s="94" t="n"/>
      <c r="I4475" s="94" t="n"/>
      <c r="J4475" s="55" t="n"/>
      <c r="K4475" s="95" t="n"/>
      <c r="L4475" s="116">
        <f>IF($A4475="","",DATE(YEAR($A4475),MONTH($A4475)+IF(AND(IFERROR(N(INDEX(Übersicht!$M$15:$M$22,MATCH($B4475,Übersicht!$A$15:$A$22,0))),0)&gt;1,DAY($A4475)&gt;=IFERROR(N(INDEX(Übersicht!$M$15:$M$22,MATCH($B4475,Übersicht!$A$15:$A$22,0))),0)),1,0),1))</f>
        <v/>
      </c>
    </row>
    <row r="4476">
      <c r="A4476" s="92" t="n"/>
      <c r="B4476" s="55" t="n"/>
      <c r="C4476" s="55" t="n"/>
      <c r="D4476" s="55" t="n"/>
      <c r="E4476" s="93" t="n"/>
      <c r="F4476" s="94" t="n"/>
      <c r="G4476" s="94" t="n"/>
      <c r="H4476" s="94" t="n"/>
      <c r="I4476" s="94" t="n"/>
      <c r="J4476" s="55" t="n"/>
      <c r="K4476" s="95" t="n"/>
      <c r="L4476" s="116">
        <f>IF($A4476="","",DATE(YEAR($A4476),MONTH($A4476)+IF(AND(IFERROR(N(INDEX(Übersicht!$M$15:$M$22,MATCH($B4476,Übersicht!$A$15:$A$22,0))),0)&gt;1,DAY($A4476)&gt;=IFERROR(N(INDEX(Übersicht!$M$15:$M$22,MATCH($B4476,Übersicht!$A$15:$A$22,0))),0)),1,0),1))</f>
        <v/>
      </c>
    </row>
    <row r="4477">
      <c r="A4477" s="92" t="n"/>
      <c r="B4477" s="55" t="n"/>
      <c r="C4477" s="55" t="n"/>
      <c r="D4477" s="55" t="n"/>
      <c r="E4477" s="93" t="n"/>
      <c r="F4477" s="94" t="n"/>
      <c r="G4477" s="94" t="n"/>
      <c r="H4477" s="94" t="n"/>
      <c r="I4477" s="94" t="n"/>
      <c r="J4477" s="55" t="n"/>
      <c r="K4477" s="95" t="n"/>
      <c r="L4477" s="116">
        <f>IF($A4477="","",DATE(YEAR($A4477),MONTH($A4477)+IF(AND(IFERROR(N(INDEX(Übersicht!$M$15:$M$22,MATCH($B4477,Übersicht!$A$15:$A$22,0))),0)&gt;1,DAY($A4477)&gt;=IFERROR(N(INDEX(Übersicht!$M$15:$M$22,MATCH($B4477,Übersicht!$A$15:$A$22,0))),0)),1,0),1))</f>
        <v/>
      </c>
    </row>
    <row r="4478">
      <c r="A4478" s="92" t="n"/>
      <c r="B4478" s="55" t="n"/>
      <c r="C4478" s="55" t="n"/>
      <c r="D4478" s="55" t="n"/>
      <c r="E4478" s="93" t="n"/>
      <c r="F4478" s="94" t="n"/>
      <c r="G4478" s="94" t="n"/>
      <c r="H4478" s="94" t="n"/>
      <c r="I4478" s="94" t="n"/>
      <c r="J4478" s="55" t="n"/>
      <c r="K4478" s="95" t="n"/>
      <c r="L4478" s="116">
        <f>IF($A4478="","",DATE(YEAR($A4478),MONTH($A4478)+IF(AND(IFERROR(N(INDEX(Übersicht!$M$15:$M$22,MATCH($B4478,Übersicht!$A$15:$A$22,0))),0)&gt;1,DAY($A4478)&gt;=IFERROR(N(INDEX(Übersicht!$M$15:$M$22,MATCH($B4478,Übersicht!$A$15:$A$22,0))),0)),1,0),1))</f>
        <v/>
      </c>
    </row>
    <row r="4479">
      <c r="A4479" s="92" t="n"/>
      <c r="B4479" s="55" t="n"/>
      <c r="C4479" s="55" t="n"/>
      <c r="D4479" s="55" t="n"/>
      <c r="E4479" s="93" t="n"/>
      <c r="F4479" s="94" t="n"/>
      <c r="G4479" s="94" t="n"/>
      <c r="H4479" s="94" t="n"/>
      <c r="I4479" s="94" t="n"/>
      <c r="J4479" s="55" t="n"/>
      <c r="K4479" s="95" t="n"/>
      <c r="L4479" s="116">
        <f>IF($A4479="","",DATE(YEAR($A4479),MONTH($A4479)+IF(AND(IFERROR(N(INDEX(Übersicht!$M$15:$M$22,MATCH($B4479,Übersicht!$A$15:$A$22,0))),0)&gt;1,DAY($A4479)&gt;=IFERROR(N(INDEX(Übersicht!$M$15:$M$22,MATCH($B4479,Übersicht!$A$15:$A$22,0))),0)),1,0),1))</f>
        <v/>
      </c>
    </row>
    <row r="4480">
      <c r="A4480" s="92" t="n"/>
      <c r="B4480" s="55" t="n"/>
      <c r="C4480" s="55" t="n"/>
      <c r="D4480" s="55" t="n"/>
      <c r="E4480" s="93" t="n"/>
      <c r="F4480" s="94" t="n"/>
      <c r="G4480" s="94" t="n"/>
      <c r="H4480" s="94" t="n"/>
      <c r="I4480" s="94" t="n"/>
      <c r="J4480" s="55" t="n"/>
      <c r="K4480" s="95" t="n"/>
      <c r="L4480" s="116">
        <f>IF($A4480="","",DATE(YEAR($A4480),MONTH($A4480)+IF(AND(IFERROR(N(INDEX(Übersicht!$M$15:$M$22,MATCH($B4480,Übersicht!$A$15:$A$22,0))),0)&gt;1,DAY($A4480)&gt;=IFERROR(N(INDEX(Übersicht!$M$15:$M$22,MATCH($B4480,Übersicht!$A$15:$A$22,0))),0)),1,0),1))</f>
        <v/>
      </c>
    </row>
    <row r="4481">
      <c r="A4481" s="92" t="n"/>
      <c r="B4481" s="55" t="n"/>
      <c r="C4481" s="55" t="n"/>
      <c r="D4481" s="55" t="n"/>
      <c r="E4481" s="93" t="n"/>
      <c r="F4481" s="94" t="n"/>
      <c r="G4481" s="94" t="n"/>
      <c r="H4481" s="94" t="n"/>
      <c r="I4481" s="94" t="n"/>
      <c r="J4481" s="55" t="n"/>
      <c r="K4481" s="95" t="n"/>
      <c r="L4481" s="116">
        <f>IF($A4481="","",DATE(YEAR($A4481),MONTH($A4481)+IF(AND(IFERROR(N(INDEX(Übersicht!$M$15:$M$22,MATCH($B4481,Übersicht!$A$15:$A$22,0))),0)&gt;1,DAY($A4481)&gt;=IFERROR(N(INDEX(Übersicht!$M$15:$M$22,MATCH($B4481,Übersicht!$A$15:$A$22,0))),0)),1,0),1))</f>
        <v/>
      </c>
    </row>
    <row r="4482">
      <c r="A4482" s="92" t="n"/>
      <c r="B4482" s="55" t="n"/>
      <c r="C4482" s="55" t="n"/>
      <c r="D4482" s="55" t="n"/>
      <c r="E4482" s="93" t="n"/>
      <c r="F4482" s="94" t="n"/>
      <c r="G4482" s="94" t="n"/>
      <c r="H4482" s="94" t="n"/>
      <c r="I4482" s="94" t="n"/>
      <c r="J4482" s="55" t="n"/>
      <c r="K4482" s="95" t="n"/>
      <c r="L4482" s="116">
        <f>IF($A4482="","",DATE(YEAR($A4482),MONTH($A4482)+IF(AND(IFERROR(N(INDEX(Übersicht!$M$15:$M$22,MATCH($B4482,Übersicht!$A$15:$A$22,0))),0)&gt;1,DAY($A4482)&gt;=IFERROR(N(INDEX(Übersicht!$M$15:$M$22,MATCH($B4482,Übersicht!$A$15:$A$22,0))),0)),1,0),1))</f>
        <v/>
      </c>
    </row>
    <row r="4483">
      <c r="A4483" s="92" t="n"/>
      <c r="B4483" s="55" t="n"/>
      <c r="C4483" s="55" t="n"/>
      <c r="D4483" s="55" t="n"/>
      <c r="E4483" s="93" t="n"/>
      <c r="F4483" s="94" t="n"/>
      <c r="G4483" s="94" t="n"/>
      <c r="H4483" s="94" t="n"/>
      <c r="I4483" s="94" t="n"/>
      <c r="J4483" s="55" t="n"/>
      <c r="K4483" s="95" t="n"/>
      <c r="L4483" s="116">
        <f>IF($A4483="","",DATE(YEAR($A4483),MONTH($A4483)+IF(AND(IFERROR(N(INDEX(Übersicht!$M$15:$M$22,MATCH($B4483,Übersicht!$A$15:$A$22,0))),0)&gt;1,DAY($A4483)&gt;=IFERROR(N(INDEX(Übersicht!$M$15:$M$22,MATCH($B4483,Übersicht!$A$15:$A$22,0))),0)),1,0),1))</f>
        <v/>
      </c>
    </row>
    <row r="4484">
      <c r="A4484" s="92" t="n"/>
      <c r="B4484" s="55" t="n"/>
      <c r="C4484" s="55" t="n"/>
      <c r="D4484" s="55" t="n"/>
      <c r="E4484" s="93" t="n"/>
      <c r="F4484" s="94" t="n"/>
      <c r="G4484" s="94" t="n"/>
      <c r="H4484" s="94" t="n"/>
      <c r="I4484" s="94" t="n"/>
      <c r="J4484" s="55" t="n"/>
      <c r="K4484" s="95" t="n"/>
      <c r="L4484" s="116">
        <f>IF($A4484="","",DATE(YEAR($A4484),MONTH($A4484)+IF(AND(IFERROR(N(INDEX(Übersicht!$M$15:$M$22,MATCH($B4484,Übersicht!$A$15:$A$22,0))),0)&gt;1,DAY($A4484)&gt;=IFERROR(N(INDEX(Übersicht!$M$15:$M$22,MATCH($B4484,Übersicht!$A$15:$A$22,0))),0)),1,0),1))</f>
        <v/>
      </c>
    </row>
    <row r="4485">
      <c r="A4485" s="92" t="n"/>
      <c r="B4485" s="55" t="n"/>
      <c r="C4485" s="55" t="n"/>
      <c r="D4485" s="55" t="n"/>
      <c r="E4485" s="93" t="n"/>
      <c r="F4485" s="94" t="n"/>
      <c r="G4485" s="94" t="n"/>
      <c r="H4485" s="94" t="n"/>
      <c r="I4485" s="94" t="n"/>
      <c r="J4485" s="55" t="n"/>
      <c r="K4485" s="95" t="n"/>
      <c r="L4485" s="116">
        <f>IF($A4485="","",DATE(YEAR($A4485),MONTH($A4485)+IF(AND(IFERROR(N(INDEX(Übersicht!$M$15:$M$22,MATCH($B4485,Übersicht!$A$15:$A$22,0))),0)&gt;1,DAY($A4485)&gt;=IFERROR(N(INDEX(Übersicht!$M$15:$M$22,MATCH($B4485,Übersicht!$A$15:$A$22,0))),0)),1,0),1))</f>
        <v/>
      </c>
    </row>
    <row r="4486">
      <c r="A4486" s="92" t="n"/>
      <c r="B4486" s="55" t="n"/>
      <c r="C4486" s="55" t="n"/>
      <c r="D4486" s="55" t="n"/>
      <c r="E4486" s="93" t="n"/>
      <c r="F4486" s="94" t="n"/>
      <c r="G4486" s="94" t="n"/>
      <c r="H4486" s="94" t="n"/>
      <c r="I4486" s="94" t="n"/>
      <c r="J4486" s="55" t="n"/>
      <c r="K4486" s="95" t="n"/>
      <c r="L4486" s="116">
        <f>IF($A4486="","",DATE(YEAR($A4486),MONTH($A4486)+IF(AND(IFERROR(N(INDEX(Übersicht!$M$15:$M$22,MATCH($B4486,Übersicht!$A$15:$A$22,0))),0)&gt;1,DAY($A4486)&gt;=IFERROR(N(INDEX(Übersicht!$M$15:$M$22,MATCH($B4486,Übersicht!$A$15:$A$22,0))),0)),1,0),1))</f>
        <v/>
      </c>
    </row>
    <row r="4487">
      <c r="A4487" s="92" t="n"/>
      <c r="B4487" s="55" t="n"/>
      <c r="C4487" s="55" t="n"/>
      <c r="D4487" s="55" t="n"/>
      <c r="E4487" s="93" t="n"/>
      <c r="F4487" s="94" t="n"/>
      <c r="G4487" s="94" t="n"/>
      <c r="H4487" s="94" t="n"/>
      <c r="I4487" s="94" t="n"/>
      <c r="J4487" s="55" t="n"/>
      <c r="K4487" s="95" t="n"/>
      <c r="L4487" s="116">
        <f>IF($A4487="","",DATE(YEAR($A4487),MONTH($A4487)+IF(AND(IFERROR(N(INDEX(Übersicht!$M$15:$M$22,MATCH($B4487,Übersicht!$A$15:$A$22,0))),0)&gt;1,DAY($A4487)&gt;=IFERROR(N(INDEX(Übersicht!$M$15:$M$22,MATCH($B4487,Übersicht!$A$15:$A$22,0))),0)),1,0),1))</f>
        <v/>
      </c>
    </row>
    <row r="4488">
      <c r="A4488" s="92" t="n"/>
      <c r="B4488" s="55" t="n"/>
      <c r="C4488" s="55" t="n"/>
      <c r="D4488" s="55" t="n"/>
      <c r="E4488" s="93" t="n"/>
      <c r="F4488" s="94" t="n"/>
      <c r="G4488" s="94" t="n"/>
      <c r="H4488" s="94" t="n"/>
      <c r="I4488" s="94" t="n"/>
      <c r="J4488" s="55" t="n"/>
      <c r="K4488" s="95" t="n"/>
      <c r="L4488" s="116">
        <f>IF($A4488="","",DATE(YEAR($A4488),MONTH($A4488)+IF(AND(IFERROR(N(INDEX(Übersicht!$M$15:$M$22,MATCH($B4488,Übersicht!$A$15:$A$22,0))),0)&gt;1,DAY($A4488)&gt;=IFERROR(N(INDEX(Übersicht!$M$15:$M$22,MATCH($B4488,Übersicht!$A$15:$A$22,0))),0)),1,0),1))</f>
        <v/>
      </c>
    </row>
    <row r="4489">
      <c r="A4489" s="92" t="n"/>
      <c r="B4489" s="55" t="n"/>
      <c r="C4489" s="55" t="n"/>
      <c r="D4489" s="55" t="n"/>
      <c r="E4489" s="93" t="n"/>
      <c r="F4489" s="94" t="n"/>
      <c r="G4489" s="94" t="n"/>
      <c r="H4489" s="94" t="n"/>
      <c r="I4489" s="94" t="n"/>
      <c r="J4489" s="55" t="n"/>
      <c r="K4489" s="95" t="n"/>
      <c r="L4489" s="116">
        <f>IF($A4489="","",DATE(YEAR($A4489),MONTH($A4489)+IF(AND(IFERROR(N(INDEX(Übersicht!$M$15:$M$22,MATCH($B4489,Übersicht!$A$15:$A$22,0))),0)&gt;1,DAY($A4489)&gt;=IFERROR(N(INDEX(Übersicht!$M$15:$M$22,MATCH($B4489,Übersicht!$A$15:$A$22,0))),0)),1,0),1))</f>
        <v/>
      </c>
    </row>
    <row r="4490">
      <c r="A4490" s="92" t="n"/>
      <c r="B4490" s="55" t="n"/>
      <c r="C4490" s="55" t="n"/>
      <c r="D4490" s="55" t="n"/>
      <c r="E4490" s="93" t="n"/>
      <c r="F4490" s="94" t="n"/>
      <c r="G4490" s="94" t="n"/>
      <c r="H4490" s="94" t="n"/>
      <c r="I4490" s="94" t="n"/>
      <c r="J4490" s="55" t="n"/>
      <c r="K4490" s="95" t="n"/>
      <c r="L4490" s="116">
        <f>IF($A4490="","",DATE(YEAR($A4490),MONTH($A4490)+IF(AND(IFERROR(N(INDEX(Übersicht!$M$15:$M$22,MATCH($B4490,Übersicht!$A$15:$A$22,0))),0)&gt;1,DAY($A4490)&gt;=IFERROR(N(INDEX(Übersicht!$M$15:$M$22,MATCH($B4490,Übersicht!$A$15:$A$22,0))),0)),1,0),1))</f>
        <v/>
      </c>
    </row>
    <row r="4491">
      <c r="A4491" s="92" t="n"/>
      <c r="B4491" s="55" t="n"/>
      <c r="C4491" s="55" t="n"/>
      <c r="D4491" s="55" t="n"/>
      <c r="E4491" s="93" t="n"/>
      <c r="F4491" s="94" t="n"/>
      <c r="G4491" s="94" t="n"/>
      <c r="H4491" s="94" t="n"/>
      <c r="I4491" s="94" t="n"/>
      <c r="J4491" s="55" t="n"/>
      <c r="K4491" s="95" t="n"/>
      <c r="L4491" s="116">
        <f>IF($A4491="","",DATE(YEAR($A4491),MONTH($A4491)+IF(AND(IFERROR(N(INDEX(Übersicht!$M$15:$M$22,MATCH($B4491,Übersicht!$A$15:$A$22,0))),0)&gt;1,DAY($A4491)&gt;=IFERROR(N(INDEX(Übersicht!$M$15:$M$22,MATCH($B4491,Übersicht!$A$15:$A$22,0))),0)),1,0),1))</f>
        <v/>
      </c>
    </row>
    <row r="4492">
      <c r="A4492" s="92" t="n"/>
      <c r="B4492" s="55" t="n"/>
      <c r="C4492" s="55" t="n"/>
      <c r="D4492" s="55" t="n"/>
      <c r="E4492" s="93" t="n"/>
      <c r="F4492" s="94" t="n"/>
      <c r="G4492" s="94" t="n"/>
      <c r="H4492" s="94" t="n"/>
      <c r="I4492" s="94" t="n"/>
      <c r="J4492" s="55" t="n"/>
      <c r="K4492" s="95" t="n"/>
      <c r="L4492" s="116">
        <f>IF($A4492="","",DATE(YEAR($A4492),MONTH($A4492)+IF(AND(IFERROR(N(INDEX(Übersicht!$M$15:$M$22,MATCH($B4492,Übersicht!$A$15:$A$22,0))),0)&gt;1,DAY($A4492)&gt;=IFERROR(N(INDEX(Übersicht!$M$15:$M$22,MATCH($B4492,Übersicht!$A$15:$A$22,0))),0)),1,0),1))</f>
        <v/>
      </c>
    </row>
    <row r="4493">
      <c r="A4493" s="92" t="n"/>
      <c r="B4493" s="55" t="n"/>
      <c r="C4493" s="55" t="n"/>
      <c r="D4493" s="55" t="n"/>
      <c r="E4493" s="93" t="n"/>
      <c r="F4493" s="94" t="n"/>
      <c r="G4493" s="94" t="n"/>
      <c r="H4493" s="94" t="n"/>
      <c r="I4493" s="94" t="n"/>
      <c r="J4493" s="55" t="n"/>
      <c r="K4493" s="95" t="n"/>
      <c r="L4493" s="116">
        <f>IF($A4493="","",DATE(YEAR($A4493),MONTH($A4493)+IF(AND(IFERROR(N(INDEX(Übersicht!$M$15:$M$22,MATCH($B4493,Übersicht!$A$15:$A$22,0))),0)&gt;1,DAY($A4493)&gt;=IFERROR(N(INDEX(Übersicht!$M$15:$M$22,MATCH($B4493,Übersicht!$A$15:$A$22,0))),0)),1,0),1))</f>
        <v/>
      </c>
    </row>
    <row r="4494">
      <c r="A4494" s="92" t="n"/>
      <c r="B4494" s="55" t="n"/>
      <c r="C4494" s="55" t="n"/>
      <c r="D4494" s="55" t="n"/>
      <c r="E4494" s="93" t="n"/>
      <c r="F4494" s="94" t="n"/>
      <c r="G4494" s="94" t="n"/>
      <c r="H4494" s="94" t="n"/>
      <c r="I4494" s="94" t="n"/>
      <c r="J4494" s="55" t="n"/>
      <c r="K4494" s="95" t="n"/>
      <c r="L4494" s="116">
        <f>IF($A4494="","",DATE(YEAR($A4494),MONTH($A4494)+IF(AND(IFERROR(N(INDEX(Übersicht!$M$15:$M$22,MATCH($B4494,Übersicht!$A$15:$A$22,0))),0)&gt;1,DAY($A4494)&gt;=IFERROR(N(INDEX(Übersicht!$M$15:$M$22,MATCH($B4494,Übersicht!$A$15:$A$22,0))),0)),1,0),1))</f>
        <v/>
      </c>
    </row>
    <row r="4495">
      <c r="A4495" s="92" t="n"/>
      <c r="B4495" s="55" t="n"/>
      <c r="C4495" s="55" t="n"/>
      <c r="D4495" s="55" t="n"/>
      <c r="E4495" s="93" t="n"/>
      <c r="F4495" s="94" t="n"/>
      <c r="G4495" s="94" t="n"/>
      <c r="H4495" s="94" t="n"/>
      <c r="I4495" s="94" t="n"/>
      <c r="J4495" s="55" t="n"/>
      <c r="K4495" s="95" t="n"/>
      <c r="L4495" s="116">
        <f>IF($A4495="","",DATE(YEAR($A4495),MONTH($A4495)+IF(AND(IFERROR(N(INDEX(Übersicht!$M$15:$M$22,MATCH($B4495,Übersicht!$A$15:$A$22,0))),0)&gt;1,DAY($A4495)&gt;=IFERROR(N(INDEX(Übersicht!$M$15:$M$22,MATCH($B4495,Übersicht!$A$15:$A$22,0))),0)),1,0),1))</f>
        <v/>
      </c>
    </row>
    <row r="4496">
      <c r="A4496" s="92" t="n"/>
      <c r="B4496" s="55" t="n"/>
      <c r="C4496" s="55" t="n"/>
      <c r="D4496" s="55" t="n"/>
      <c r="E4496" s="93" t="n"/>
      <c r="F4496" s="94" t="n"/>
      <c r="G4496" s="94" t="n"/>
      <c r="H4496" s="94" t="n"/>
      <c r="I4496" s="94" t="n"/>
      <c r="J4496" s="55" t="n"/>
      <c r="K4496" s="95" t="n"/>
      <c r="L4496" s="116">
        <f>IF($A4496="","",DATE(YEAR($A4496),MONTH($A4496)+IF(AND(IFERROR(N(INDEX(Übersicht!$M$15:$M$22,MATCH($B4496,Übersicht!$A$15:$A$22,0))),0)&gt;1,DAY($A4496)&gt;=IFERROR(N(INDEX(Übersicht!$M$15:$M$22,MATCH($B4496,Übersicht!$A$15:$A$22,0))),0)),1,0),1))</f>
        <v/>
      </c>
    </row>
    <row r="4497">
      <c r="A4497" s="92" t="n"/>
      <c r="B4497" s="55" t="n"/>
      <c r="C4497" s="55" t="n"/>
      <c r="D4497" s="55" t="n"/>
      <c r="E4497" s="93" t="n"/>
      <c r="F4497" s="94" t="n"/>
      <c r="G4497" s="94" t="n"/>
      <c r="H4497" s="94" t="n"/>
      <c r="I4497" s="94" t="n"/>
      <c r="J4497" s="55" t="n"/>
      <c r="K4497" s="95" t="n"/>
      <c r="L4497" s="116">
        <f>IF($A4497="","",DATE(YEAR($A4497),MONTH($A4497)+IF(AND(IFERROR(N(INDEX(Übersicht!$M$15:$M$22,MATCH($B4497,Übersicht!$A$15:$A$22,0))),0)&gt;1,DAY($A4497)&gt;=IFERROR(N(INDEX(Übersicht!$M$15:$M$22,MATCH($B4497,Übersicht!$A$15:$A$22,0))),0)),1,0),1))</f>
        <v/>
      </c>
    </row>
    <row r="4498">
      <c r="A4498" s="92" t="n"/>
      <c r="B4498" s="55" t="n"/>
      <c r="C4498" s="55" t="n"/>
      <c r="D4498" s="55" t="n"/>
      <c r="E4498" s="93" t="n"/>
      <c r="F4498" s="94" t="n"/>
      <c r="G4498" s="94" t="n"/>
      <c r="H4498" s="94" t="n"/>
      <c r="I4498" s="94" t="n"/>
      <c r="J4498" s="55" t="n"/>
      <c r="K4498" s="95" t="n"/>
      <c r="L4498" s="116">
        <f>IF($A4498="","",DATE(YEAR($A4498),MONTH($A4498)+IF(AND(IFERROR(N(INDEX(Übersicht!$M$15:$M$22,MATCH($B4498,Übersicht!$A$15:$A$22,0))),0)&gt;1,DAY($A4498)&gt;=IFERROR(N(INDEX(Übersicht!$M$15:$M$22,MATCH($B4498,Übersicht!$A$15:$A$22,0))),0)),1,0),1))</f>
        <v/>
      </c>
    </row>
    <row r="4499">
      <c r="A4499" s="92" t="n"/>
      <c r="B4499" s="55" t="n"/>
      <c r="C4499" s="55" t="n"/>
      <c r="D4499" s="55" t="n"/>
      <c r="E4499" s="93" t="n"/>
      <c r="F4499" s="94" t="n"/>
      <c r="G4499" s="94" t="n"/>
      <c r="H4499" s="94" t="n"/>
      <c r="I4499" s="94" t="n"/>
      <c r="J4499" s="55" t="n"/>
      <c r="K4499" s="95" t="n"/>
      <c r="L4499" s="116">
        <f>IF($A4499="","",DATE(YEAR($A4499),MONTH($A4499)+IF(AND(IFERROR(N(INDEX(Übersicht!$M$15:$M$22,MATCH($B4499,Übersicht!$A$15:$A$22,0))),0)&gt;1,DAY($A4499)&gt;=IFERROR(N(INDEX(Übersicht!$M$15:$M$22,MATCH($B4499,Übersicht!$A$15:$A$22,0))),0)),1,0),1))</f>
        <v/>
      </c>
    </row>
    <row r="4500">
      <c r="A4500" s="92" t="n"/>
      <c r="B4500" s="55" t="n"/>
      <c r="C4500" s="55" t="n"/>
      <c r="D4500" s="55" t="n"/>
      <c r="E4500" s="93" t="n"/>
      <c r="F4500" s="94" t="n"/>
      <c r="G4500" s="94" t="n"/>
      <c r="H4500" s="94" t="n"/>
      <c r="I4500" s="94" t="n"/>
      <c r="J4500" s="55" t="n"/>
      <c r="K4500" s="95" t="n"/>
      <c r="L4500" s="116">
        <f>IF($A4500="","",DATE(YEAR($A4500),MONTH($A4500)+IF(AND(IFERROR(N(INDEX(Übersicht!$M$15:$M$22,MATCH($B4500,Übersicht!$A$15:$A$22,0))),0)&gt;1,DAY($A4500)&gt;=IFERROR(N(INDEX(Übersicht!$M$15:$M$22,MATCH($B4500,Übersicht!$A$15:$A$22,0))),0)),1,0),1))</f>
        <v/>
      </c>
    </row>
    <row r="4501">
      <c r="A4501" s="92" t="n"/>
      <c r="B4501" s="55" t="n"/>
      <c r="C4501" s="55" t="n"/>
      <c r="D4501" s="55" t="n"/>
      <c r="E4501" s="93" t="n"/>
      <c r="F4501" s="94" t="n"/>
      <c r="G4501" s="94" t="n"/>
      <c r="H4501" s="94" t="n"/>
      <c r="I4501" s="94" t="n"/>
      <c r="J4501" s="55" t="n"/>
      <c r="K4501" s="95" t="n"/>
      <c r="L4501" s="116">
        <f>IF($A4501="","",DATE(YEAR($A4501),MONTH($A4501)+IF(AND(IFERROR(N(INDEX(Übersicht!$M$15:$M$22,MATCH($B4501,Übersicht!$A$15:$A$22,0))),0)&gt;1,DAY($A4501)&gt;=IFERROR(N(INDEX(Übersicht!$M$15:$M$22,MATCH($B4501,Übersicht!$A$15:$A$22,0))),0)),1,0),1))</f>
        <v/>
      </c>
    </row>
    <row r="4502">
      <c r="A4502" s="92" t="n"/>
      <c r="B4502" s="55" t="n"/>
      <c r="C4502" s="55" t="n"/>
      <c r="D4502" s="55" t="n"/>
      <c r="E4502" s="93" t="n"/>
      <c r="F4502" s="94" t="n"/>
      <c r="G4502" s="94" t="n"/>
      <c r="H4502" s="94" t="n"/>
      <c r="I4502" s="94" t="n"/>
      <c r="J4502" s="55" t="n"/>
      <c r="K4502" s="95" t="n"/>
      <c r="L4502" s="116">
        <f>IF($A4502="","",DATE(YEAR($A4502),MONTH($A4502)+IF(AND(IFERROR(N(INDEX(Übersicht!$M$15:$M$22,MATCH($B4502,Übersicht!$A$15:$A$22,0))),0)&gt;1,DAY($A4502)&gt;=IFERROR(N(INDEX(Übersicht!$M$15:$M$22,MATCH($B4502,Übersicht!$A$15:$A$22,0))),0)),1,0),1))</f>
        <v/>
      </c>
    </row>
    <row r="4503">
      <c r="A4503" s="92" t="n"/>
      <c r="B4503" s="55" t="n"/>
      <c r="C4503" s="55" t="n"/>
      <c r="D4503" s="55" t="n"/>
      <c r="E4503" s="93" t="n"/>
      <c r="F4503" s="94" t="n"/>
      <c r="G4503" s="94" t="n"/>
      <c r="H4503" s="94" t="n"/>
      <c r="I4503" s="94" t="n"/>
      <c r="J4503" s="55" t="n"/>
      <c r="K4503" s="95" t="n"/>
      <c r="L4503" s="116">
        <f>IF($A4503="","",DATE(YEAR($A4503),MONTH($A4503)+IF(AND(IFERROR(N(INDEX(Übersicht!$M$15:$M$22,MATCH($B4503,Übersicht!$A$15:$A$22,0))),0)&gt;1,DAY($A4503)&gt;=IFERROR(N(INDEX(Übersicht!$M$15:$M$22,MATCH($B4503,Übersicht!$A$15:$A$22,0))),0)),1,0),1))</f>
        <v/>
      </c>
    </row>
    <row r="4504">
      <c r="A4504" s="92" t="n"/>
      <c r="B4504" s="55" t="n"/>
      <c r="C4504" s="55" t="n"/>
      <c r="D4504" s="55" t="n"/>
      <c r="E4504" s="93" t="n"/>
      <c r="F4504" s="94" t="n"/>
      <c r="G4504" s="94" t="n"/>
      <c r="H4504" s="94" t="n"/>
      <c r="I4504" s="94" t="n"/>
      <c r="J4504" s="55" t="n"/>
      <c r="K4504" s="95" t="n"/>
      <c r="L4504" s="116">
        <f>IF($A4504="","",DATE(YEAR($A4504),MONTH($A4504)+IF(AND(IFERROR(N(INDEX(Übersicht!$M$15:$M$22,MATCH($B4504,Übersicht!$A$15:$A$22,0))),0)&gt;1,DAY($A4504)&gt;=IFERROR(N(INDEX(Übersicht!$M$15:$M$22,MATCH($B4504,Übersicht!$A$15:$A$22,0))),0)),1,0),1))</f>
        <v/>
      </c>
    </row>
    <row r="4505">
      <c r="A4505" s="92" t="n"/>
      <c r="B4505" s="55" t="n"/>
      <c r="C4505" s="55" t="n"/>
      <c r="D4505" s="55" t="n"/>
      <c r="E4505" s="93" t="n"/>
      <c r="F4505" s="94" t="n"/>
      <c r="G4505" s="94" t="n"/>
      <c r="H4505" s="94" t="n"/>
      <c r="I4505" s="94" t="n"/>
      <c r="J4505" s="55" t="n"/>
      <c r="K4505" s="95" t="n"/>
      <c r="L4505" s="116">
        <f>IF($A4505="","",DATE(YEAR($A4505),MONTH($A4505)+IF(AND(IFERROR(N(INDEX(Übersicht!$M$15:$M$22,MATCH($B4505,Übersicht!$A$15:$A$22,0))),0)&gt;1,DAY($A4505)&gt;=IFERROR(N(INDEX(Übersicht!$M$15:$M$22,MATCH($B4505,Übersicht!$A$15:$A$22,0))),0)),1,0),1))</f>
        <v/>
      </c>
    </row>
    <row r="4506">
      <c r="A4506" s="92" t="n"/>
      <c r="B4506" s="55" t="n"/>
      <c r="C4506" s="55" t="n"/>
      <c r="D4506" s="55" t="n"/>
      <c r="E4506" s="93" t="n"/>
      <c r="F4506" s="94" t="n"/>
      <c r="G4506" s="94" t="n"/>
      <c r="H4506" s="94" t="n"/>
      <c r="I4506" s="94" t="n"/>
      <c r="J4506" s="55" t="n"/>
      <c r="K4506" s="95" t="n"/>
      <c r="L4506" s="116">
        <f>IF($A4506="","",DATE(YEAR($A4506),MONTH($A4506)+IF(AND(IFERROR(N(INDEX(Übersicht!$M$15:$M$22,MATCH($B4506,Übersicht!$A$15:$A$22,0))),0)&gt;1,DAY($A4506)&gt;=IFERROR(N(INDEX(Übersicht!$M$15:$M$22,MATCH($B4506,Übersicht!$A$15:$A$22,0))),0)),1,0),1))</f>
        <v/>
      </c>
    </row>
    <row r="4507">
      <c r="A4507" s="92" t="n"/>
      <c r="B4507" s="55" t="n"/>
      <c r="C4507" s="55" t="n"/>
      <c r="D4507" s="55" t="n"/>
      <c r="E4507" s="93" t="n"/>
      <c r="F4507" s="94" t="n"/>
      <c r="G4507" s="94" t="n"/>
      <c r="H4507" s="94" t="n"/>
      <c r="I4507" s="94" t="n"/>
      <c r="J4507" s="55" t="n"/>
      <c r="K4507" s="95" t="n"/>
      <c r="L4507" s="116">
        <f>IF($A4507="","",DATE(YEAR($A4507),MONTH($A4507)+IF(AND(IFERROR(N(INDEX(Übersicht!$M$15:$M$22,MATCH($B4507,Übersicht!$A$15:$A$22,0))),0)&gt;1,DAY($A4507)&gt;=IFERROR(N(INDEX(Übersicht!$M$15:$M$22,MATCH($B4507,Übersicht!$A$15:$A$22,0))),0)),1,0),1))</f>
        <v/>
      </c>
    </row>
    <row r="4508">
      <c r="A4508" s="92" t="n"/>
      <c r="B4508" s="55" t="n"/>
      <c r="C4508" s="55" t="n"/>
      <c r="D4508" s="55" t="n"/>
      <c r="E4508" s="93" t="n"/>
      <c r="F4508" s="94" t="n"/>
      <c r="G4508" s="94" t="n"/>
      <c r="H4508" s="94" t="n"/>
      <c r="I4508" s="94" t="n"/>
      <c r="J4508" s="55" t="n"/>
      <c r="K4508" s="95" t="n"/>
      <c r="L4508" s="116">
        <f>IF($A4508="","",DATE(YEAR($A4508),MONTH($A4508)+IF(AND(IFERROR(N(INDEX(Übersicht!$M$15:$M$22,MATCH($B4508,Übersicht!$A$15:$A$22,0))),0)&gt;1,DAY($A4508)&gt;=IFERROR(N(INDEX(Übersicht!$M$15:$M$22,MATCH($B4508,Übersicht!$A$15:$A$22,0))),0)),1,0),1))</f>
        <v/>
      </c>
    </row>
    <row r="4509">
      <c r="A4509" s="92" t="n"/>
      <c r="B4509" s="55" t="n"/>
      <c r="C4509" s="55" t="n"/>
      <c r="D4509" s="55" t="n"/>
      <c r="E4509" s="93" t="n"/>
      <c r="F4509" s="94" t="n"/>
      <c r="G4509" s="94" t="n"/>
      <c r="H4509" s="94" t="n"/>
      <c r="I4509" s="94" t="n"/>
      <c r="J4509" s="55" t="n"/>
      <c r="K4509" s="95" t="n"/>
      <c r="L4509" s="116">
        <f>IF($A4509="","",DATE(YEAR($A4509),MONTH($A4509)+IF(AND(IFERROR(N(INDEX(Übersicht!$M$15:$M$22,MATCH($B4509,Übersicht!$A$15:$A$22,0))),0)&gt;1,DAY($A4509)&gt;=IFERROR(N(INDEX(Übersicht!$M$15:$M$22,MATCH($B4509,Übersicht!$A$15:$A$22,0))),0)),1,0),1))</f>
        <v/>
      </c>
    </row>
    <row r="4510">
      <c r="A4510" s="92" t="n"/>
      <c r="B4510" s="55" t="n"/>
      <c r="C4510" s="55" t="n"/>
      <c r="D4510" s="55" t="n"/>
      <c r="E4510" s="93" t="n"/>
      <c r="F4510" s="94" t="n"/>
      <c r="G4510" s="94" t="n"/>
      <c r="H4510" s="94" t="n"/>
      <c r="I4510" s="94" t="n"/>
      <c r="J4510" s="55" t="n"/>
      <c r="K4510" s="95" t="n"/>
      <c r="L4510" s="116">
        <f>IF($A4510="","",DATE(YEAR($A4510),MONTH($A4510)+IF(AND(IFERROR(N(INDEX(Übersicht!$M$15:$M$22,MATCH($B4510,Übersicht!$A$15:$A$22,0))),0)&gt;1,DAY($A4510)&gt;=IFERROR(N(INDEX(Übersicht!$M$15:$M$22,MATCH($B4510,Übersicht!$A$15:$A$22,0))),0)),1,0),1))</f>
        <v/>
      </c>
    </row>
    <row r="4511">
      <c r="A4511" s="92" t="n"/>
      <c r="B4511" s="55" t="n"/>
      <c r="C4511" s="55" t="n"/>
      <c r="D4511" s="55" t="n"/>
      <c r="E4511" s="93" t="n"/>
      <c r="F4511" s="94" t="n"/>
      <c r="G4511" s="94" t="n"/>
      <c r="H4511" s="94" t="n"/>
      <c r="I4511" s="94" t="n"/>
      <c r="J4511" s="55" t="n"/>
      <c r="K4511" s="95" t="n"/>
      <c r="L4511" s="116">
        <f>IF($A4511="","",DATE(YEAR($A4511),MONTH($A4511)+IF(AND(IFERROR(N(INDEX(Übersicht!$M$15:$M$22,MATCH($B4511,Übersicht!$A$15:$A$22,0))),0)&gt;1,DAY($A4511)&gt;=IFERROR(N(INDEX(Übersicht!$M$15:$M$22,MATCH($B4511,Übersicht!$A$15:$A$22,0))),0)),1,0),1))</f>
        <v/>
      </c>
    </row>
    <row r="4512">
      <c r="A4512" s="92" t="n"/>
      <c r="B4512" s="55" t="n"/>
      <c r="C4512" s="55" t="n"/>
      <c r="D4512" s="55" t="n"/>
      <c r="E4512" s="93" t="n"/>
      <c r="F4512" s="94" t="n"/>
      <c r="G4512" s="94" t="n"/>
      <c r="H4512" s="94" t="n"/>
      <c r="I4512" s="94" t="n"/>
      <c r="J4512" s="55" t="n"/>
      <c r="K4512" s="95" t="n"/>
      <c r="L4512" s="116">
        <f>IF($A4512="","",DATE(YEAR($A4512),MONTH($A4512)+IF(AND(IFERROR(N(INDEX(Übersicht!$M$15:$M$22,MATCH($B4512,Übersicht!$A$15:$A$22,0))),0)&gt;1,DAY($A4512)&gt;=IFERROR(N(INDEX(Übersicht!$M$15:$M$22,MATCH($B4512,Übersicht!$A$15:$A$22,0))),0)),1,0),1))</f>
        <v/>
      </c>
    </row>
    <row r="4513">
      <c r="A4513" s="92" t="n"/>
      <c r="B4513" s="55" t="n"/>
      <c r="C4513" s="55" t="n"/>
      <c r="D4513" s="55" t="n"/>
      <c r="E4513" s="93" t="n"/>
      <c r="F4513" s="94" t="n"/>
      <c r="G4513" s="94" t="n"/>
      <c r="H4513" s="94" t="n"/>
      <c r="I4513" s="94" t="n"/>
      <c r="J4513" s="55" t="n"/>
      <c r="K4513" s="95" t="n"/>
      <c r="L4513" s="116">
        <f>IF($A4513="","",DATE(YEAR($A4513),MONTH($A4513)+IF(AND(IFERROR(N(INDEX(Übersicht!$M$15:$M$22,MATCH($B4513,Übersicht!$A$15:$A$22,0))),0)&gt;1,DAY($A4513)&gt;=IFERROR(N(INDEX(Übersicht!$M$15:$M$22,MATCH($B4513,Übersicht!$A$15:$A$22,0))),0)),1,0),1))</f>
        <v/>
      </c>
    </row>
    <row r="4514">
      <c r="A4514" s="92" t="n"/>
      <c r="B4514" s="55" t="n"/>
      <c r="C4514" s="55" t="n"/>
      <c r="D4514" s="55" t="n"/>
      <c r="E4514" s="93" t="n"/>
      <c r="F4514" s="94" t="n"/>
      <c r="G4514" s="94" t="n"/>
      <c r="H4514" s="94" t="n"/>
      <c r="I4514" s="94" t="n"/>
      <c r="J4514" s="55" t="n"/>
      <c r="K4514" s="95" t="n"/>
      <c r="L4514" s="116">
        <f>IF($A4514="","",DATE(YEAR($A4514),MONTH($A4514)+IF(AND(IFERROR(N(INDEX(Übersicht!$M$15:$M$22,MATCH($B4514,Übersicht!$A$15:$A$22,0))),0)&gt;1,DAY($A4514)&gt;=IFERROR(N(INDEX(Übersicht!$M$15:$M$22,MATCH($B4514,Übersicht!$A$15:$A$22,0))),0)),1,0),1))</f>
        <v/>
      </c>
    </row>
    <row r="4515">
      <c r="A4515" s="92" t="n"/>
      <c r="B4515" s="55" t="n"/>
      <c r="C4515" s="55" t="n"/>
      <c r="D4515" s="55" t="n"/>
      <c r="E4515" s="93" t="n"/>
      <c r="F4515" s="94" t="n"/>
      <c r="G4515" s="94" t="n"/>
      <c r="H4515" s="94" t="n"/>
      <c r="I4515" s="94" t="n"/>
      <c r="J4515" s="55" t="n"/>
      <c r="K4515" s="95" t="n"/>
      <c r="L4515" s="116">
        <f>IF($A4515="","",DATE(YEAR($A4515),MONTH($A4515)+IF(AND(IFERROR(N(INDEX(Übersicht!$M$15:$M$22,MATCH($B4515,Übersicht!$A$15:$A$22,0))),0)&gt;1,DAY($A4515)&gt;=IFERROR(N(INDEX(Übersicht!$M$15:$M$22,MATCH($B4515,Übersicht!$A$15:$A$22,0))),0)),1,0),1))</f>
        <v/>
      </c>
    </row>
    <row r="4516">
      <c r="A4516" s="92" t="n"/>
      <c r="B4516" s="55" t="n"/>
      <c r="C4516" s="55" t="n"/>
      <c r="D4516" s="55" t="n"/>
      <c r="E4516" s="93" t="n"/>
      <c r="F4516" s="94" t="n"/>
      <c r="G4516" s="94" t="n"/>
      <c r="H4516" s="94" t="n"/>
      <c r="I4516" s="94" t="n"/>
      <c r="J4516" s="55" t="n"/>
      <c r="K4516" s="95" t="n"/>
      <c r="L4516" s="116">
        <f>IF($A4516="","",DATE(YEAR($A4516),MONTH($A4516)+IF(AND(IFERROR(N(INDEX(Übersicht!$M$15:$M$22,MATCH($B4516,Übersicht!$A$15:$A$22,0))),0)&gt;1,DAY($A4516)&gt;=IFERROR(N(INDEX(Übersicht!$M$15:$M$22,MATCH($B4516,Übersicht!$A$15:$A$22,0))),0)),1,0),1))</f>
        <v/>
      </c>
    </row>
    <row r="4517">
      <c r="A4517" s="92" t="n"/>
      <c r="B4517" s="55" t="n"/>
      <c r="C4517" s="55" t="n"/>
      <c r="D4517" s="55" t="n"/>
      <c r="E4517" s="93" t="n"/>
      <c r="F4517" s="94" t="n"/>
      <c r="G4517" s="94" t="n"/>
      <c r="H4517" s="94" t="n"/>
      <c r="I4517" s="94" t="n"/>
      <c r="J4517" s="55" t="n"/>
      <c r="K4517" s="95" t="n"/>
      <c r="L4517" s="116">
        <f>IF($A4517="","",DATE(YEAR($A4517),MONTH($A4517)+IF(AND(IFERROR(N(INDEX(Übersicht!$M$15:$M$22,MATCH($B4517,Übersicht!$A$15:$A$22,0))),0)&gt;1,DAY($A4517)&gt;=IFERROR(N(INDEX(Übersicht!$M$15:$M$22,MATCH($B4517,Übersicht!$A$15:$A$22,0))),0)),1,0),1))</f>
        <v/>
      </c>
    </row>
    <row r="4518">
      <c r="A4518" s="92" t="n"/>
      <c r="B4518" s="55" t="n"/>
      <c r="C4518" s="55" t="n"/>
      <c r="D4518" s="55" t="n"/>
      <c r="E4518" s="93" t="n"/>
      <c r="F4518" s="94" t="n"/>
      <c r="G4518" s="94" t="n"/>
      <c r="H4518" s="94" t="n"/>
      <c r="I4518" s="94" t="n"/>
      <c r="J4518" s="55" t="n"/>
      <c r="K4518" s="95" t="n"/>
      <c r="L4518" s="116">
        <f>IF($A4518="","",DATE(YEAR($A4518),MONTH($A4518)+IF(AND(IFERROR(N(INDEX(Übersicht!$M$15:$M$22,MATCH($B4518,Übersicht!$A$15:$A$22,0))),0)&gt;1,DAY($A4518)&gt;=IFERROR(N(INDEX(Übersicht!$M$15:$M$22,MATCH($B4518,Übersicht!$A$15:$A$22,0))),0)),1,0),1))</f>
        <v/>
      </c>
    </row>
    <row r="4519">
      <c r="A4519" s="92" t="n"/>
      <c r="B4519" s="55" t="n"/>
      <c r="C4519" s="55" t="n"/>
      <c r="D4519" s="55" t="n"/>
      <c r="E4519" s="93" t="n"/>
      <c r="F4519" s="94" t="n"/>
      <c r="G4519" s="94" t="n"/>
      <c r="H4519" s="94" t="n"/>
      <c r="I4519" s="94" t="n"/>
      <c r="J4519" s="55" t="n"/>
      <c r="K4519" s="95" t="n"/>
      <c r="L4519" s="116">
        <f>IF($A4519="","",DATE(YEAR($A4519),MONTH($A4519)+IF(AND(IFERROR(N(INDEX(Übersicht!$M$15:$M$22,MATCH($B4519,Übersicht!$A$15:$A$22,0))),0)&gt;1,DAY($A4519)&gt;=IFERROR(N(INDEX(Übersicht!$M$15:$M$22,MATCH($B4519,Übersicht!$A$15:$A$22,0))),0)),1,0),1))</f>
        <v/>
      </c>
    </row>
    <row r="4520">
      <c r="A4520" s="92" t="n"/>
      <c r="B4520" s="55" t="n"/>
      <c r="C4520" s="55" t="n"/>
      <c r="D4520" s="55" t="n"/>
      <c r="E4520" s="93" t="n"/>
      <c r="F4520" s="94" t="n"/>
      <c r="G4520" s="94" t="n"/>
      <c r="H4520" s="94" t="n"/>
      <c r="I4520" s="94" t="n"/>
      <c r="J4520" s="55" t="n"/>
      <c r="K4520" s="95" t="n"/>
      <c r="L4520" s="116">
        <f>IF($A4520="","",DATE(YEAR($A4520),MONTH($A4520)+IF(AND(IFERROR(N(INDEX(Übersicht!$M$15:$M$22,MATCH($B4520,Übersicht!$A$15:$A$22,0))),0)&gt;1,DAY($A4520)&gt;=IFERROR(N(INDEX(Übersicht!$M$15:$M$22,MATCH($B4520,Übersicht!$A$15:$A$22,0))),0)),1,0),1))</f>
        <v/>
      </c>
    </row>
    <row r="4521">
      <c r="A4521" s="92" t="n"/>
      <c r="B4521" s="55" t="n"/>
      <c r="C4521" s="55" t="n"/>
      <c r="D4521" s="55" t="n"/>
      <c r="E4521" s="93" t="n"/>
      <c r="F4521" s="94" t="n"/>
      <c r="G4521" s="94" t="n"/>
      <c r="H4521" s="94" t="n"/>
      <c r="I4521" s="94" t="n"/>
      <c r="J4521" s="55" t="n"/>
      <c r="K4521" s="95" t="n"/>
      <c r="L4521" s="116">
        <f>IF($A4521="","",DATE(YEAR($A4521),MONTH($A4521)+IF(AND(IFERROR(N(INDEX(Übersicht!$M$15:$M$22,MATCH($B4521,Übersicht!$A$15:$A$22,0))),0)&gt;1,DAY($A4521)&gt;=IFERROR(N(INDEX(Übersicht!$M$15:$M$22,MATCH($B4521,Übersicht!$A$15:$A$22,0))),0)),1,0),1))</f>
        <v/>
      </c>
    </row>
    <row r="4522">
      <c r="A4522" s="92" t="n"/>
      <c r="B4522" s="55" t="n"/>
      <c r="C4522" s="55" t="n"/>
      <c r="D4522" s="55" t="n"/>
      <c r="E4522" s="93" t="n"/>
      <c r="F4522" s="94" t="n"/>
      <c r="G4522" s="94" t="n"/>
      <c r="H4522" s="94" t="n"/>
      <c r="I4522" s="94" t="n"/>
      <c r="J4522" s="55" t="n"/>
      <c r="K4522" s="95" t="n"/>
      <c r="L4522" s="116">
        <f>IF($A4522="","",DATE(YEAR($A4522),MONTH($A4522)+IF(AND(IFERROR(N(INDEX(Übersicht!$M$15:$M$22,MATCH($B4522,Übersicht!$A$15:$A$22,0))),0)&gt;1,DAY($A4522)&gt;=IFERROR(N(INDEX(Übersicht!$M$15:$M$22,MATCH($B4522,Übersicht!$A$15:$A$22,0))),0)),1,0),1))</f>
        <v/>
      </c>
    </row>
    <row r="4523">
      <c r="A4523" s="92" t="n"/>
      <c r="B4523" s="55" t="n"/>
      <c r="C4523" s="55" t="n"/>
      <c r="D4523" s="55" t="n"/>
      <c r="E4523" s="93" t="n"/>
      <c r="F4523" s="94" t="n"/>
      <c r="G4523" s="94" t="n"/>
      <c r="H4523" s="94" t="n"/>
      <c r="I4523" s="94" t="n"/>
      <c r="J4523" s="55" t="n"/>
      <c r="K4523" s="95" t="n"/>
      <c r="L4523" s="116">
        <f>IF($A4523="","",DATE(YEAR($A4523),MONTH($A4523)+IF(AND(IFERROR(N(INDEX(Übersicht!$M$15:$M$22,MATCH($B4523,Übersicht!$A$15:$A$22,0))),0)&gt;1,DAY($A4523)&gt;=IFERROR(N(INDEX(Übersicht!$M$15:$M$22,MATCH($B4523,Übersicht!$A$15:$A$22,0))),0)),1,0),1))</f>
        <v/>
      </c>
    </row>
    <row r="4524">
      <c r="A4524" s="92" t="n"/>
      <c r="B4524" s="55" t="n"/>
      <c r="C4524" s="55" t="n"/>
      <c r="D4524" s="55" t="n"/>
      <c r="E4524" s="93" t="n"/>
      <c r="F4524" s="94" t="n"/>
      <c r="G4524" s="94" t="n"/>
      <c r="H4524" s="94" t="n"/>
      <c r="I4524" s="94" t="n"/>
      <c r="J4524" s="55" t="n"/>
      <c r="K4524" s="95" t="n"/>
      <c r="L4524" s="116">
        <f>IF($A4524="","",DATE(YEAR($A4524),MONTH($A4524)+IF(AND(IFERROR(N(INDEX(Übersicht!$M$15:$M$22,MATCH($B4524,Übersicht!$A$15:$A$22,0))),0)&gt;1,DAY($A4524)&gt;=IFERROR(N(INDEX(Übersicht!$M$15:$M$22,MATCH($B4524,Übersicht!$A$15:$A$22,0))),0)),1,0),1))</f>
        <v/>
      </c>
    </row>
    <row r="4525">
      <c r="A4525" s="92" t="n"/>
      <c r="B4525" s="55" t="n"/>
      <c r="C4525" s="55" t="n"/>
      <c r="D4525" s="55" t="n"/>
      <c r="E4525" s="93" t="n"/>
      <c r="F4525" s="94" t="n"/>
      <c r="G4525" s="94" t="n"/>
      <c r="H4525" s="94" t="n"/>
      <c r="I4525" s="94" t="n"/>
      <c r="J4525" s="55" t="n"/>
      <c r="K4525" s="95" t="n"/>
      <c r="L4525" s="116">
        <f>IF($A4525="","",DATE(YEAR($A4525),MONTH($A4525)+IF(AND(IFERROR(N(INDEX(Übersicht!$M$15:$M$22,MATCH($B4525,Übersicht!$A$15:$A$22,0))),0)&gt;1,DAY($A4525)&gt;=IFERROR(N(INDEX(Übersicht!$M$15:$M$22,MATCH($B4525,Übersicht!$A$15:$A$22,0))),0)),1,0),1))</f>
        <v/>
      </c>
    </row>
    <row r="4526">
      <c r="A4526" s="92" t="n"/>
      <c r="B4526" s="55" t="n"/>
      <c r="C4526" s="55" t="n"/>
      <c r="D4526" s="55" t="n"/>
      <c r="E4526" s="93" t="n"/>
      <c r="F4526" s="94" t="n"/>
      <c r="G4526" s="94" t="n"/>
      <c r="H4526" s="94" t="n"/>
      <c r="I4526" s="94" t="n"/>
      <c r="J4526" s="55" t="n"/>
      <c r="K4526" s="95" t="n"/>
      <c r="L4526" s="116">
        <f>IF($A4526="","",DATE(YEAR($A4526),MONTH($A4526)+IF(AND(IFERROR(N(INDEX(Übersicht!$M$15:$M$22,MATCH($B4526,Übersicht!$A$15:$A$22,0))),0)&gt;1,DAY($A4526)&gt;=IFERROR(N(INDEX(Übersicht!$M$15:$M$22,MATCH($B4526,Übersicht!$A$15:$A$22,0))),0)),1,0),1))</f>
        <v/>
      </c>
    </row>
    <row r="4527">
      <c r="A4527" s="92" t="n"/>
      <c r="B4527" s="55" t="n"/>
      <c r="C4527" s="55" t="n"/>
      <c r="D4527" s="55" t="n"/>
      <c r="E4527" s="93" t="n"/>
      <c r="F4527" s="94" t="n"/>
      <c r="G4527" s="94" t="n"/>
      <c r="H4527" s="94" t="n"/>
      <c r="I4527" s="94" t="n"/>
      <c r="J4527" s="55" t="n"/>
      <c r="K4527" s="95" t="n"/>
      <c r="L4527" s="116">
        <f>IF($A4527="","",DATE(YEAR($A4527),MONTH($A4527)+IF(AND(IFERROR(N(INDEX(Übersicht!$M$15:$M$22,MATCH($B4527,Übersicht!$A$15:$A$22,0))),0)&gt;1,DAY($A4527)&gt;=IFERROR(N(INDEX(Übersicht!$M$15:$M$22,MATCH($B4527,Übersicht!$A$15:$A$22,0))),0)),1,0),1))</f>
        <v/>
      </c>
    </row>
    <row r="4528">
      <c r="A4528" s="92" t="n"/>
      <c r="B4528" s="55" t="n"/>
      <c r="C4528" s="55" t="n"/>
      <c r="D4528" s="55" t="n"/>
      <c r="E4528" s="93" t="n"/>
      <c r="F4528" s="94" t="n"/>
      <c r="G4528" s="94" t="n"/>
      <c r="H4528" s="94" t="n"/>
      <c r="I4528" s="94" t="n"/>
      <c r="J4528" s="55" t="n"/>
      <c r="K4528" s="95" t="n"/>
      <c r="L4528" s="116">
        <f>IF($A4528="","",DATE(YEAR($A4528),MONTH($A4528)+IF(AND(IFERROR(N(INDEX(Übersicht!$M$15:$M$22,MATCH($B4528,Übersicht!$A$15:$A$22,0))),0)&gt;1,DAY($A4528)&gt;=IFERROR(N(INDEX(Übersicht!$M$15:$M$22,MATCH($B4528,Übersicht!$A$15:$A$22,0))),0)),1,0),1))</f>
        <v/>
      </c>
    </row>
    <row r="4529">
      <c r="A4529" s="92" t="n"/>
      <c r="B4529" s="55" t="n"/>
      <c r="C4529" s="55" t="n"/>
      <c r="D4529" s="55" t="n"/>
      <c r="E4529" s="93" t="n"/>
      <c r="F4529" s="94" t="n"/>
      <c r="G4529" s="94" t="n"/>
      <c r="H4529" s="94" t="n"/>
      <c r="I4529" s="94" t="n"/>
      <c r="J4529" s="55" t="n"/>
      <c r="K4529" s="95" t="n"/>
      <c r="L4529" s="116">
        <f>IF($A4529="","",DATE(YEAR($A4529),MONTH($A4529)+IF(AND(IFERROR(N(INDEX(Übersicht!$M$15:$M$22,MATCH($B4529,Übersicht!$A$15:$A$22,0))),0)&gt;1,DAY($A4529)&gt;=IFERROR(N(INDEX(Übersicht!$M$15:$M$22,MATCH($B4529,Übersicht!$A$15:$A$22,0))),0)),1,0),1))</f>
        <v/>
      </c>
    </row>
    <row r="4530">
      <c r="A4530" s="92" t="n"/>
      <c r="B4530" s="55" t="n"/>
      <c r="C4530" s="55" t="n"/>
      <c r="D4530" s="55" t="n"/>
      <c r="E4530" s="93" t="n"/>
      <c r="F4530" s="94" t="n"/>
      <c r="G4530" s="94" t="n"/>
      <c r="H4530" s="94" t="n"/>
      <c r="I4530" s="94" t="n"/>
      <c r="J4530" s="55" t="n"/>
      <c r="K4530" s="95" t="n"/>
      <c r="L4530" s="116">
        <f>IF($A4530="","",DATE(YEAR($A4530),MONTH($A4530)+IF(AND(IFERROR(N(INDEX(Übersicht!$M$15:$M$22,MATCH($B4530,Übersicht!$A$15:$A$22,0))),0)&gt;1,DAY($A4530)&gt;=IFERROR(N(INDEX(Übersicht!$M$15:$M$22,MATCH($B4530,Übersicht!$A$15:$A$22,0))),0)),1,0),1))</f>
        <v/>
      </c>
    </row>
    <row r="4531">
      <c r="A4531" s="92" t="n"/>
      <c r="B4531" s="55" t="n"/>
      <c r="C4531" s="55" t="n"/>
      <c r="D4531" s="55" t="n"/>
      <c r="E4531" s="93" t="n"/>
      <c r="F4531" s="94" t="n"/>
      <c r="G4531" s="94" t="n"/>
      <c r="H4531" s="94" t="n"/>
      <c r="I4531" s="94" t="n"/>
      <c r="J4531" s="55" t="n"/>
      <c r="K4531" s="95" t="n"/>
      <c r="L4531" s="116">
        <f>IF($A4531="","",DATE(YEAR($A4531),MONTH($A4531)+IF(AND(IFERROR(N(INDEX(Übersicht!$M$15:$M$22,MATCH($B4531,Übersicht!$A$15:$A$22,0))),0)&gt;1,DAY($A4531)&gt;=IFERROR(N(INDEX(Übersicht!$M$15:$M$22,MATCH($B4531,Übersicht!$A$15:$A$22,0))),0)),1,0),1))</f>
        <v/>
      </c>
    </row>
    <row r="4532">
      <c r="A4532" s="92" t="n"/>
      <c r="B4532" s="55" t="n"/>
      <c r="C4532" s="55" t="n"/>
      <c r="D4532" s="55" t="n"/>
      <c r="E4532" s="93" t="n"/>
      <c r="F4532" s="94" t="n"/>
      <c r="G4532" s="94" t="n"/>
      <c r="H4532" s="94" t="n"/>
      <c r="I4532" s="94" t="n"/>
      <c r="J4532" s="55" t="n"/>
      <c r="K4532" s="95" t="n"/>
      <c r="L4532" s="116">
        <f>IF($A4532="","",DATE(YEAR($A4532),MONTH($A4532)+IF(AND(IFERROR(N(INDEX(Übersicht!$M$15:$M$22,MATCH($B4532,Übersicht!$A$15:$A$22,0))),0)&gt;1,DAY($A4532)&gt;=IFERROR(N(INDEX(Übersicht!$M$15:$M$22,MATCH($B4532,Übersicht!$A$15:$A$22,0))),0)),1,0),1))</f>
        <v/>
      </c>
    </row>
    <row r="4533">
      <c r="A4533" s="92" t="n"/>
      <c r="B4533" s="55" t="n"/>
      <c r="C4533" s="55" t="n"/>
      <c r="D4533" s="55" t="n"/>
      <c r="E4533" s="93" t="n"/>
      <c r="F4533" s="94" t="n"/>
      <c r="G4533" s="94" t="n"/>
      <c r="H4533" s="94" t="n"/>
      <c r="I4533" s="94" t="n"/>
      <c r="J4533" s="55" t="n"/>
      <c r="K4533" s="95" t="n"/>
      <c r="L4533" s="116">
        <f>IF($A4533="","",DATE(YEAR($A4533),MONTH($A4533)+IF(AND(IFERROR(N(INDEX(Übersicht!$M$15:$M$22,MATCH($B4533,Übersicht!$A$15:$A$22,0))),0)&gt;1,DAY($A4533)&gt;=IFERROR(N(INDEX(Übersicht!$M$15:$M$22,MATCH($B4533,Übersicht!$A$15:$A$22,0))),0)),1,0),1))</f>
        <v/>
      </c>
    </row>
    <row r="4534">
      <c r="A4534" s="92" t="n"/>
      <c r="B4534" s="55" t="n"/>
      <c r="C4534" s="55" t="n"/>
      <c r="D4534" s="55" t="n"/>
      <c r="E4534" s="93" t="n"/>
      <c r="F4534" s="94" t="n"/>
      <c r="G4534" s="94" t="n"/>
      <c r="H4534" s="94" t="n"/>
      <c r="I4534" s="94" t="n"/>
      <c r="J4534" s="55" t="n"/>
      <c r="K4534" s="95" t="n"/>
      <c r="L4534" s="116">
        <f>IF($A4534="","",DATE(YEAR($A4534),MONTH($A4534)+IF(AND(IFERROR(N(INDEX(Übersicht!$M$15:$M$22,MATCH($B4534,Übersicht!$A$15:$A$22,0))),0)&gt;1,DAY($A4534)&gt;=IFERROR(N(INDEX(Übersicht!$M$15:$M$22,MATCH($B4534,Übersicht!$A$15:$A$22,0))),0)),1,0),1))</f>
        <v/>
      </c>
    </row>
    <row r="4535">
      <c r="A4535" s="92" t="n"/>
      <c r="B4535" s="55" t="n"/>
      <c r="C4535" s="55" t="n"/>
      <c r="D4535" s="55" t="n"/>
      <c r="E4535" s="93" t="n"/>
      <c r="F4535" s="94" t="n"/>
      <c r="G4535" s="94" t="n"/>
      <c r="H4535" s="94" t="n"/>
      <c r="I4535" s="94" t="n"/>
      <c r="J4535" s="55" t="n"/>
      <c r="K4535" s="95" t="n"/>
      <c r="L4535" s="116">
        <f>IF($A4535="","",DATE(YEAR($A4535),MONTH($A4535)+IF(AND(IFERROR(N(INDEX(Übersicht!$M$15:$M$22,MATCH($B4535,Übersicht!$A$15:$A$22,0))),0)&gt;1,DAY($A4535)&gt;=IFERROR(N(INDEX(Übersicht!$M$15:$M$22,MATCH($B4535,Übersicht!$A$15:$A$22,0))),0)),1,0),1))</f>
        <v/>
      </c>
    </row>
    <row r="4536">
      <c r="A4536" s="92" t="n"/>
      <c r="B4536" s="55" t="n"/>
      <c r="C4536" s="55" t="n"/>
      <c r="D4536" s="55" t="n"/>
      <c r="E4536" s="93" t="n"/>
      <c r="F4536" s="94" t="n"/>
      <c r="G4536" s="94" t="n"/>
      <c r="H4536" s="94" t="n"/>
      <c r="I4536" s="94" t="n"/>
      <c r="J4536" s="55" t="n"/>
      <c r="K4536" s="95" t="n"/>
      <c r="L4536" s="116">
        <f>IF($A4536="","",DATE(YEAR($A4536),MONTH($A4536)+IF(AND(IFERROR(N(INDEX(Übersicht!$M$15:$M$22,MATCH($B4536,Übersicht!$A$15:$A$22,0))),0)&gt;1,DAY($A4536)&gt;=IFERROR(N(INDEX(Übersicht!$M$15:$M$22,MATCH($B4536,Übersicht!$A$15:$A$22,0))),0)),1,0),1))</f>
        <v/>
      </c>
    </row>
    <row r="4537">
      <c r="A4537" s="92" t="n"/>
      <c r="B4537" s="55" t="n"/>
      <c r="C4537" s="55" t="n"/>
      <c r="D4537" s="55" t="n"/>
      <c r="E4537" s="93" t="n"/>
      <c r="F4537" s="94" t="n"/>
      <c r="G4537" s="94" t="n"/>
      <c r="H4537" s="94" t="n"/>
      <c r="I4537" s="94" t="n"/>
      <c r="J4537" s="55" t="n"/>
      <c r="K4537" s="95" t="n"/>
      <c r="L4537" s="116">
        <f>IF($A4537="","",DATE(YEAR($A4537),MONTH($A4537)+IF(AND(IFERROR(N(INDEX(Übersicht!$M$15:$M$22,MATCH($B4537,Übersicht!$A$15:$A$22,0))),0)&gt;1,DAY($A4537)&gt;=IFERROR(N(INDEX(Übersicht!$M$15:$M$22,MATCH($B4537,Übersicht!$A$15:$A$22,0))),0)),1,0),1))</f>
        <v/>
      </c>
    </row>
    <row r="4538">
      <c r="A4538" s="92" t="n"/>
      <c r="B4538" s="55" t="n"/>
      <c r="C4538" s="55" t="n"/>
      <c r="D4538" s="55" t="n"/>
      <c r="E4538" s="93" t="n"/>
      <c r="F4538" s="94" t="n"/>
      <c r="G4538" s="94" t="n"/>
      <c r="H4538" s="94" t="n"/>
      <c r="I4538" s="94" t="n"/>
      <c r="J4538" s="55" t="n"/>
      <c r="K4538" s="95" t="n"/>
      <c r="L4538" s="116">
        <f>IF($A4538="","",DATE(YEAR($A4538),MONTH($A4538)+IF(AND(IFERROR(N(INDEX(Übersicht!$M$15:$M$22,MATCH($B4538,Übersicht!$A$15:$A$22,0))),0)&gt;1,DAY($A4538)&gt;=IFERROR(N(INDEX(Übersicht!$M$15:$M$22,MATCH($B4538,Übersicht!$A$15:$A$22,0))),0)),1,0),1))</f>
        <v/>
      </c>
    </row>
    <row r="4539">
      <c r="A4539" s="92" t="n"/>
      <c r="B4539" s="55" t="n"/>
      <c r="C4539" s="55" t="n"/>
      <c r="D4539" s="55" t="n"/>
      <c r="E4539" s="93" t="n"/>
      <c r="F4539" s="94" t="n"/>
      <c r="G4539" s="94" t="n"/>
      <c r="H4539" s="94" t="n"/>
      <c r="I4539" s="94" t="n"/>
      <c r="J4539" s="55" t="n"/>
      <c r="K4539" s="95" t="n"/>
      <c r="L4539" s="116">
        <f>IF($A4539="","",DATE(YEAR($A4539),MONTH($A4539)+IF(AND(IFERROR(N(INDEX(Übersicht!$M$15:$M$22,MATCH($B4539,Übersicht!$A$15:$A$22,0))),0)&gt;1,DAY($A4539)&gt;=IFERROR(N(INDEX(Übersicht!$M$15:$M$22,MATCH($B4539,Übersicht!$A$15:$A$22,0))),0)),1,0),1))</f>
        <v/>
      </c>
    </row>
    <row r="4540">
      <c r="A4540" s="92" t="n"/>
      <c r="B4540" s="55" t="n"/>
      <c r="C4540" s="55" t="n"/>
      <c r="D4540" s="55" t="n"/>
      <c r="E4540" s="93" t="n"/>
      <c r="F4540" s="94" t="n"/>
      <c r="G4540" s="94" t="n"/>
      <c r="H4540" s="94" t="n"/>
      <c r="I4540" s="94" t="n"/>
      <c r="J4540" s="55" t="n"/>
      <c r="K4540" s="95" t="n"/>
      <c r="L4540" s="116">
        <f>IF($A4540="","",DATE(YEAR($A4540),MONTH($A4540)+IF(AND(IFERROR(N(INDEX(Übersicht!$M$15:$M$22,MATCH($B4540,Übersicht!$A$15:$A$22,0))),0)&gt;1,DAY($A4540)&gt;=IFERROR(N(INDEX(Übersicht!$M$15:$M$22,MATCH($B4540,Übersicht!$A$15:$A$22,0))),0)),1,0),1))</f>
        <v/>
      </c>
    </row>
    <row r="4541">
      <c r="A4541" s="92" t="n"/>
      <c r="B4541" s="55" t="n"/>
      <c r="C4541" s="55" t="n"/>
      <c r="D4541" s="55" t="n"/>
      <c r="E4541" s="93" t="n"/>
      <c r="F4541" s="94" t="n"/>
      <c r="G4541" s="94" t="n"/>
      <c r="H4541" s="94" t="n"/>
      <c r="I4541" s="94" t="n"/>
      <c r="J4541" s="55" t="n"/>
      <c r="K4541" s="95" t="n"/>
      <c r="L4541" s="116">
        <f>IF($A4541="","",DATE(YEAR($A4541),MONTH($A4541)+IF(AND(IFERROR(N(INDEX(Übersicht!$M$15:$M$22,MATCH($B4541,Übersicht!$A$15:$A$22,0))),0)&gt;1,DAY($A4541)&gt;=IFERROR(N(INDEX(Übersicht!$M$15:$M$22,MATCH($B4541,Übersicht!$A$15:$A$22,0))),0)),1,0),1))</f>
        <v/>
      </c>
    </row>
    <row r="4542">
      <c r="A4542" s="92" t="n"/>
      <c r="B4542" s="55" t="n"/>
      <c r="C4542" s="55" t="n"/>
      <c r="D4542" s="55" t="n"/>
      <c r="E4542" s="93" t="n"/>
      <c r="F4542" s="94" t="n"/>
      <c r="G4542" s="94" t="n"/>
      <c r="H4542" s="94" t="n"/>
      <c r="I4542" s="94" t="n"/>
      <c r="J4542" s="55" t="n"/>
      <c r="K4542" s="95" t="n"/>
      <c r="L4542" s="116">
        <f>IF($A4542="","",DATE(YEAR($A4542),MONTH($A4542)+IF(AND(IFERROR(N(INDEX(Übersicht!$M$15:$M$22,MATCH($B4542,Übersicht!$A$15:$A$22,0))),0)&gt;1,DAY($A4542)&gt;=IFERROR(N(INDEX(Übersicht!$M$15:$M$22,MATCH($B4542,Übersicht!$A$15:$A$22,0))),0)),1,0),1))</f>
        <v/>
      </c>
    </row>
    <row r="4543">
      <c r="A4543" s="92" t="n"/>
      <c r="B4543" s="55" t="n"/>
      <c r="C4543" s="55" t="n"/>
      <c r="D4543" s="55" t="n"/>
      <c r="E4543" s="93" t="n"/>
      <c r="F4543" s="94" t="n"/>
      <c r="G4543" s="94" t="n"/>
      <c r="H4543" s="94" t="n"/>
      <c r="I4543" s="94" t="n"/>
      <c r="J4543" s="55" t="n"/>
      <c r="K4543" s="95" t="n"/>
      <c r="L4543" s="116">
        <f>IF($A4543="","",DATE(YEAR($A4543),MONTH($A4543)+IF(AND(IFERROR(N(INDEX(Übersicht!$M$15:$M$22,MATCH($B4543,Übersicht!$A$15:$A$22,0))),0)&gt;1,DAY($A4543)&gt;=IFERROR(N(INDEX(Übersicht!$M$15:$M$22,MATCH($B4543,Übersicht!$A$15:$A$22,0))),0)),1,0),1))</f>
        <v/>
      </c>
    </row>
    <row r="4544">
      <c r="A4544" s="92" t="n"/>
      <c r="B4544" s="55" t="n"/>
      <c r="C4544" s="55" t="n"/>
      <c r="D4544" s="55" t="n"/>
      <c r="E4544" s="93" t="n"/>
      <c r="F4544" s="94" t="n"/>
      <c r="G4544" s="94" t="n"/>
      <c r="H4544" s="94" t="n"/>
      <c r="I4544" s="94" t="n"/>
      <c r="J4544" s="55" t="n"/>
      <c r="K4544" s="95" t="n"/>
      <c r="L4544" s="116">
        <f>IF($A4544="","",DATE(YEAR($A4544),MONTH($A4544)+IF(AND(IFERROR(N(INDEX(Übersicht!$M$15:$M$22,MATCH($B4544,Übersicht!$A$15:$A$22,0))),0)&gt;1,DAY($A4544)&gt;=IFERROR(N(INDEX(Übersicht!$M$15:$M$22,MATCH($B4544,Übersicht!$A$15:$A$22,0))),0)),1,0),1))</f>
        <v/>
      </c>
    </row>
    <row r="4545">
      <c r="A4545" s="92" t="n"/>
      <c r="B4545" s="55" t="n"/>
      <c r="C4545" s="55" t="n"/>
      <c r="D4545" s="55" t="n"/>
      <c r="E4545" s="93" t="n"/>
      <c r="F4545" s="94" t="n"/>
      <c r="G4545" s="94" t="n"/>
      <c r="H4545" s="94" t="n"/>
      <c r="I4545" s="94" t="n"/>
      <c r="J4545" s="55" t="n"/>
      <c r="K4545" s="95" t="n"/>
      <c r="L4545" s="116">
        <f>IF($A4545="","",DATE(YEAR($A4545),MONTH($A4545)+IF(AND(IFERROR(N(INDEX(Übersicht!$M$15:$M$22,MATCH($B4545,Übersicht!$A$15:$A$22,0))),0)&gt;1,DAY($A4545)&gt;=IFERROR(N(INDEX(Übersicht!$M$15:$M$22,MATCH($B4545,Übersicht!$A$15:$A$22,0))),0)),1,0),1))</f>
        <v/>
      </c>
    </row>
    <row r="4546">
      <c r="A4546" s="92" t="n"/>
      <c r="B4546" s="55" t="n"/>
      <c r="C4546" s="55" t="n"/>
      <c r="D4546" s="55" t="n"/>
      <c r="E4546" s="93" t="n"/>
      <c r="F4546" s="94" t="n"/>
      <c r="G4546" s="94" t="n"/>
      <c r="H4546" s="94" t="n"/>
      <c r="I4546" s="94" t="n"/>
      <c r="J4546" s="55" t="n"/>
      <c r="K4546" s="95" t="n"/>
      <c r="L4546" s="116">
        <f>IF($A4546="","",DATE(YEAR($A4546),MONTH($A4546)+IF(AND(IFERROR(N(INDEX(Übersicht!$M$15:$M$22,MATCH($B4546,Übersicht!$A$15:$A$22,0))),0)&gt;1,DAY($A4546)&gt;=IFERROR(N(INDEX(Übersicht!$M$15:$M$22,MATCH($B4546,Übersicht!$A$15:$A$22,0))),0)),1,0),1))</f>
        <v/>
      </c>
    </row>
    <row r="4547">
      <c r="A4547" s="92" t="n"/>
      <c r="B4547" s="55" t="n"/>
      <c r="C4547" s="55" t="n"/>
      <c r="D4547" s="55" t="n"/>
      <c r="E4547" s="93" t="n"/>
      <c r="F4547" s="94" t="n"/>
      <c r="G4547" s="94" t="n"/>
      <c r="H4547" s="94" t="n"/>
      <c r="I4547" s="94" t="n"/>
      <c r="J4547" s="55" t="n"/>
      <c r="K4547" s="95" t="n"/>
      <c r="L4547" s="116">
        <f>IF($A4547="","",DATE(YEAR($A4547),MONTH($A4547)+IF(AND(IFERROR(N(INDEX(Übersicht!$M$15:$M$22,MATCH($B4547,Übersicht!$A$15:$A$22,0))),0)&gt;1,DAY($A4547)&gt;=IFERROR(N(INDEX(Übersicht!$M$15:$M$22,MATCH($B4547,Übersicht!$A$15:$A$22,0))),0)),1,0),1))</f>
        <v/>
      </c>
    </row>
    <row r="4548">
      <c r="A4548" s="92" t="n"/>
      <c r="B4548" s="55" t="n"/>
      <c r="C4548" s="55" t="n"/>
      <c r="D4548" s="55" t="n"/>
      <c r="E4548" s="93" t="n"/>
      <c r="F4548" s="94" t="n"/>
      <c r="G4548" s="94" t="n"/>
      <c r="H4548" s="94" t="n"/>
      <c r="I4548" s="94" t="n"/>
      <c r="J4548" s="55" t="n"/>
      <c r="K4548" s="95" t="n"/>
      <c r="L4548" s="116">
        <f>IF($A4548="","",DATE(YEAR($A4548),MONTH($A4548)+IF(AND(IFERROR(N(INDEX(Übersicht!$M$15:$M$22,MATCH($B4548,Übersicht!$A$15:$A$22,0))),0)&gt;1,DAY($A4548)&gt;=IFERROR(N(INDEX(Übersicht!$M$15:$M$22,MATCH($B4548,Übersicht!$A$15:$A$22,0))),0)),1,0),1))</f>
        <v/>
      </c>
    </row>
    <row r="4549">
      <c r="A4549" s="92" t="n"/>
      <c r="B4549" s="55" t="n"/>
      <c r="C4549" s="55" t="n"/>
      <c r="D4549" s="55" t="n"/>
      <c r="E4549" s="93" t="n"/>
      <c r="F4549" s="94" t="n"/>
      <c r="G4549" s="94" t="n"/>
      <c r="H4549" s="94" t="n"/>
      <c r="I4549" s="94" t="n"/>
      <c r="J4549" s="55" t="n"/>
      <c r="K4549" s="95" t="n"/>
      <c r="L4549" s="116">
        <f>IF($A4549="","",DATE(YEAR($A4549),MONTH($A4549)+IF(AND(IFERROR(N(INDEX(Übersicht!$M$15:$M$22,MATCH($B4549,Übersicht!$A$15:$A$22,0))),0)&gt;1,DAY($A4549)&gt;=IFERROR(N(INDEX(Übersicht!$M$15:$M$22,MATCH($B4549,Übersicht!$A$15:$A$22,0))),0)),1,0),1))</f>
        <v/>
      </c>
    </row>
    <row r="4550">
      <c r="A4550" s="92" t="n"/>
      <c r="B4550" s="55" t="n"/>
      <c r="C4550" s="55" t="n"/>
      <c r="D4550" s="55" t="n"/>
      <c r="E4550" s="93" t="n"/>
      <c r="F4550" s="94" t="n"/>
      <c r="G4550" s="94" t="n"/>
      <c r="H4550" s="94" t="n"/>
      <c r="I4550" s="94" t="n"/>
      <c r="J4550" s="55" t="n"/>
      <c r="K4550" s="95" t="n"/>
      <c r="L4550" s="116">
        <f>IF($A4550="","",DATE(YEAR($A4550),MONTH($A4550)+IF(AND(IFERROR(N(INDEX(Übersicht!$M$15:$M$22,MATCH($B4550,Übersicht!$A$15:$A$22,0))),0)&gt;1,DAY($A4550)&gt;=IFERROR(N(INDEX(Übersicht!$M$15:$M$22,MATCH($B4550,Übersicht!$A$15:$A$22,0))),0)),1,0),1))</f>
        <v/>
      </c>
    </row>
    <row r="4551">
      <c r="A4551" s="92" t="n"/>
      <c r="B4551" s="55" t="n"/>
      <c r="C4551" s="55" t="n"/>
      <c r="D4551" s="55" t="n"/>
      <c r="E4551" s="93" t="n"/>
      <c r="F4551" s="94" t="n"/>
      <c r="G4551" s="94" t="n"/>
      <c r="H4551" s="94" t="n"/>
      <c r="I4551" s="94" t="n"/>
      <c r="J4551" s="55" t="n"/>
      <c r="K4551" s="95" t="n"/>
      <c r="L4551" s="116">
        <f>IF($A4551="","",DATE(YEAR($A4551),MONTH($A4551)+IF(AND(IFERROR(N(INDEX(Übersicht!$M$15:$M$22,MATCH($B4551,Übersicht!$A$15:$A$22,0))),0)&gt;1,DAY($A4551)&gt;=IFERROR(N(INDEX(Übersicht!$M$15:$M$22,MATCH($B4551,Übersicht!$A$15:$A$22,0))),0)),1,0),1))</f>
        <v/>
      </c>
    </row>
    <row r="4552">
      <c r="A4552" s="92" t="n"/>
      <c r="B4552" s="55" t="n"/>
      <c r="C4552" s="55" t="n"/>
      <c r="D4552" s="55" t="n"/>
      <c r="E4552" s="93" t="n"/>
      <c r="F4552" s="94" t="n"/>
      <c r="G4552" s="94" t="n"/>
      <c r="H4552" s="94" t="n"/>
      <c r="I4552" s="94" t="n"/>
      <c r="J4552" s="55" t="n"/>
      <c r="K4552" s="95" t="n"/>
      <c r="L4552" s="116">
        <f>IF($A4552="","",DATE(YEAR($A4552),MONTH($A4552)+IF(AND(IFERROR(N(INDEX(Übersicht!$M$15:$M$22,MATCH($B4552,Übersicht!$A$15:$A$22,0))),0)&gt;1,DAY($A4552)&gt;=IFERROR(N(INDEX(Übersicht!$M$15:$M$22,MATCH($B4552,Übersicht!$A$15:$A$22,0))),0)),1,0),1))</f>
        <v/>
      </c>
    </row>
    <row r="4553">
      <c r="A4553" s="92" t="n"/>
      <c r="B4553" s="55" t="n"/>
      <c r="C4553" s="55" t="n"/>
      <c r="D4553" s="55" t="n"/>
      <c r="E4553" s="93" t="n"/>
      <c r="F4553" s="94" t="n"/>
      <c r="G4553" s="94" t="n"/>
      <c r="H4553" s="94" t="n"/>
      <c r="I4553" s="94" t="n"/>
      <c r="J4553" s="55" t="n"/>
      <c r="K4553" s="95" t="n"/>
      <c r="L4553" s="116">
        <f>IF($A4553="","",DATE(YEAR($A4553),MONTH($A4553)+IF(AND(IFERROR(N(INDEX(Übersicht!$M$15:$M$22,MATCH($B4553,Übersicht!$A$15:$A$22,0))),0)&gt;1,DAY($A4553)&gt;=IFERROR(N(INDEX(Übersicht!$M$15:$M$22,MATCH($B4553,Übersicht!$A$15:$A$22,0))),0)),1,0),1))</f>
        <v/>
      </c>
    </row>
    <row r="4554">
      <c r="A4554" s="92" t="n"/>
      <c r="B4554" s="55" t="n"/>
      <c r="C4554" s="55" t="n"/>
      <c r="D4554" s="55" t="n"/>
      <c r="E4554" s="93" t="n"/>
      <c r="F4554" s="94" t="n"/>
      <c r="G4554" s="94" t="n"/>
      <c r="H4554" s="94" t="n"/>
      <c r="I4554" s="94" t="n"/>
      <c r="J4554" s="55" t="n"/>
      <c r="K4554" s="95" t="n"/>
      <c r="L4554" s="116">
        <f>IF($A4554="","",DATE(YEAR($A4554),MONTH($A4554)+IF(AND(IFERROR(N(INDEX(Übersicht!$M$15:$M$22,MATCH($B4554,Übersicht!$A$15:$A$22,0))),0)&gt;1,DAY($A4554)&gt;=IFERROR(N(INDEX(Übersicht!$M$15:$M$22,MATCH($B4554,Übersicht!$A$15:$A$22,0))),0)),1,0),1))</f>
        <v/>
      </c>
    </row>
    <row r="4555">
      <c r="A4555" s="92" t="n"/>
      <c r="B4555" s="55" t="n"/>
      <c r="C4555" s="55" t="n"/>
      <c r="D4555" s="55" t="n"/>
      <c r="E4555" s="93" t="n"/>
      <c r="F4555" s="94" t="n"/>
      <c r="G4555" s="94" t="n"/>
      <c r="H4555" s="94" t="n"/>
      <c r="I4555" s="94" t="n"/>
      <c r="J4555" s="55" t="n"/>
      <c r="K4555" s="95" t="n"/>
      <c r="L4555" s="116">
        <f>IF($A4555="","",DATE(YEAR($A4555),MONTH($A4555)+IF(AND(IFERROR(N(INDEX(Übersicht!$M$15:$M$22,MATCH($B4555,Übersicht!$A$15:$A$22,0))),0)&gt;1,DAY($A4555)&gt;=IFERROR(N(INDEX(Übersicht!$M$15:$M$22,MATCH($B4555,Übersicht!$A$15:$A$22,0))),0)),1,0),1))</f>
        <v/>
      </c>
    </row>
    <row r="4556">
      <c r="A4556" s="92" t="n"/>
      <c r="B4556" s="55" t="n"/>
      <c r="C4556" s="55" t="n"/>
      <c r="D4556" s="55" t="n"/>
      <c r="E4556" s="93" t="n"/>
      <c r="F4556" s="94" t="n"/>
      <c r="G4556" s="94" t="n"/>
      <c r="H4556" s="94" t="n"/>
      <c r="I4556" s="94" t="n"/>
      <c r="J4556" s="55" t="n"/>
      <c r="K4556" s="95" t="n"/>
      <c r="L4556" s="116">
        <f>IF($A4556="","",DATE(YEAR($A4556),MONTH($A4556)+IF(AND(IFERROR(N(INDEX(Übersicht!$M$15:$M$22,MATCH($B4556,Übersicht!$A$15:$A$22,0))),0)&gt;1,DAY($A4556)&gt;=IFERROR(N(INDEX(Übersicht!$M$15:$M$22,MATCH($B4556,Übersicht!$A$15:$A$22,0))),0)),1,0),1))</f>
        <v/>
      </c>
    </row>
    <row r="4557">
      <c r="A4557" s="92" t="n"/>
      <c r="B4557" s="55" t="n"/>
      <c r="C4557" s="55" t="n"/>
      <c r="D4557" s="55" t="n"/>
      <c r="E4557" s="93" t="n"/>
      <c r="F4557" s="94" t="n"/>
      <c r="G4557" s="94" t="n"/>
      <c r="H4557" s="94" t="n"/>
      <c r="I4557" s="94" t="n"/>
      <c r="J4557" s="55" t="n"/>
      <c r="K4557" s="95" t="n"/>
      <c r="L4557" s="116">
        <f>IF($A4557="","",DATE(YEAR($A4557),MONTH($A4557)+IF(AND(IFERROR(N(INDEX(Übersicht!$M$15:$M$22,MATCH($B4557,Übersicht!$A$15:$A$22,0))),0)&gt;1,DAY($A4557)&gt;=IFERROR(N(INDEX(Übersicht!$M$15:$M$22,MATCH($B4557,Übersicht!$A$15:$A$22,0))),0)),1,0),1))</f>
        <v/>
      </c>
    </row>
    <row r="4558">
      <c r="A4558" s="92" t="n"/>
      <c r="B4558" s="55" t="n"/>
      <c r="C4558" s="55" t="n"/>
      <c r="D4558" s="55" t="n"/>
      <c r="E4558" s="93" t="n"/>
      <c r="F4558" s="94" t="n"/>
      <c r="G4558" s="94" t="n"/>
      <c r="H4558" s="94" t="n"/>
      <c r="I4558" s="94" t="n"/>
      <c r="J4558" s="55" t="n"/>
      <c r="K4558" s="95" t="n"/>
      <c r="L4558" s="116">
        <f>IF($A4558="","",DATE(YEAR($A4558),MONTH($A4558)+IF(AND(IFERROR(N(INDEX(Übersicht!$M$15:$M$22,MATCH($B4558,Übersicht!$A$15:$A$22,0))),0)&gt;1,DAY($A4558)&gt;=IFERROR(N(INDEX(Übersicht!$M$15:$M$22,MATCH($B4558,Übersicht!$A$15:$A$22,0))),0)),1,0),1))</f>
        <v/>
      </c>
    </row>
    <row r="4559">
      <c r="A4559" s="92" t="n"/>
      <c r="B4559" s="55" t="n"/>
      <c r="C4559" s="55" t="n"/>
      <c r="D4559" s="55" t="n"/>
      <c r="E4559" s="93" t="n"/>
      <c r="F4559" s="94" t="n"/>
      <c r="G4559" s="94" t="n"/>
      <c r="H4559" s="94" t="n"/>
      <c r="I4559" s="94" t="n"/>
      <c r="J4559" s="55" t="n"/>
      <c r="K4559" s="95" t="n"/>
      <c r="L4559" s="116">
        <f>IF($A4559="","",DATE(YEAR($A4559),MONTH($A4559)+IF(AND(IFERROR(N(INDEX(Übersicht!$M$15:$M$22,MATCH($B4559,Übersicht!$A$15:$A$22,0))),0)&gt;1,DAY($A4559)&gt;=IFERROR(N(INDEX(Übersicht!$M$15:$M$22,MATCH($B4559,Übersicht!$A$15:$A$22,0))),0)),1,0),1))</f>
        <v/>
      </c>
    </row>
    <row r="4560">
      <c r="A4560" s="92" t="n"/>
      <c r="B4560" s="55" t="n"/>
      <c r="C4560" s="55" t="n"/>
      <c r="D4560" s="55" t="n"/>
      <c r="E4560" s="93" t="n"/>
      <c r="F4560" s="94" t="n"/>
      <c r="G4560" s="94" t="n"/>
      <c r="H4560" s="94" t="n"/>
      <c r="I4560" s="94" t="n"/>
      <c r="J4560" s="55" t="n"/>
      <c r="K4560" s="95" t="n"/>
      <c r="L4560" s="116">
        <f>IF($A4560="","",DATE(YEAR($A4560),MONTH($A4560)+IF(AND(IFERROR(N(INDEX(Übersicht!$M$15:$M$22,MATCH($B4560,Übersicht!$A$15:$A$22,0))),0)&gt;1,DAY($A4560)&gt;=IFERROR(N(INDEX(Übersicht!$M$15:$M$22,MATCH($B4560,Übersicht!$A$15:$A$22,0))),0)),1,0),1))</f>
        <v/>
      </c>
    </row>
    <row r="4561">
      <c r="A4561" s="92" t="n"/>
      <c r="B4561" s="55" t="n"/>
      <c r="C4561" s="55" t="n"/>
      <c r="D4561" s="55" t="n"/>
      <c r="E4561" s="93" t="n"/>
      <c r="F4561" s="94" t="n"/>
      <c r="G4561" s="94" t="n"/>
      <c r="H4561" s="94" t="n"/>
      <c r="I4561" s="94" t="n"/>
      <c r="J4561" s="55" t="n"/>
      <c r="K4561" s="95" t="n"/>
      <c r="L4561" s="116">
        <f>IF($A4561="","",DATE(YEAR($A4561),MONTH($A4561)+IF(AND(IFERROR(N(INDEX(Übersicht!$M$15:$M$22,MATCH($B4561,Übersicht!$A$15:$A$22,0))),0)&gt;1,DAY($A4561)&gt;=IFERROR(N(INDEX(Übersicht!$M$15:$M$22,MATCH($B4561,Übersicht!$A$15:$A$22,0))),0)),1,0),1))</f>
        <v/>
      </c>
    </row>
    <row r="4562">
      <c r="A4562" s="92" t="n"/>
      <c r="B4562" s="55" t="n"/>
      <c r="C4562" s="55" t="n"/>
      <c r="D4562" s="55" t="n"/>
      <c r="E4562" s="93" t="n"/>
      <c r="F4562" s="94" t="n"/>
      <c r="G4562" s="94" t="n"/>
      <c r="H4562" s="94" t="n"/>
      <c r="I4562" s="94" t="n"/>
      <c r="J4562" s="55" t="n"/>
      <c r="K4562" s="95" t="n"/>
      <c r="L4562" s="116">
        <f>IF($A4562="","",DATE(YEAR($A4562),MONTH($A4562)+IF(AND(IFERROR(N(INDEX(Übersicht!$M$15:$M$22,MATCH($B4562,Übersicht!$A$15:$A$22,0))),0)&gt;1,DAY($A4562)&gt;=IFERROR(N(INDEX(Übersicht!$M$15:$M$22,MATCH($B4562,Übersicht!$A$15:$A$22,0))),0)),1,0),1))</f>
        <v/>
      </c>
    </row>
    <row r="4563">
      <c r="A4563" s="92" t="n"/>
      <c r="B4563" s="55" t="n"/>
      <c r="C4563" s="55" t="n"/>
      <c r="D4563" s="55" t="n"/>
      <c r="E4563" s="93" t="n"/>
      <c r="F4563" s="94" t="n"/>
      <c r="G4563" s="94" t="n"/>
      <c r="H4563" s="94" t="n"/>
      <c r="I4563" s="94" t="n"/>
      <c r="J4563" s="55" t="n"/>
      <c r="K4563" s="95" t="n"/>
      <c r="L4563" s="116">
        <f>IF($A4563="","",DATE(YEAR($A4563),MONTH($A4563)+IF(AND(IFERROR(N(INDEX(Übersicht!$M$15:$M$22,MATCH($B4563,Übersicht!$A$15:$A$22,0))),0)&gt;1,DAY($A4563)&gt;=IFERROR(N(INDEX(Übersicht!$M$15:$M$22,MATCH($B4563,Übersicht!$A$15:$A$22,0))),0)),1,0),1))</f>
        <v/>
      </c>
    </row>
    <row r="4564">
      <c r="A4564" s="92" t="n"/>
      <c r="B4564" s="55" t="n"/>
      <c r="C4564" s="55" t="n"/>
      <c r="D4564" s="55" t="n"/>
      <c r="E4564" s="93" t="n"/>
      <c r="F4564" s="94" t="n"/>
      <c r="G4564" s="94" t="n"/>
      <c r="H4564" s="94" t="n"/>
      <c r="I4564" s="94" t="n"/>
      <c r="J4564" s="55" t="n"/>
      <c r="K4564" s="95" t="n"/>
      <c r="L4564" s="116">
        <f>IF($A4564="","",DATE(YEAR($A4564),MONTH($A4564)+IF(AND(IFERROR(N(INDEX(Übersicht!$M$15:$M$22,MATCH($B4564,Übersicht!$A$15:$A$22,0))),0)&gt;1,DAY($A4564)&gt;=IFERROR(N(INDEX(Übersicht!$M$15:$M$22,MATCH($B4564,Übersicht!$A$15:$A$22,0))),0)),1,0),1))</f>
        <v/>
      </c>
    </row>
    <row r="4565">
      <c r="A4565" s="92" t="n"/>
      <c r="B4565" s="55" t="n"/>
      <c r="C4565" s="55" t="n"/>
      <c r="D4565" s="55" t="n"/>
      <c r="E4565" s="93" t="n"/>
      <c r="F4565" s="94" t="n"/>
      <c r="G4565" s="94" t="n"/>
      <c r="H4565" s="94" t="n"/>
      <c r="I4565" s="94" t="n"/>
      <c r="J4565" s="55" t="n"/>
      <c r="K4565" s="95" t="n"/>
      <c r="L4565" s="116">
        <f>IF($A4565="","",DATE(YEAR($A4565),MONTH($A4565)+IF(AND(IFERROR(N(INDEX(Übersicht!$M$15:$M$22,MATCH($B4565,Übersicht!$A$15:$A$22,0))),0)&gt;1,DAY($A4565)&gt;=IFERROR(N(INDEX(Übersicht!$M$15:$M$22,MATCH($B4565,Übersicht!$A$15:$A$22,0))),0)),1,0),1))</f>
        <v/>
      </c>
    </row>
    <row r="4566">
      <c r="A4566" s="92" t="n"/>
      <c r="B4566" s="55" t="n"/>
      <c r="C4566" s="55" t="n"/>
      <c r="D4566" s="55" t="n"/>
      <c r="E4566" s="93" t="n"/>
      <c r="F4566" s="94" t="n"/>
      <c r="G4566" s="94" t="n"/>
      <c r="H4566" s="94" t="n"/>
      <c r="I4566" s="94" t="n"/>
      <c r="J4566" s="55" t="n"/>
      <c r="K4566" s="95" t="n"/>
      <c r="L4566" s="116">
        <f>IF($A4566="","",DATE(YEAR($A4566),MONTH($A4566)+IF(AND(IFERROR(N(INDEX(Übersicht!$M$15:$M$22,MATCH($B4566,Übersicht!$A$15:$A$22,0))),0)&gt;1,DAY($A4566)&gt;=IFERROR(N(INDEX(Übersicht!$M$15:$M$22,MATCH($B4566,Übersicht!$A$15:$A$22,0))),0)),1,0),1))</f>
        <v/>
      </c>
    </row>
    <row r="4567">
      <c r="A4567" s="92" t="n"/>
      <c r="B4567" s="55" t="n"/>
      <c r="C4567" s="55" t="n"/>
      <c r="D4567" s="55" t="n"/>
      <c r="E4567" s="93" t="n"/>
      <c r="F4567" s="94" t="n"/>
      <c r="G4567" s="94" t="n"/>
      <c r="H4567" s="94" t="n"/>
      <c r="I4567" s="94" t="n"/>
      <c r="J4567" s="55" t="n"/>
      <c r="K4567" s="95" t="n"/>
      <c r="L4567" s="116">
        <f>IF($A4567="","",DATE(YEAR($A4567),MONTH($A4567)+IF(AND(IFERROR(N(INDEX(Übersicht!$M$15:$M$22,MATCH($B4567,Übersicht!$A$15:$A$22,0))),0)&gt;1,DAY($A4567)&gt;=IFERROR(N(INDEX(Übersicht!$M$15:$M$22,MATCH($B4567,Übersicht!$A$15:$A$22,0))),0)),1,0),1))</f>
        <v/>
      </c>
    </row>
    <row r="4568">
      <c r="A4568" s="92" t="n"/>
      <c r="B4568" s="55" t="n"/>
      <c r="C4568" s="55" t="n"/>
      <c r="D4568" s="55" t="n"/>
      <c r="E4568" s="93" t="n"/>
      <c r="F4568" s="94" t="n"/>
      <c r="G4568" s="94" t="n"/>
      <c r="H4568" s="94" t="n"/>
      <c r="I4568" s="94" t="n"/>
      <c r="J4568" s="55" t="n"/>
      <c r="K4568" s="95" t="n"/>
      <c r="L4568" s="116">
        <f>IF($A4568="","",DATE(YEAR($A4568),MONTH($A4568)+IF(AND(IFERROR(N(INDEX(Übersicht!$M$15:$M$22,MATCH($B4568,Übersicht!$A$15:$A$22,0))),0)&gt;1,DAY($A4568)&gt;=IFERROR(N(INDEX(Übersicht!$M$15:$M$22,MATCH($B4568,Übersicht!$A$15:$A$22,0))),0)),1,0),1))</f>
        <v/>
      </c>
    </row>
    <row r="4569">
      <c r="A4569" s="92" t="n"/>
      <c r="B4569" s="55" t="n"/>
      <c r="C4569" s="55" t="n"/>
      <c r="D4569" s="55" t="n"/>
      <c r="E4569" s="93" t="n"/>
      <c r="F4569" s="94" t="n"/>
      <c r="G4569" s="94" t="n"/>
      <c r="H4569" s="94" t="n"/>
      <c r="I4569" s="94" t="n"/>
      <c r="J4569" s="55" t="n"/>
      <c r="K4569" s="95" t="n"/>
      <c r="L4569" s="116">
        <f>IF($A4569="","",DATE(YEAR($A4569),MONTH($A4569)+IF(AND(IFERROR(N(INDEX(Übersicht!$M$15:$M$22,MATCH($B4569,Übersicht!$A$15:$A$22,0))),0)&gt;1,DAY($A4569)&gt;=IFERROR(N(INDEX(Übersicht!$M$15:$M$22,MATCH($B4569,Übersicht!$A$15:$A$22,0))),0)),1,0),1))</f>
        <v/>
      </c>
    </row>
    <row r="4570">
      <c r="A4570" s="92" t="n"/>
      <c r="B4570" s="55" t="n"/>
      <c r="C4570" s="55" t="n"/>
      <c r="D4570" s="55" t="n"/>
      <c r="E4570" s="93" t="n"/>
      <c r="F4570" s="94" t="n"/>
      <c r="G4570" s="94" t="n"/>
      <c r="H4570" s="94" t="n"/>
      <c r="I4570" s="94" t="n"/>
      <c r="J4570" s="55" t="n"/>
      <c r="K4570" s="95" t="n"/>
      <c r="L4570" s="116">
        <f>IF($A4570="","",DATE(YEAR($A4570),MONTH($A4570)+IF(AND(IFERROR(N(INDEX(Übersicht!$M$15:$M$22,MATCH($B4570,Übersicht!$A$15:$A$22,0))),0)&gt;1,DAY($A4570)&gt;=IFERROR(N(INDEX(Übersicht!$M$15:$M$22,MATCH($B4570,Übersicht!$A$15:$A$22,0))),0)),1,0),1))</f>
        <v/>
      </c>
    </row>
    <row r="4571">
      <c r="A4571" s="92" t="n"/>
      <c r="B4571" s="55" t="n"/>
      <c r="C4571" s="55" t="n"/>
      <c r="D4571" s="55" t="n"/>
      <c r="E4571" s="93" t="n"/>
      <c r="F4571" s="94" t="n"/>
      <c r="G4571" s="94" t="n"/>
      <c r="H4571" s="94" t="n"/>
      <c r="I4571" s="94" t="n"/>
      <c r="J4571" s="55" t="n"/>
      <c r="K4571" s="95" t="n"/>
      <c r="L4571" s="116">
        <f>IF($A4571="","",DATE(YEAR($A4571),MONTH($A4571)+IF(AND(IFERROR(N(INDEX(Übersicht!$M$15:$M$22,MATCH($B4571,Übersicht!$A$15:$A$22,0))),0)&gt;1,DAY($A4571)&gt;=IFERROR(N(INDEX(Übersicht!$M$15:$M$22,MATCH($B4571,Übersicht!$A$15:$A$22,0))),0)),1,0),1))</f>
        <v/>
      </c>
    </row>
    <row r="4572">
      <c r="A4572" s="92" t="n"/>
      <c r="B4572" s="55" t="n"/>
      <c r="C4572" s="55" t="n"/>
      <c r="D4572" s="55" t="n"/>
      <c r="E4572" s="93" t="n"/>
      <c r="F4572" s="94" t="n"/>
      <c r="G4572" s="94" t="n"/>
      <c r="H4572" s="94" t="n"/>
      <c r="I4572" s="94" t="n"/>
      <c r="J4572" s="55" t="n"/>
      <c r="K4572" s="95" t="n"/>
      <c r="L4572" s="116">
        <f>IF($A4572="","",DATE(YEAR($A4572),MONTH($A4572)+IF(AND(IFERROR(N(INDEX(Übersicht!$M$15:$M$22,MATCH($B4572,Übersicht!$A$15:$A$22,0))),0)&gt;1,DAY($A4572)&gt;=IFERROR(N(INDEX(Übersicht!$M$15:$M$22,MATCH($B4572,Übersicht!$A$15:$A$22,0))),0)),1,0),1))</f>
        <v/>
      </c>
    </row>
    <row r="4573">
      <c r="A4573" s="92" t="n"/>
      <c r="B4573" s="55" t="n"/>
      <c r="C4573" s="55" t="n"/>
      <c r="D4573" s="55" t="n"/>
      <c r="E4573" s="93" t="n"/>
      <c r="F4573" s="94" t="n"/>
      <c r="G4573" s="94" t="n"/>
      <c r="H4573" s="94" t="n"/>
      <c r="I4573" s="94" t="n"/>
      <c r="J4573" s="55" t="n"/>
      <c r="K4573" s="95" t="n"/>
      <c r="L4573" s="116">
        <f>IF($A4573="","",DATE(YEAR($A4573),MONTH($A4573)+IF(AND(IFERROR(N(INDEX(Übersicht!$M$15:$M$22,MATCH($B4573,Übersicht!$A$15:$A$22,0))),0)&gt;1,DAY($A4573)&gt;=IFERROR(N(INDEX(Übersicht!$M$15:$M$22,MATCH($B4573,Übersicht!$A$15:$A$22,0))),0)),1,0),1))</f>
        <v/>
      </c>
    </row>
    <row r="4574">
      <c r="A4574" s="92" t="n"/>
      <c r="B4574" s="55" t="n"/>
      <c r="C4574" s="55" t="n"/>
      <c r="D4574" s="55" t="n"/>
      <c r="E4574" s="93" t="n"/>
      <c r="F4574" s="94" t="n"/>
      <c r="G4574" s="94" t="n"/>
      <c r="H4574" s="94" t="n"/>
      <c r="I4574" s="94" t="n"/>
      <c r="J4574" s="55" t="n"/>
      <c r="K4574" s="95" t="n"/>
      <c r="L4574" s="116">
        <f>IF($A4574="","",DATE(YEAR($A4574),MONTH($A4574)+IF(AND(IFERROR(N(INDEX(Übersicht!$M$15:$M$22,MATCH($B4574,Übersicht!$A$15:$A$22,0))),0)&gt;1,DAY($A4574)&gt;=IFERROR(N(INDEX(Übersicht!$M$15:$M$22,MATCH($B4574,Übersicht!$A$15:$A$22,0))),0)),1,0),1))</f>
        <v/>
      </c>
    </row>
    <row r="4575">
      <c r="A4575" s="92" t="n"/>
      <c r="B4575" s="55" t="n"/>
      <c r="C4575" s="55" t="n"/>
      <c r="D4575" s="55" t="n"/>
      <c r="E4575" s="93" t="n"/>
      <c r="F4575" s="94" t="n"/>
      <c r="G4575" s="94" t="n"/>
      <c r="H4575" s="94" t="n"/>
      <c r="I4575" s="94" t="n"/>
      <c r="J4575" s="55" t="n"/>
      <c r="K4575" s="95" t="n"/>
      <c r="L4575" s="116">
        <f>IF($A4575="","",DATE(YEAR($A4575),MONTH($A4575)+IF(AND(IFERROR(N(INDEX(Übersicht!$M$15:$M$22,MATCH($B4575,Übersicht!$A$15:$A$22,0))),0)&gt;1,DAY($A4575)&gt;=IFERROR(N(INDEX(Übersicht!$M$15:$M$22,MATCH($B4575,Übersicht!$A$15:$A$22,0))),0)),1,0),1))</f>
        <v/>
      </c>
    </row>
    <row r="4576">
      <c r="A4576" s="92" t="n"/>
      <c r="B4576" s="55" t="n"/>
      <c r="C4576" s="55" t="n"/>
      <c r="D4576" s="55" t="n"/>
      <c r="E4576" s="93" t="n"/>
      <c r="F4576" s="94" t="n"/>
      <c r="G4576" s="94" t="n"/>
      <c r="H4576" s="94" t="n"/>
      <c r="I4576" s="94" t="n"/>
      <c r="J4576" s="55" t="n"/>
      <c r="K4576" s="95" t="n"/>
      <c r="L4576" s="116">
        <f>IF($A4576="","",DATE(YEAR($A4576),MONTH($A4576)+IF(AND(IFERROR(N(INDEX(Übersicht!$M$15:$M$22,MATCH($B4576,Übersicht!$A$15:$A$22,0))),0)&gt;1,DAY($A4576)&gt;=IFERROR(N(INDEX(Übersicht!$M$15:$M$22,MATCH($B4576,Übersicht!$A$15:$A$22,0))),0)),1,0),1))</f>
        <v/>
      </c>
    </row>
    <row r="4577">
      <c r="A4577" s="92" t="n"/>
      <c r="B4577" s="55" t="n"/>
      <c r="C4577" s="55" t="n"/>
      <c r="D4577" s="55" t="n"/>
      <c r="E4577" s="93" t="n"/>
      <c r="F4577" s="94" t="n"/>
      <c r="G4577" s="94" t="n"/>
      <c r="H4577" s="94" t="n"/>
      <c r="I4577" s="94" t="n"/>
      <c r="J4577" s="55" t="n"/>
      <c r="K4577" s="95" t="n"/>
      <c r="L4577" s="116">
        <f>IF($A4577="","",DATE(YEAR($A4577),MONTH($A4577)+IF(AND(IFERROR(N(INDEX(Übersicht!$M$15:$M$22,MATCH($B4577,Übersicht!$A$15:$A$22,0))),0)&gt;1,DAY($A4577)&gt;=IFERROR(N(INDEX(Übersicht!$M$15:$M$22,MATCH($B4577,Übersicht!$A$15:$A$22,0))),0)),1,0),1))</f>
        <v/>
      </c>
    </row>
    <row r="4578">
      <c r="A4578" s="92" t="n"/>
      <c r="B4578" s="55" t="n"/>
      <c r="C4578" s="55" t="n"/>
      <c r="D4578" s="55" t="n"/>
      <c r="E4578" s="93" t="n"/>
      <c r="F4578" s="94" t="n"/>
      <c r="G4578" s="94" t="n"/>
      <c r="H4578" s="94" t="n"/>
      <c r="I4578" s="94" t="n"/>
      <c r="J4578" s="55" t="n"/>
      <c r="K4578" s="95" t="n"/>
      <c r="L4578" s="116">
        <f>IF($A4578="","",DATE(YEAR($A4578),MONTH($A4578)+IF(AND(IFERROR(N(INDEX(Übersicht!$M$15:$M$22,MATCH($B4578,Übersicht!$A$15:$A$22,0))),0)&gt;1,DAY($A4578)&gt;=IFERROR(N(INDEX(Übersicht!$M$15:$M$22,MATCH($B4578,Übersicht!$A$15:$A$22,0))),0)),1,0),1))</f>
        <v/>
      </c>
    </row>
    <row r="4579">
      <c r="A4579" s="92" t="n"/>
      <c r="B4579" s="55" t="n"/>
      <c r="C4579" s="55" t="n"/>
      <c r="D4579" s="55" t="n"/>
      <c r="E4579" s="93" t="n"/>
      <c r="F4579" s="94" t="n"/>
      <c r="G4579" s="94" t="n"/>
      <c r="H4579" s="94" t="n"/>
      <c r="I4579" s="94" t="n"/>
      <c r="J4579" s="55" t="n"/>
      <c r="K4579" s="95" t="n"/>
      <c r="L4579" s="116">
        <f>IF($A4579="","",DATE(YEAR($A4579),MONTH($A4579)+IF(AND(IFERROR(N(INDEX(Übersicht!$M$15:$M$22,MATCH($B4579,Übersicht!$A$15:$A$22,0))),0)&gt;1,DAY($A4579)&gt;=IFERROR(N(INDEX(Übersicht!$M$15:$M$22,MATCH($B4579,Übersicht!$A$15:$A$22,0))),0)),1,0),1))</f>
        <v/>
      </c>
    </row>
    <row r="4580">
      <c r="A4580" s="92" t="n"/>
      <c r="B4580" s="55" t="n"/>
      <c r="C4580" s="55" t="n"/>
      <c r="D4580" s="55" t="n"/>
      <c r="E4580" s="93" t="n"/>
      <c r="F4580" s="94" t="n"/>
      <c r="G4580" s="94" t="n"/>
      <c r="H4580" s="94" t="n"/>
      <c r="I4580" s="94" t="n"/>
      <c r="J4580" s="55" t="n"/>
      <c r="K4580" s="95" t="n"/>
      <c r="L4580" s="116">
        <f>IF($A4580="","",DATE(YEAR($A4580),MONTH($A4580)+IF(AND(IFERROR(N(INDEX(Übersicht!$M$15:$M$22,MATCH($B4580,Übersicht!$A$15:$A$22,0))),0)&gt;1,DAY($A4580)&gt;=IFERROR(N(INDEX(Übersicht!$M$15:$M$22,MATCH($B4580,Übersicht!$A$15:$A$22,0))),0)),1,0),1))</f>
        <v/>
      </c>
    </row>
    <row r="4581">
      <c r="A4581" s="92" t="n"/>
      <c r="B4581" s="55" t="n"/>
      <c r="C4581" s="55" t="n"/>
      <c r="D4581" s="55" t="n"/>
      <c r="E4581" s="93" t="n"/>
      <c r="F4581" s="94" t="n"/>
      <c r="G4581" s="94" t="n"/>
      <c r="H4581" s="94" t="n"/>
      <c r="I4581" s="94" t="n"/>
      <c r="J4581" s="55" t="n"/>
      <c r="K4581" s="95" t="n"/>
      <c r="L4581" s="116">
        <f>IF($A4581="","",DATE(YEAR($A4581),MONTH($A4581)+IF(AND(IFERROR(N(INDEX(Übersicht!$M$15:$M$22,MATCH($B4581,Übersicht!$A$15:$A$22,0))),0)&gt;1,DAY($A4581)&gt;=IFERROR(N(INDEX(Übersicht!$M$15:$M$22,MATCH($B4581,Übersicht!$A$15:$A$22,0))),0)),1,0),1))</f>
        <v/>
      </c>
    </row>
    <row r="4582">
      <c r="A4582" s="92" t="n"/>
      <c r="B4582" s="55" t="n"/>
      <c r="C4582" s="55" t="n"/>
      <c r="D4582" s="55" t="n"/>
      <c r="E4582" s="93" t="n"/>
      <c r="F4582" s="94" t="n"/>
      <c r="G4582" s="94" t="n"/>
      <c r="H4582" s="94" t="n"/>
      <c r="I4582" s="94" t="n"/>
      <c r="J4582" s="55" t="n"/>
      <c r="K4582" s="95" t="n"/>
      <c r="L4582" s="116">
        <f>IF($A4582="","",DATE(YEAR($A4582),MONTH($A4582)+IF(AND(IFERROR(N(INDEX(Übersicht!$M$15:$M$22,MATCH($B4582,Übersicht!$A$15:$A$22,0))),0)&gt;1,DAY($A4582)&gt;=IFERROR(N(INDEX(Übersicht!$M$15:$M$22,MATCH($B4582,Übersicht!$A$15:$A$22,0))),0)),1,0),1))</f>
        <v/>
      </c>
    </row>
    <row r="4583">
      <c r="A4583" s="92" t="n"/>
      <c r="B4583" s="55" t="n"/>
      <c r="C4583" s="55" t="n"/>
      <c r="D4583" s="55" t="n"/>
      <c r="E4583" s="93" t="n"/>
      <c r="F4583" s="94" t="n"/>
      <c r="G4583" s="94" t="n"/>
      <c r="H4583" s="94" t="n"/>
      <c r="I4583" s="94" t="n"/>
      <c r="J4583" s="55" t="n"/>
      <c r="K4583" s="95" t="n"/>
      <c r="L4583" s="116">
        <f>IF($A4583="","",DATE(YEAR($A4583),MONTH($A4583)+IF(AND(IFERROR(N(INDEX(Übersicht!$M$15:$M$22,MATCH($B4583,Übersicht!$A$15:$A$22,0))),0)&gt;1,DAY($A4583)&gt;=IFERROR(N(INDEX(Übersicht!$M$15:$M$22,MATCH($B4583,Übersicht!$A$15:$A$22,0))),0)),1,0),1))</f>
        <v/>
      </c>
    </row>
    <row r="4584">
      <c r="A4584" s="92" t="n"/>
      <c r="B4584" s="55" t="n"/>
      <c r="C4584" s="55" t="n"/>
      <c r="D4584" s="55" t="n"/>
      <c r="E4584" s="93" t="n"/>
      <c r="F4584" s="94" t="n"/>
      <c r="G4584" s="94" t="n"/>
      <c r="H4584" s="94" t="n"/>
      <c r="I4584" s="94" t="n"/>
      <c r="J4584" s="55" t="n"/>
      <c r="K4584" s="95" t="n"/>
      <c r="L4584" s="116">
        <f>IF($A4584="","",DATE(YEAR($A4584),MONTH($A4584)+IF(AND(IFERROR(N(INDEX(Übersicht!$M$15:$M$22,MATCH($B4584,Übersicht!$A$15:$A$22,0))),0)&gt;1,DAY($A4584)&gt;=IFERROR(N(INDEX(Übersicht!$M$15:$M$22,MATCH($B4584,Übersicht!$A$15:$A$22,0))),0)),1,0),1))</f>
        <v/>
      </c>
    </row>
    <row r="4585">
      <c r="A4585" s="92" t="n"/>
      <c r="B4585" s="55" t="n"/>
      <c r="C4585" s="55" t="n"/>
      <c r="D4585" s="55" t="n"/>
      <c r="E4585" s="93" t="n"/>
      <c r="F4585" s="94" t="n"/>
      <c r="G4585" s="94" t="n"/>
      <c r="H4585" s="94" t="n"/>
      <c r="I4585" s="94" t="n"/>
      <c r="J4585" s="55" t="n"/>
      <c r="K4585" s="95" t="n"/>
      <c r="L4585" s="116">
        <f>IF($A4585="","",DATE(YEAR($A4585),MONTH($A4585)+IF(AND(IFERROR(N(INDEX(Übersicht!$M$15:$M$22,MATCH($B4585,Übersicht!$A$15:$A$22,0))),0)&gt;1,DAY($A4585)&gt;=IFERROR(N(INDEX(Übersicht!$M$15:$M$22,MATCH($B4585,Übersicht!$A$15:$A$22,0))),0)),1,0),1))</f>
        <v/>
      </c>
    </row>
    <row r="4586">
      <c r="A4586" s="92" t="n"/>
      <c r="B4586" s="55" t="n"/>
      <c r="C4586" s="55" t="n"/>
      <c r="D4586" s="55" t="n"/>
      <c r="E4586" s="93" t="n"/>
      <c r="F4586" s="94" t="n"/>
      <c r="G4586" s="94" t="n"/>
      <c r="H4586" s="94" t="n"/>
      <c r="I4586" s="94" t="n"/>
      <c r="J4586" s="55" t="n"/>
      <c r="K4586" s="95" t="n"/>
      <c r="L4586" s="116">
        <f>IF($A4586="","",DATE(YEAR($A4586),MONTH($A4586)+IF(AND(IFERROR(N(INDEX(Übersicht!$M$15:$M$22,MATCH($B4586,Übersicht!$A$15:$A$22,0))),0)&gt;1,DAY($A4586)&gt;=IFERROR(N(INDEX(Übersicht!$M$15:$M$22,MATCH($B4586,Übersicht!$A$15:$A$22,0))),0)),1,0),1))</f>
        <v/>
      </c>
    </row>
    <row r="4587">
      <c r="A4587" s="92" t="n"/>
      <c r="B4587" s="55" t="n"/>
      <c r="C4587" s="55" t="n"/>
      <c r="D4587" s="55" t="n"/>
      <c r="E4587" s="93" t="n"/>
      <c r="F4587" s="94" t="n"/>
      <c r="G4587" s="94" t="n"/>
      <c r="H4587" s="94" t="n"/>
      <c r="I4587" s="94" t="n"/>
      <c r="J4587" s="55" t="n"/>
      <c r="K4587" s="95" t="n"/>
      <c r="L4587" s="116">
        <f>IF($A4587="","",DATE(YEAR($A4587),MONTH($A4587)+IF(AND(IFERROR(N(INDEX(Übersicht!$M$15:$M$22,MATCH($B4587,Übersicht!$A$15:$A$22,0))),0)&gt;1,DAY($A4587)&gt;=IFERROR(N(INDEX(Übersicht!$M$15:$M$22,MATCH($B4587,Übersicht!$A$15:$A$22,0))),0)),1,0),1))</f>
        <v/>
      </c>
    </row>
    <row r="4588">
      <c r="A4588" s="92" t="n"/>
      <c r="B4588" s="55" t="n"/>
      <c r="C4588" s="55" t="n"/>
      <c r="D4588" s="55" t="n"/>
      <c r="E4588" s="93" t="n"/>
      <c r="F4588" s="94" t="n"/>
      <c r="G4588" s="94" t="n"/>
      <c r="H4588" s="94" t="n"/>
      <c r="I4588" s="94" t="n"/>
      <c r="J4588" s="55" t="n"/>
      <c r="K4588" s="95" t="n"/>
      <c r="L4588" s="116">
        <f>IF($A4588="","",DATE(YEAR($A4588),MONTH($A4588)+IF(AND(IFERROR(N(INDEX(Übersicht!$M$15:$M$22,MATCH($B4588,Übersicht!$A$15:$A$22,0))),0)&gt;1,DAY($A4588)&gt;=IFERROR(N(INDEX(Übersicht!$M$15:$M$22,MATCH($B4588,Übersicht!$A$15:$A$22,0))),0)),1,0),1))</f>
        <v/>
      </c>
    </row>
    <row r="4589">
      <c r="A4589" s="92" t="n"/>
      <c r="B4589" s="55" t="n"/>
      <c r="C4589" s="55" t="n"/>
      <c r="D4589" s="55" t="n"/>
      <c r="E4589" s="93" t="n"/>
      <c r="F4589" s="94" t="n"/>
      <c r="G4589" s="94" t="n"/>
      <c r="H4589" s="94" t="n"/>
      <c r="I4589" s="94" t="n"/>
      <c r="J4589" s="55" t="n"/>
      <c r="K4589" s="95" t="n"/>
      <c r="L4589" s="116">
        <f>IF($A4589="","",DATE(YEAR($A4589),MONTH($A4589)+IF(AND(IFERROR(N(INDEX(Übersicht!$M$15:$M$22,MATCH($B4589,Übersicht!$A$15:$A$22,0))),0)&gt;1,DAY($A4589)&gt;=IFERROR(N(INDEX(Übersicht!$M$15:$M$22,MATCH($B4589,Übersicht!$A$15:$A$22,0))),0)),1,0),1))</f>
        <v/>
      </c>
    </row>
    <row r="4590">
      <c r="A4590" s="92" t="n"/>
      <c r="B4590" s="55" t="n"/>
      <c r="C4590" s="55" t="n"/>
      <c r="D4590" s="55" t="n"/>
      <c r="E4590" s="93" t="n"/>
      <c r="F4590" s="94" t="n"/>
      <c r="G4590" s="94" t="n"/>
      <c r="H4590" s="94" t="n"/>
      <c r="I4590" s="94" t="n"/>
      <c r="J4590" s="55" t="n"/>
      <c r="K4590" s="95" t="n"/>
      <c r="L4590" s="116">
        <f>IF($A4590="","",DATE(YEAR($A4590),MONTH($A4590)+IF(AND(IFERROR(N(INDEX(Übersicht!$M$15:$M$22,MATCH($B4590,Übersicht!$A$15:$A$22,0))),0)&gt;1,DAY($A4590)&gt;=IFERROR(N(INDEX(Übersicht!$M$15:$M$22,MATCH($B4590,Übersicht!$A$15:$A$22,0))),0)),1,0),1))</f>
        <v/>
      </c>
    </row>
    <row r="4591">
      <c r="A4591" s="92" t="n"/>
      <c r="B4591" s="55" t="n"/>
      <c r="C4591" s="55" t="n"/>
      <c r="D4591" s="55" t="n"/>
      <c r="E4591" s="93" t="n"/>
      <c r="F4591" s="94" t="n"/>
      <c r="G4591" s="94" t="n"/>
      <c r="H4591" s="94" t="n"/>
      <c r="I4591" s="94" t="n"/>
      <c r="J4591" s="55" t="n"/>
      <c r="K4591" s="95" t="n"/>
      <c r="L4591" s="116">
        <f>IF($A4591="","",DATE(YEAR($A4591),MONTH($A4591)+IF(AND(IFERROR(N(INDEX(Übersicht!$M$15:$M$22,MATCH($B4591,Übersicht!$A$15:$A$22,0))),0)&gt;1,DAY($A4591)&gt;=IFERROR(N(INDEX(Übersicht!$M$15:$M$22,MATCH($B4591,Übersicht!$A$15:$A$22,0))),0)),1,0),1))</f>
        <v/>
      </c>
    </row>
    <row r="4592">
      <c r="A4592" s="92" t="n"/>
      <c r="B4592" s="55" t="n"/>
      <c r="C4592" s="55" t="n"/>
      <c r="D4592" s="55" t="n"/>
      <c r="E4592" s="93" t="n"/>
      <c r="F4592" s="94" t="n"/>
      <c r="G4592" s="94" t="n"/>
      <c r="H4592" s="94" t="n"/>
      <c r="I4592" s="94" t="n"/>
      <c r="J4592" s="55" t="n"/>
      <c r="K4592" s="95" t="n"/>
      <c r="L4592" s="116">
        <f>IF($A4592="","",DATE(YEAR($A4592),MONTH($A4592)+IF(AND(IFERROR(N(INDEX(Übersicht!$M$15:$M$22,MATCH($B4592,Übersicht!$A$15:$A$22,0))),0)&gt;1,DAY($A4592)&gt;=IFERROR(N(INDEX(Übersicht!$M$15:$M$22,MATCH($B4592,Übersicht!$A$15:$A$22,0))),0)),1,0),1))</f>
        <v/>
      </c>
    </row>
    <row r="4593">
      <c r="A4593" s="92" t="n"/>
      <c r="B4593" s="55" t="n"/>
      <c r="C4593" s="55" t="n"/>
      <c r="D4593" s="55" t="n"/>
      <c r="E4593" s="93" t="n"/>
      <c r="F4593" s="94" t="n"/>
      <c r="G4593" s="94" t="n"/>
      <c r="H4593" s="94" t="n"/>
      <c r="I4593" s="94" t="n"/>
      <c r="J4593" s="55" t="n"/>
      <c r="K4593" s="95" t="n"/>
      <c r="L4593" s="116">
        <f>IF($A4593="","",DATE(YEAR($A4593),MONTH($A4593)+IF(AND(IFERROR(N(INDEX(Übersicht!$M$15:$M$22,MATCH($B4593,Übersicht!$A$15:$A$22,0))),0)&gt;1,DAY($A4593)&gt;=IFERROR(N(INDEX(Übersicht!$M$15:$M$22,MATCH($B4593,Übersicht!$A$15:$A$22,0))),0)),1,0),1))</f>
        <v/>
      </c>
    </row>
    <row r="4594">
      <c r="A4594" s="92" t="n"/>
      <c r="B4594" s="55" t="n"/>
      <c r="C4594" s="55" t="n"/>
      <c r="D4594" s="55" t="n"/>
      <c r="E4594" s="93" t="n"/>
      <c r="F4594" s="94" t="n"/>
      <c r="G4594" s="94" t="n"/>
      <c r="H4594" s="94" t="n"/>
      <c r="I4594" s="94" t="n"/>
      <c r="J4594" s="55" t="n"/>
      <c r="K4594" s="95" t="n"/>
      <c r="L4594" s="116">
        <f>IF($A4594="","",DATE(YEAR($A4594),MONTH($A4594)+IF(AND(IFERROR(N(INDEX(Übersicht!$M$15:$M$22,MATCH($B4594,Übersicht!$A$15:$A$22,0))),0)&gt;1,DAY($A4594)&gt;=IFERROR(N(INDEX(Übersicht!$M$15:$M$22,MATCH($B4594,Übersicht!$A$15:$A$22,0))),0)),1,0),1))</f>
        <v/>
      </c>
    </row>
    <row r="4595">
      <c r="A4595" s="92" t="n"/>
      <c r="B4595" s="55" t="n"/>
      <c r="C4595" s="55" t="n"/>
      <c r="D4595" s="55" t="n"/>
      <c r="E4595" s="93" t="n"/>
      <c r="F4595" s="94" t="n"/>
      <c r="G4595" s="94" t="n"/>
      <c r="H4595" s="94" t="n"/>
      <c r="I4595" s="94" t="n"/>
      <c r="J4595" s="55" t="n"/>
      <c r="K4595" s="95" t="n"/>
      <c r="L4595" s="116">
        <f>IF($A4595="","",DATE(YEAR($A4595),MONTH($A4595)+IF(AND(IFERROR(N(INDEX(Übersicht!$M$15:$M$22,MATCH($B4595,Übersicht!$A$15:$A$22,0))),0)&gt;1,DAY($A4595)&gt;=IFERROR(N(INDEX(Übersicht!$M$15:$M$22,MATCH($B4595,Übersicht!$A$15:$A$22,0))),0)),1,0),1))</f>
        <v/>
      </c>
    </row>
    <row r="4596">
      <c r="A4596" s="92" t="n"/>
      <c r="B4596" s="55" t="n"/>
      <c r="C4596" s="55" t="n"/>
      <c r="D4596" s="55" t="n"/>
      <c r="E4596" s="93" t="n"/>
      <c r="F4596" s="94" t="n"/>
      <c r="G4596" s="94" t="n"/>
      <c r="H4596" s="94" t="n"/>
      <c r="I4596" s="94" t="n"/>
      <c r="J4596" s="55" t="n"/>
      <c r="K4596" s="95" t="n"/>
      <c r="L4596" s="116">
        <f>IF($A4596="","",DATE(YEAR($A4596),MONTH($A4596)+IF(AND(IFERROR(N(INDEX(Übersicht!$M$15:$M$22,MATCH($B4596,Übersicht!$A$15:$A$22,0))),0)&gt;1,DAY($A4596)&gt;=IFERROR(N(INDEX(Übersicht!$M$15:$M$22,MATCH($B4596,Übersicht!$A$15:$A$22,0))),0)),1,0),1))</f>
        <v/>
      </c>
    </row>
    <row r="4597">
      <c r="A4597" s="92" t="n"/>
      <c r="B4597" s="55" t="n"/>
      <c r="C4597" s="55" t="n"/>
      <c r="D4597" s="55" t="n"/>
      <c r="E4597" s="93" t="n"/>
      <c r="F4597" s="94" t="n"/>
      <c r="G4597" s="94" t="n"/>
      <c r="H4597" s="94" t="n"/>
      <c r="I4597" s="94" t="n"/>
      <c r="J4597" s="55" t="n"/>
      <c r="K4597" s="95" t="n"/>
      <c r="L4597" s="116">
        <f>IF($A4597="","",DATE(YEAR($A4597),MONTH($A4597)+IF(AND(IFERROR(N(INDEX(Übersicht!$M$15:$M$22,MATCH($B4597,Übersicht!$A$15:$A$22,0))),0)&gt;1,DAY($A4597)&gt;=IFERROR(N(INDEX(Übersicht!$M$15:$M$22,MATCH($B4597,Übersicht!$A$15:$A$22,0))),0)),1,0),1))</f>
        <v/>
      </c>
    </row>
    <row r="4598">
      <c r="A4598" s="92" t="n"/>
      <c r="B4598" s="55" t="n"/>
      <c r="C4598" s="55" t="n"/>
      <c r="D4598" s="55" t="n"/>
      <c r="E4598" s="93" t="n"/>
      <c r="F4598" s="94" t="n"/>
      <c r="G4598" s="94" t="n"/>
      <c r="H4598" s="94" t="n"/>
      <c r="I4598" s="94" t="n"/>
      <c r="J4598" s="55" t="n"/>
      <c r="K4598" s="95" t="n"/>
      <c r="L4598" s="116">
        <f>IF($A4598="","",DATE(YEAR($A4598),MONTH($A4598)+IF(AND(IFERROR(N(INDEX(Übersicht!$M$15:$M$22,MATCH($B4598,Übersicht!$A$15:$A$22,0))),0)&gt;1,DAY($A4598)&gt;=IFERROR(N(INDEX(Übersicht!$M$15:$M$22,MATCH($B4598,Übersicht!$A$15:$A$22,0))),0)),1,0),1))</f>
        <v/>
      </c>
    </row>
    <row r="4599">
      <c r="A4599" s="92" t="n"/>
      <c r="B4599" s="55" t="n"/>
      <c r="C4599" s="55" t="n"/>
      <c r="D4599" s="55" t="n"/>
      <c r="E4599" s="93" t="n"/>
      <c r="F4599" s="94" t="n"/>
      <c r="G4599" s="94" t="n"/>
      <c r="H4599" s="94" t="n"/>
      <c r="I4599" s="94" t="n"/>
      <c r="J4599" s="55" t="n"/>
      <c r="K4599" s="95" t="n"/>
      <c r="L4599" s="116">
        <f>IF($A4599="","",DATE(YEAR($A4599),MONTH($A4599)+IF(AND(IFERROR(N(INDEX(Übersicht!$M$15:$M$22,MATCH($B4599,Übersicht!$A$15:$A$22,0))),0)&gt;1,DAY($A4599)&gt;=IFERROR(N(INDEX(Übersicht!$M$15:$M$22,MATCH($B4599,Übersicht!$A$15:$A$22,0))),0)),1,0),1))</f>
        <v/>
      </c>
    </row>
    <row r="4600">
      <c r="A4600" s="92" t="n"/>
      <c r="B4600" s="55" t="n"/>
      <c r="C4600" s="55" t="n"/>
      <c r="D4600" s="55" t="n"/>
      <c r="E4600" s="93" t="n"/>
      <c r="F4600" s="94" t="n"/>
      <c r="G4600" s="94" t="n"/>
      <c r="H4600" s="94" t="n"/>
      <c r="I4600" s="94" t="n"/>
      <c r="J4600" s="55" t="n"/>
      <c r="K4600" s="95" t="n"/>
      <c r="L4600" s="116">
        <f>IF($A4600="","",DATE(YEAR($A4600),MONTH($A4600)+IF(AND(IFERROR(N(INDEX(Übersicht!$M$15:$M$22,MATCH($B4600,Übersicht!$A$15:$A$22,0))),0)&gt;1,DAY($A4600)&gt;=IFERROR(N(INDEX(Übersicht!$M$15:$M$22,MATCH($B4600,Übersicht!$A$15:$A$22,0))),0)),1,0),1))</f>
        <v/>
      </c>
    </row>
    <row r="4601">
      <c r="A4601" s="92" t="n"/>
      <c r="B4601" s="55" t="n"/>
      <c r="C4601" s="55" t="n"/>
      <c r="D4601" s="55" t="n"/>
      <c r="E4601" s="93" t="n"/>
      <c r="F4601" s="94" t="n"/>
      <c r="G4601" s="94" t="n"/>
      <c r="H4601" s="94" t="n"/>
      <c r="I4601" s="94" t="n"/>
      <c r="J4601" s="55" t="n"/>
      <c r="K4601" s="95" t="n"/>
      <c r="L4601" s="116">
        <f>IF($A4601="","",DATE(YEAR($A4601),MONTH($A4601)+IF(AND(IFERROR(N(INDEX(Übersicht!$M$15:$M$22,MATCH($B4601,Übersicht!$A$15:$A$22,0))),0)&gt;1,DAY($A4601)&gt;=IFERROR(N(INDEX(Übersicht!$M$15:$M$22,MATCH($B4601,Übersicht!$A$15:$A$22,0))),0)),1,0),1))</f>
        <v/>
      </c>
    </row>
    <row r="4602">
      <c r="A4602" s="92" t="n"/>
      <c r="B4602" s="55" t="n"/>
      <c r="C4602" s="55" t="n"/>
      <c r="D4602" s="55" t="n"/>
      <c r="E4602" s="93" t="n"/>
      <c r="F4602" s="94" t="n"/>
      <c r="G4602" s="94" t="n"/>
      <c r="H4602" s="94" t="n"/>
      <c r="I4602" s="94" t="n"/>
      <c r="J4602" s="55" t="n"/>
      <c r="K4602" s="95" t="n"/>
      <c r="L4602" s="116">
        <f>IF($A4602="","",DATE(YEAR($A4602),MONTH($A4602)+IF(AND(IFERROR(N(INDEX(Übersicht!$M$15:$M$22,MATCH($B4602,Übersicht!$A$15:$A$22,0))),0)&gt;1,DAY($A4602)&gt;=IFERROR(N(INDEX(Übersicht!$M$15:$M$22,MATCH($B4602,Übersicht!$A$15:$A$22,0))),0)),1,0),1))</f>
        <v/>
      </c>
    </row>
    <row r="4603">
      <c r="A4603" s="92" t="n"/>
      <c r="B4603" s="55" t="n"/>
      <c r="C4603" s="55" t="n"/>
      <c r="D4603" s="55" t="n"/>
      <c r="E4603" s="93" t="n"/>
      <c r="F4603" s="94" t="n"/>
      <c r="G4603" s="94" t="n"/>
      <c r="H4603" s="94" t="n"/>
      <c r="I4603" s="94" t="n"/>
      <c r="J4603" s="55" t="n"/>
      <c r="K4603" s="95" t="n"/>
      <c r="L4603" s="116">
        <f>IF($A4603="","",DATE(YEAR($A4603),MONTH($A4603)+IF(AND(IFERROR(N(INDEX(Übersicht!$M$15:$M$22,MATCH($B4603,Übersicht!$A$15:$A$22,0))),0)&gt;1,DAY($A4603)&gt;=IFERROR(N(INDEX(Übersicht!$M$15:$M$22,MATCH($B4603,Übersicht!$A$15:$A$22,0))),0)),1,0),1))</f>
        <v/>
      </c>
    </row>
    <row r="4604">
      <c r="A4604" s="92" t="n"/>
      <c r="B4604" s="55" t="n"/>
      <c r="C4604" s="55" t="n"/>
      <c r="D4604" s="55" t="n"/>
      <c r="E4604" s="93" t="n"/>
      <c r="F4604" s="94" t="n"/>
      <c r="G4604" s="94" t="n"/>
      <c r="H4604" s="94" t="n"/>
      <c r="I4604" s="94" t="n"/>
      <c r="J4604" s="55" t="n"/>
      <c r="K4604" s="95" t="n"/>
      <c r="L4604" s="116">
        <f>IF($A4604="","",DATE(YEAR($A4604),MONTH($A4604)+IF(AND(IFERROR(N(INDEX(Übersicht!$M$15:$M$22,MATCH($B4604,Übersicht!$A$15:$A$22,0))),0)&gt;1,DAY($A4604)&gt;=IFERROR(N(INDEX(Übersicht!$M$15:$M$22,MATCH($B4604,Übersicht!$A$15:$A$22,0))),0)),1,0),1))</f>
        <v/>
      </c>
    </row>
    <row r="4605">
      <c r="A4605" s="92" t="n"/>
      <c r="B4605" s="55" t="n"/>
      <c r="C4605" s="55" t="n"/>
      <c r="D4605" s="55" t="n"/>
      <c r="E4605" s="93" t="n"/>
      <c r="F4605" s="94" t="n"/>
      <c r="G4605" s="94" t="n"/>
      <c r="H4605" s="94" t="n"/>
      <c r="I4605" s="94" t="n"/>
      <c r="J4605" s="55" t="n"/>
      <c r="K4605" s="95" t="n"/>
      <c r="L4605" s="116">
        <f>IF($A4605="","",DATE(YEAR($A4605),MONTH($A4605)+IF(AND(IFERROR(N(INDEX(Übersicht!$M$15:$M$22,MATCH($B4605,Übersicht!$A$15:$A$22,0))),0)&gt;1,DAY($A4605)&gt;=IFERROR(N(INDEX(Übersicht!$M$15:$M$22,MATCH($B4605,Übersicht!$A$15:$A$22,0))),0)),1,0),1))</f>
        <v/>
      </c>
    </row>
    <row r="4606">
      <c r="A4606" s="92" t="n"/>
      <c r="B4606" s="55" t="n"/>
      <c r="C4606" s="55" t="n"/>
      <c r="D4606" s="55" t="n"/>
      <c r="E4606" s="93" t="n"/>
      <c r="F4606" s="94" t="n"/>
      <c r="G4606" s="94" t="n"/>
      <c r="H4606" s="94" t="n"/>
      <c r="I4606" s="94" t="n"/>
      <c r="J4606" s="55" t="n"/>
      <c r="K4606" s="95" t="n"/>
      <c r="L4606" s="116">
        <f>IF($A4606="","",DATE(YEAR($A4606),MONTH($A4606)+IF(AND(IFERROR(N(INDEX(Übersicht!$M$15:$M$22,MATCH($B4606,Übersicht!$A$15:$A$22,0))),0)&gt;1,DAY($A4606)&gt;=IFERROR(N(INDEX(Übersicht!$M$15:$M$22,MATCH($B4606,Übersicht!$A$15:$A$22,0))),0)),1,0),1))</f>
        <v/>
      </c>
    </row>
    <row r="4607">
      <c r="A4607" s="92" t="n"/>
      <c r="B4607" s="55" t="n"/>
      <c r="C4607" s="55" t="n"/>
      <c r="D4607" s="55" t="n"/>
      <c r="E4607" s="93" t="n"/>
      <c r="F4607" s="94" t="n"/>
      <c r="G4607" s="94" t="n"/>
      <c r="H4607" s="94" t="n"/>
      <c r="I4607" s="94" t="n"/>
      <c r="J4607" s="55" t="n"/>
      <c r="K4607" s="95" t="n"/>
      <c r="L4607" s="116">
        <f>IF($A4607="","",DATE(YEAR($A4607),MONTH($A4607)+IF(AND(IFERROR(N(INDEX(Übersicht!$M$15:$M$22,MATCH($B4607,Übersicht!$A$15:$A$22,0))),0)&gt;1,DAY($A4607)&gt;=IFERROR(N(INDEX(Übersicht!$M$15:$M$22,MATCH($B4607,Übersicht!$A$15:$A$22,0))),0)),1,0),1))</f>
        <v/>
      </c>
    </row>
    <row r="4608">
      <c r="A4608" s="92" t="n"/>
      <c r="B4608" s="55" t="n"/>
      <c r="C4608" s="55" t="n"/>
      <c r="D4608" s="55" t="n"/>
      <c r="E4608" s="93" t="n"/>
      <c r="F4608" s="94" t="n"/>
      <c r="G4608" s="94" t="n"/>
      <c r="H4608" s="94" t="n"/>
      <c r="I4608" s="94" t="n"/>
      <c r="J4608" s="55" t="n"/>
      <c r="K4608" s="95" t="n"/>
      <c r="L4608" s="116">
        <f>IF($A4608="","",DATE(YEAR($A4608),MONTH($A4608)+IF(AND(IFERROR(N(INDEX(Übersicht!$M$15:$M$22,MATCH($B4608,Übersicht!$A$15:$A$22,0))),0)&gt;1,DAY($A4608)&gt;=IFERROR(N(INDEX(Übersicht!$M$15:$M$22,MATCH($B4608,Übersicht!$A$15:$A$22,0))),0)),1,0),1))</f>
        <v/>
      </c>
    </row>
    <row r="4609">
      <c r="A4609" s="92" t="n"/>
      <c r="B4609" s="55" t="n"/>
      <c r="C4609" s="55" t="n"/>
      <c r="D4609" s="55" t="n"/>
      <c r="E4609" s="93" t="n"/>
      <c r="F4609" s="94" t="n"/>
      <c r="G4609" s="94" t="n"/>
      <c r="H4609" s="94" t="n"/>
      <c r="I4609" s="94" t="n"/>
      <c r="J4609" s="55" t="n"/>
      <c r="K4609" s="95" t="n"/>
      <c r="L4609" s="116">
        <f>IF($A4609="","",DATE(YEAR($A4609),MONTH($A4609)+IF(AND(IFERROR(N(INDEX(Übersicht!$M$15:$M$22,MATCH($B4609,Übersicht!$A$15:$A$22,0))),0)&gt;1,DAY($A4609)&gt;=IFERROR(N(INDEX(Übersicht!$M$15:$M$22,MATCH($B4609,Übersicht!$A$15:$A$22,0))),0)),1,0),1))</f>
        <v/>
      </c>
    </row>
    <row r="4610">
      <c r="A4610" s="92" t="n"/>
      <c r="B4610" s="55" t="n"/>
      <c r="C4610" s="55" t="n"/>
      <c r="D4610" s="55" t="n"/>
      <c r="E4610" s="93" t="n"/>
      <c r="F4610" s="94" t="n"/>
      <c r="G4610" s="94" t="n"/>
      <c r="H4610" s="94" t="n"/>
      <c r="I4610" s="94" t="n"/>
      <c r="J4610" s="55" t="n"/>
      <c r="K4610" s="95" t="n"/>
      <c r="L4610" s="116">
        <f>IF($A4610="","",DATE(YEAR($A4610),MONTH($A4610)+IF(AND(IFERROR(N(INDEX(Übersicht!$M$15:$M$22,MATCH($B4610,Übersicht!$A$15:$A$22,0))),0)&gt;1,DAY($A4610)&gt;=IFERROR(N(INDEX(Übersicht!$M$15:$M$22,MATCH($B4610,Übersicht!$A$15:$A$22,0))),0)),1,0),1))</f>
        <v/>
      </c>
    </row>
    <row r="4611">
      <c r="A4611" s="92" t="n"/>
      <c r="B4611" s="55" t="n"/>
      <c r="C4611" s="55" t="n"/>
      <c r="D4611" s="55" t="n"/>
      <c r="E4611" s="93" t="n"/>
      <c r="F4611" s="94" t="n"/>
      <c r="G4611" s="94" t="n"/>
      <c r="H4611" s="94" t="n"/>
      <c r="I4611" s="94" t="n"/>
      <c r="J4611" s="55" t="n"/>
      <c r="K4611" s="95" t="n"/>
      <c r="L4611" s="116">
        <f>IF($A4611="","",DATE(YEAR($A4611),MONTH($A4611)+IF(AND(IFERROR(N(INDEX(Übersicht!$M$15:$M$22,MATCH($B4611,Übersicht!$A$15:$A$22,0))),0)&gt;1,DAY($A4611)&gt;=IFERROR(N(INDEX(Übersicht!$M$15:$M$22,MATCH($B4611,Übersicht!$A$15:$A$22,0))),0)),1,0),1))</f>
        <v/>
      </c>
    </row>
    <row r="4612">
      <c r="A4612" s="92" t="n"/>
      <c r="B4612" s="55" t="n"/>
      <c r="C4612" s="55" t="n"/>
      <c r="D4612" s="55" t="n"/>
      <c r="E4612" s="93" t="n"/>
      <c r="F4612" s="94" t="n"/>
      <c r="G4612" s="94" t="n"/>
      <c r="H4612" s="94" t="n"/>
      <c r="I4612" s="94" t="n"/>
      <c r="J4612" s="55" t="n"/>
      <c r="K4612" s="95" t="n"/>
      <c r="L4612" s="116">
        <f>IF($A4612="","",DATE(YEAR($A4612),MONTH($A4612)+IF(AND(IFERROR(N(INDEX(Übersicht!$M$15:$M$22,MATCH($B4612,Übersicht!$A$15:$A$22,0))),0)&gt;1,DAY($A4612)&gt;=IFERROR(N(INDEX(Übersicht!$M$15:$M$22,MATCH($B4612,Übersicht!$A$15:$A$22,0))),0)),1,0),1))</f>
        <v/>
      </c>
    </row>
    <row r="4613">
      <c r="A4613" s="92" t="n"/>
      <c r="B4613" s="55" t="n"/>
      <c r="C4613" s="55" t="n"/>
      <c r="D4613" s="55" t="n"/>
      <c r="E4613" s="93" t="n"/>
      <c r="F4613" s="94" t="n"/>
      <c r="G4613" s="94" t="n"/>
      <c r="H4613" s="94" t="n"/>
      <c r="I4613" s="94" t="n"/>
      <c r="J4613" s="55" t="n"/>
      <c r="K4613" s="95" t="n"/>
      <c r="L4613" s="116">
        <f>IF($A4613="","",DATE(YEAR($A4613),MONTH($A4613)+IF(AND(IFERROR(N(INDEX(Übersicht!$M$15:$M$22,MATCH($B4613,Übersicht!$A$15:$A$22,0))),0)&gt;1,DAY($A4613)&gt;=IFERROR(N(INDEX(Übersicht!$M$15:$M$22,MATCH($B4613,Übersicht!$A$15:$A$22,0))),0)),1,0),1))</f>
        <v/>
      </c>
    </row>
    <row r="4614">
      <c r="A4614" s="92" t="n"/>
      <c r="B4614" s="55" t="n"/>
      <c r="C4614" s="55" t="n"/>
      <c r="D4614" s="55" t="n"/>
      <c r="E4614" s="93" t="n"/>
      <c r="F4614" s="94" t="n"/>
      <c r="G4614" s="94" t="n"/>
      <c r="H4614" s="94" t="n"/>
      <c r="I4614" s="94" t="n"/>
      <c r="J4614" s="55" t="n"/>
      <c r="K4614" s="95" t="n"/>
      <c r="L4614" s="116">
        <f>IF($A4614="","",DATE(YEAR($A4614),MONTH($A4614)+IF(AND(IFERROR(N(INDEX(Übersicht!$M$15:$M$22,MATCH($B4614,Übersicht!$A$15:$A$22,0))),0)&gt;1,DAY($A4614)&gt;=IFERROR(N(INDEX(Übersicht!$M$15:$M$22,MATCH($B4614,Übersicht!$A$15:$A$22,0))),0)),1,0),1))</f>
        <v/>
      </c>
    </row>
    <row r="4615">
      <c r="A4615" s="92" t="n"/>
      <c r="B4615" s="55" t="n"/>
      <c r="C4615" s="55" t="n"/>
      <c r="D4615" s="55" t="n"/>
      <c r="E4615" s="93" t="n"/>
      <c r="F4615" s="94" t="n"/>
      <c r="G4615" s="94" t="n"/>
      <c r="H4615" s="94" t="n"/>
      <c r="I4615" s="94" t="n"/>
      <c r="J4615" s="55" t="n"/>
      <c r="K4615" s="95" t="n"/>
      <c r="L4615" s="116">
        <f>IF($A4615="","",DATE(YEAR($A4615),MONTH($A4615)+IF(AND(IFERROR(N(INDEX(Übersicht!$M$15:$M$22,MATCH($B4615,Übersicht!$A$15:$A$22,0))),0)&gt;1,DAY($A4615)&gt;=IFERROR(N(INDEX(Übersicht!$M$15:$M$22,MATCH($B4615,Übersicht!$A$15:$A$22,0))),0)),1,0),1))</f>
        <v/>
      </c>
    </row>
    <row r="4616">
      <c r="A4616" s="92" t="n"/>
      <c r="B4616" s="55" t="n"/>
      <c r="C4616" s="55" t="n"/>
      <c r="D4616" s="55" t="n"/>
      <c r="E4616" s="93" t="n"/>
      <c r="F4616" s="94" t="n"/>
      <c r="G4616" s="94" t="n"/>
      <c r="H4616" s="94" t="n"/>
      <c r="I4616" s="94" t="n"/>
      <c r="J4616" s="55" t="n"/>
      <c r="K4616" s="95" t="n"/>
      <c r="L4616" s="116">
        <f>IF($A4616="","",DATE(YEAR($A4616),MONTH($A4616)+IF(AND(IFERROR(N(INDEX(Übersicht!$M$15:$M$22,MATCH($B4616,Übersicht!$A$15:$A$22,0))),0)&gt;1,DAY($A4616)&gt;=IFERROR(N(INDEX(Übersicht!$M$15:$M$22,MATCH($B4616,Übersicht!$A$15:$A$22,0))),0)),1,0),1))</f>
        <v/>
      </c>
    </row>
    <row r="4617">
      <c r="A4617" s="92" t="n"/>
      <c r="B4617" s="55" t="n"/>
      <c r="C4617" s="55" t="n"/>
      <c r="D4617" s="55" t="n"/>
      <c r="E4617" s="93" t="n"/>
      <c r="F4617" s="94" t="n"/>
      <c r="G4617" s="94" t="n"/>
      <c r="H4617" s="94" t="n"/>
      <c r="I4617" s="94" t="n"/>
      <c r="J4617" s="55" t="n"/>
      <c r="K4617" s="95" t="n"/>
      <c r="L4617" s="116">
        <f>IF($A4617="","",DATE(YEAR($A4617),MONTH($A4617)+IF(AND(IFERROR(N(INDEX(Übersicht!$M$15:$M$22,MATCH($B4617,Übersicht!$A$15:$A$22,0))),0)&gt;1,DAY($A4617)&gt;=IFERROR(N(INDEX(Übersicht!$M$15:$M$22,MATCH($B4617,Übersicht!$A$15:$A$22,0))),0)),1,0),1))</f>
        <v/>
      </c>
    </row>
    <row r="4618">
      <c r="A4618" s="92" t="n"/>
      <c r="B4618" s="55" t="n"/>
      <c r="C4618" s="55" t="n"/>
      <c r="D4618" s="55" t="n"/>
      <c r="E4618" s="93" t="n"/>
      <c r="F4618" s="94" t="n"/>
      <c r="G4618" s="94" t="n"/>
      <c r="H4618" s="94" t="n"/>
      <c r="I4618" s="94" t="n"/>
      <c r="J4618" s="55" t="n"/>
      <c r="K4618" s="95" t="n"/>
      <c r="L4618" s="116">
        <f>IF($A4618="","",DATE(YEAR($A4618),MONTH($A4618)+IF(AND(IFERROR(N(INDEX(Übersicht!$M$15:$M$22,MATCH($B4618,Übersicht!$A$15:$A$22,0))),0)&gt;1,DAY($A4618)&gt;=IFERROR(N(INDEX(Übersicht!$M$15:$M$22,MATCH($B4618,Übersicht!$A$15:$A$22,0))),0)),1,0),1))</f>
        <v/>
      </c>
    </row>
    <row r="4619">
      <c r="A4619" s="92" t="n"/>
      <c r="B4619" s="55" t="n"/>
      <c r="C4619" s="55" t="n"/>
      <c r="D4619" s="55" t="n"/>
      <c r="E4619" s="93" t="n"/>
      <c r="F4619" s="94" t="n"/>
      <c r="G4619" s="94" t="n"/>
      <c r="H4619" s="94" t="n"/>
      <c r="I4619" s="94" t="n"/>
      <c r="J4619" s="55" t="n"/>
      <c r="K4619" s="95" t="n"/>
      <c r="L4619" s="116">
        <f>IF($A4619="","",DATE(YEAR($A4619),MONTH($A4619)+IF(AND(IFERROR(N(INDEX(Übersicht!$M$15:$M$22,MATCH($B4619,Übersicht!$A$15:$A$22,0))),0)&gt;1,DAY($A4619)&gt;=IFERROR(N(INDEX(Übersicht!$M$15:$M$22,MATCH($B4619,Übersicht!$A$15:$A$22,0))),0)),1,0),1))</f>
        <v/>
      </c>
    </row>
    <row r="4620">
      <c r="A4620" s="92" t="n"/>
      <c r="B4620" s="55" t="n"/>
      <c r="C4620" s="55" t="n"/>
      <c r="D4620" s="55" t="n"/>
      <c r="E4620" s="93" t="n"/>
      <c r="F4620" s="94" t="n"/>
      <c r="G4620" s="94" t="n"/>
      <c r="H4620" s="94" t="n"/>
      <c r="I4620" s="94" t="n"/>
      <c r="J4620" s="55" t="n"/>
      <c r="K4620" s="95" t="n"/>
      <c r="L4620" s="116">
        <f>IF($A4620="","",DATE(YEAR($A4620),MONTH($A4620)+IF(AND(IFERROR(N(INDEX(Übersicht!$M$15:$M$22,MATCH($B4620,Übersicht!$A$15:$A$22,0))),0)&gt;1,DAY($A4620)&gt;=IFERROR(N(INDEX(Übersicht!$M$15:$M$22,MATCH($B4620,Übersicht!$A$15:$A$22,0))),0)),1,0),1))</f>
        <v/>
      </c>
    </row>
    <row r="4621">
      <c r="A4621" s="92" t="n"/>
      <c r="B4621" s="55" t="n"/>
      <c r="C4621" s="55" t="n"/>
      <c r="D4621" s="55" t="n"/>
      <c r="E4621" s="93" t="n"/>
      <c r="F4621" s="94" t="n"/>
      <c r="G4621" s="94" t="n"/>
      <c r="H4621" s="94" t="n"/>
      <c r="I4621" s="94" t="n"/>
      <c r="J4621" s="55" t="n"/>
      <c r="K4621" s="95" t="n"/>
      <c r="L4621" s="116">
        <f>IF($A4621="","",DATE(YEAR($A4621),MONTH($A4621)+IF(AND(IFERROR(N(INDEX(Übersicht!$M$15:$M$22,MATCH($B4621,Übersicht!$A$15:$A$22,0))),0)&gt;1,DAY($A4621)&gt;=IFERROR(N(INDEX(Übersicht!$M$15:$M$22,MATCH($B4621,Übersicht!$A$15:$A$22,0))),0)),1,0),1))</f>
        <v/>
      </c>
    </row>
    <row r="4622">
      <c r="A4622" s="92" t="n"/>
      <c r="B4622" s="55" t="n"/>
      <c r="C4622" s="55" t="n"/>
      <c r="D4622" s="55" t="n"/>
      <c r="E4622" s="93" t="n"/>
      <c r="F4622" s="94" t="n"/>
      <c r="G4622" s="94" t="n"/>
      <c r="H4622" s="94" t="n"/>
      <c r="I4622" s="94" t="n"/>
      <c r="J4622" s="55" t="n"/>
      <c r="K4622" s="95" t="n"/>
      <c r="L4622" s="116">
        <f>IF($A4622="","",DATE(YEAR($A4622),MONTH($A4622)+IF(AND(IFERROR(N(INDEX(Übersicht!$M$15:$M$22,MATCH($B4622,Übersicht!$A$15:$A$22,0))),0)&gt;1,DAY($A4622)&gt;=IFERROR(N(INDEX(Übersicht!$M$15:$M$22,MATCH($B4622,Übersicht!$A$15:$A$22,0))),0)),1,0),1))</f>
        <v/>
      </c>
    </row>
    <row r="4623">
      <c r="A4623" s="92" t="n"/>
      <c r="B4623" s="55" t="n"/>
      <c r="C4623" s="55" t="n"/>
      <c r="D4623" s="55" t="n"/>
      <c r="E4623" s="93" t="n"/>
      <c r="F4623" s="94" t="n"/>
      <c r="G4623" s="94" t="n"/>
      <c r="H4623" s="94" t="n"/>
      <c r="I4623" s="94" t="n"/>
      <c r="J4623" s="55" t="n"/>
      <c r="K4623" s="95" t="n"/>
      <c r="L4623" s="116">
        <f>IF($A4623="","",DATE(YEAR($A4623),MONTH($A4623)+IF(AND(IFERROR(N(INDEX(Übersicht!$M$15:$M$22,MATCH($B4623,Übersicht!$A$15:$A$22,0))),0)&gt;1,DAY($A4623)&gt;=IFERROR(N(INDEX(Übersicht!$M$15:$M$22,MATCH($B4623,Übersicht!$A$15:$A$22,0))),0)),1,0),1))</f>
        <v/>
      </c>
    </row>
    <row r="4624">
      <c r="A4624" s="92" t="n"/>
      <c r="B4624" s="55" t="n"/>
      <c r="C4624" s="55" t="n"/>
      <c r="D4624" s="55" t="n"/>
      <c r="E4624" s="93" t="n"/>
      <c r="F4624" s="94" t="n"/>
      <c r="G4624" s="94" t="n"/>
      <c r="H4624" s="94" t="n"/>
      <c r="I4624" s="94" t="n"/>
      <c r="J4624" s="55" t="n"/>
      <c r="K4624" s="95" t="n"/>
      <c r="L4624" s="116">
        <f>IF($A4624="","",DATE(YEAR($A4624),MONTH($A4624)+IF(AND(IFERROR(N(INDEX(Übersicht!$M$15:$M$22,MATCH($B4624,Übersicht!$A$15:$A$22,0))),0)&gt;1,DAY($A4624)&gt;=IFERROR(N(INDEX(Übersicht!$M$15:$M$22,MATCH($B4624,Übersicht!$A$15:$A$22,0))),0)),1,0),1))</f>
        <v/>
      </c>
    </row>
    <row r="4625">
      <c r="A4625" s="92" t="n"/>
      <c r="B4625" s="55" t="n"/>
      <c r="C4625" s="55" t="n"/>
      <c r="D4625" s="55" t="n"/>
      <c r="E4625" s="93" t="n"/>
      <c r="F4625" s="94" t="n"/>
      <c r="G4625" s="94" t="n"/>
      <c r="H4625" s="94" t="n"/>
      <c r="I4625" s="94" t="n"/>
      <c r="J4625" s="55" t="n"/>
      <c r="K4625" s="95" t="n"/>
      <c r="L4625" s="116">
        <f>IF($A4625="","",DATE(YEAR($A4625),MONTH($A4625)+IF(AND(IFERROR(N(INDEX(Übersicht!$M$15:$M$22,MATCH($B4625,Übersicht!$A$15:$A$22,0))),0)&gt;1,DAY($A4625)&gt;=IFERROR(N(INDEX(Übersicht!$M$15:$M$22,MATCH($B4625,Übersicht!$A$15:$A$22,0))),0)),1,0),1))</f>
        <v/>
      </c>
    </row>
    <row r="4626">
      <c r="A4626" s="92" t="n"/>
      <c r="B4626" s="55" t="n"/>
      <c r="C4626" s="55" t="n"/>
      <c r="D4626" s="55" t="n"/>
      <c r="E4626" s="93" t="n"/>
      <c r="F4626" s="94" t="n"/>
      <c r="G4626" s="94" t="n"/>
      <c r="H4626" s="94" t="n"/>
      <c r="I4626" s="94" t="n"/>
      <c r="J4626" s="55" t="n"/>
      <c r="K4626" s="95" t="n"/>
      <c r="L4626" s="116">
        <f>IF($A4626="","",DATE(YEAR($A4626),MONTH($A4626)+IF(AND(IFERROR(N(INDEX(Übersicht!$M$15:$M$22,MATCH($B4626,Übersicht!$A$15:$A$22,0))),0)&gt;1,DAY($A4626)&gt;=IFERROR(N(INDEX(Übersicht!$M$15:$M$22,MATCH($B4626,Übersicht!$A$15:$A$22,0))),0)),1,0),1))</f>
        <v/>
      </c>
    </row>
    <row r="4627">
      <c r="A4627" s="92" t="n"/>
      <c r="B4627" s="55" t="n"/>
      <c r="C4627" s="55" t="n"/>
      <c r="D4627" s="55" t="n"/>
      <c r="E4627" s="93" t="n"/>
      <c r="F4627" s="94" t="n"/>
      <c r="G4627" s="94" t="n"/>
      <c r="H4627" s="94" t="n"/>
      <c r="I4627" s="94" t="n"/>
      <c r="J4627" s="55" t="n"/>
      <c r="K4627" s="95" t="n"/>
      <c r="L4627" s="116">
        <f>IF($A4627="","",DATE(YEAR($A4627),MONTH($A4627)+IF(AND(IFERROR(N(INDEX(Übersicht!$M$15:$M$22,MATCH($B4627,Übersicht!$A$15:$A$22,0))),0)&gt;1,DAY($A4627)&gt;=IFERROR(N(INDEX(Übersicht!$M$15:$M$22,MATCH($B4627,Übersicht!$A$15:$A$22,0))),0)),1,0),1))</f>
        <v/>
      </c>
    </row>
    <row r="4628">
      <c r="A4628" s="92" t="n"/>
      <c r="B4628" s="55" t="n"/>
      <c r="C4628" s="55" t="n"/>
      <c r="D4628" s="55" t="n"/>
      <c r="E4628" s="93" t="n"/>
      <c r="F4628" s="94" t="n"/>
      <c r="G4628" s="94" t="n"/>
      <c r="H4628" s="94" t="n"/>
      <c r="I4628" s="94" t="n"/>
      <c r="J4628" s="55" t="n"/>
      <c r="K4628" s="95" t="n"/>
      <c r="L4628" s="116">
        <f>IF($A4628="","",DATE(YEAR($A4628),MONTH($A4628)+IF(AND(IFERROR(N(INDEX(Übersicht!$M$15:$M$22,MATCH($B4628,Übersicht!$A$15:$A$22,0))),0)&gt;1,DAY($A4628)&gt;=IFERROR(N(INDEX(Übersicht!$M$15:$M$22,MATCH($B4628,Übersicht!$A$15:$A$22,0))),0)),1,0),1))</f>
        <v/>
      </c>
    </row>
    <row r="4629">
      <c r="A4629" s="92" t="n"/>
      <c r="B4629" s="55" t="n"/>
      <c r="C4629" s="55" t="n"/>
      <c r="D4629" s="55" t="n"/>
      <c r="E4629" s="93" t="n"/>
      <c r="F4629" s="94" t="n"/>
      <c r="G4629" s="94" t="n"/>
      <c r="H4629" s="94" t="n"/>
      <c r="I4629" s="94" t="n"/>
      <c r="J4629" s="55" t="n"/>
      <c r="K4629" s="95" t="n"/>
      <c r="L4629" s="116">
        <f>IF($A4629="","",DATE(YEAR($A4629),MONTH($A4629)+IF(AND(IFERROR(N(INDEX(Übersicht!$M$15:$M$22,MATCH($B4629,Übersicht!$A$15:$A$22,0))),0)&gt;1,DAY($A4629)&gt;=IFERROR(N(INDEX(Übersicht!$M$15:$M$22,MATCH($B4629,Übersicht!$A$15:$A$22,0))),0)),1,0),1))</f>
        <v/>
      </c>
    </row>
    <row r="4630">
      <c r="A4630" s="92" t="n"/>
      <c r="B4630" s="55" t="n"/>
      <c r="C4630" s="55" t="n"/>
      <c r="D4630" s="55" t="n"/>
      <c r="E4630" s="93" t="n"/>
      <c r="F4630" s="94" t="n"/>
      <c r="G4630" s="94" t="n"/>
      <c r="H4630" s="94" t="n"/>
      <c r="I4630" s="94" t="n"/>
      <c r="J4630" s="55" t="n"/>
      <c r="K4630" s="95" t="n"/>
      <c r="L4630" s="116">
        <f>IF($A4630="","",DATE(YEAR($A4630),MONTH($A4630)+IF(AND(IFERROR(N(INDEX(Übersicht!$M$15:$M$22,MATCH($B4630,Übersicht!$A$15:$A$22,0))),0)&gt;1,DAY($A4630)&gt;=IFERROR(N(INDEX(Übersicht!$M$15:$M$22,MATCH($B4630,Übersicht!$A$15:$A$22,0))),0)),1,0),1))</f>
        <v/>
      </c>
    </row>
    <row r="4631">
      <c r="A4631" s="92" t="n"/>
      <c r="B4631" s="55" t="n"/>
      <c r="C4631" s="55" t="n"/>
      <c r="D4631" s="55" t="n"/>
      <c r="E4631" s="93" t="n"/>
      <c r="F4631" s="94" t="n"/>
      <c r="G4631" s="94" t="n"/>
      <c r="H4631" s="94" t="n"/>
      <c r="I4631" s="94" t="n"/>
      <c r="J4631" s="55" t="n"/>
      <c r="K4631" s="95" t="n"/>
      <c r="L4631" s="116">
        <f>IF($A4631="","",DATE(YEAR($A4631),MONTH($A4631)+IF(AND(IFERROR(N(INDEX(Übersicht!$M$15:$M$22,MATCH($B4631,Übersicht!$A$15:$A$22,0))),0)&gt;1,DAY($A4631)&gt;=IFERROR(N(INDEX(Übersicht!$M$15:$M$22,MATCH($B4631,Übersicht!$A$15:$A$22,0))),0)),1,0),1))</f>
        <v/>
      </c>
    </row>
    <row r="4632">
      <c r="A4632" s="92" t="n"/>
      <c r="B4632" s="55" t="n"/>
      <c r="C4632" s="55" t="n"/>
      <c r="D4632" s="55" t="n"/>
      <c r="E4632" s="93" t="n"/>
      <c r="F4632" s="94" t="n"/>
      <c r="G4632" s="94" t="n"/>
      <c r="H4632" s="94" t="n"/>
      <c r="I4632" s="94" t="n"/>
      <c r="J4632" s="55" t="n"/>
      <c r="K4632" s="95" t="n"/>
      <c r="L4632" s="116">
        <f>IF($A4632="","",DATE(YEAR($A4632),MONTH($A4632)+IF(AND(IFERROR(N(INDEX(Übersicht!$M$15:$M$22,MATCH($B4632,Übersicht!$A$15:$A$22,0))),0)&gt;1,DAY($A4632)&gt;=IFERROR(N(INDEX(Übersicht!$M$15:$M$22,MATCH($B4632,Übersicht!$A$15:$A$22,0))),0)),1,0),1))</f>
        <v/>
      </c>
    </row>
    <row r="4633">
      <c r="A4633" s="92" t="n"/>
      <c r="B4633" s="55" t="n"/>
      <c r="C4633" s="55" t="n"/>
      <c r="D4633" s="55" t="n"/>
      <c r="E4633" s="93" t="n"/>
      <c r="F4633" s="94" t="n"/>
      <c r="G4633" s="94" t="n"/>
      <c r="H4633" s="94" t="n"/>
      <c r="I4633" s="94" t="n"/>
      <c r="J4633" s="55" t="n"/>
      <c r="K4633" s="95" t="n"/>
      <c r="L4633" s="116">
        <f>IF($A4633="","",DATE(YEAR($A4633),MONTH($A4633)+IF(AND(IFERROR(N(INDEX(Übersicht!$M$15:$M$22,MATCH($B4633,Übersicht!$A$15:$A$22,0))),0)&gt;1,DAY($A4633)&gt;=IFERROR(N(INDEX(Übersicht!$M$15:$M$22,MATCH($B4633,Übersicht!$A$15:$A$22,0))),0)),1,0),1))</f>
        <v/>
      </c>
    </row>
    <row r="4634">
      <c r="A4634" s="92" t="n"/>
      <c r="B4634" s="55" t="n"/>
      <c r="C4634" s="55" t="n"/>
      <c r="D4634" s="55" t="n"/>
      <c r="E4634" s="93" t="n"/>
      <c r="F4634" s="94" t="n"/>
      <c r="G4634" s="94" t="n"/>
      <c r="H4634" s="94" t="n"/>
      <c r="I4634" s="94" t="n"/>
      <c r="J4634" s="55" t="n"/>
      <c r="K4634" s="95" t="n"/>
      <c r="L4634" s="116">
        <f>IF($A4634="","",DATE(YEAR($A4634),MONTH($A4634)+IF(AND(IFERROR(N(INDEX(Übersicht!$M$15:$M$22,MATCH($B4634,Übersicht!$A$15:$A$22,0))),0)&gt;1,DAY($A4634)&gt;=IFERROR(N(INDEX(Übersicht!$M$15:$M$22,MATCH($B4634,Übersicht!$A$15:$A$22,0))),0)),1,0),1))</f>
        <v/>
      </c>
    </row>
    <row r="4635">
      <c r="A4635" s="92" t="n"/>
      <c r="B4635" s="55" t="n"/>
      <c r="C4635" s="55" t="n"/>
      <c r="D4635" s="55" t="n"/>
      <c r="E4635" s="93" t="n"/>
      <c r="F4635" s="94" t="n"/>
      <c r="G4635" s="94" t="n"/>
      <c r="H4635" s="94" t="n"/>
      <c r="I4635" s="94" t="n"/>
      <c r="J4635" s="55" t="n"/>
      <c r="K4635" s="95" t="n"/>
      <c r="L4635" s="116">
        <f>IF($A4635="","",DATE(YEAR($A4635),MONTH($A4635)+IF(AND(IFERROR(N(INDEX(Übersicht!$M$15:$M$22,MATCH($B4635,Übersicht!$A$15:$A$22,0))),0)&gt;1,DAY($A4635)&gt;=IFERROR(N(INDEX(Übersicht!$M$15:$M$22,MATCH($B4635,Übersicht!$A$15:$A$22,0))),0)),1,0),1))</f>
        <v/>
      </c>
    </row>
    <row r="4636">
      <c r="A4636" s="92" t="n"/>
      <c r="B4636" s="55" t="n"/>
      <c r="C4636" s="55" t="n"/>
      <c r="D4636" s="55" t="n"/>
      <c r="E4636" s="93" t="n"/>
      <c r="F4636" s="94" t="n"/>
      <c r="G4636" s="94" t="n"/>
      <c r="H4636" s="94" t="n"/>
      <c r="I4636" s="94" t="n"/>
      <c r="J4636" s="55" t="n"/>
      <c r="K4636" s="95" t="n"/>
      <c r="L4636" s="116">
        <f>IF($A4636="","",DATE(YEAR($A4636),MONTH($A4636)+IF(AND(IFERROR(N(INDEX(Übersicht!$M$15:$M$22,MATCH($B4636,Übersicht!$A$15:$A$22,0))),0)&gt;1,DAY($A4636)&gt;=IFERROR(N(INDEX(Übersicht!$M$15:$M$22,MATCH($B4636,Übersicht!$A$15:$A$22,0))),0)),1,0),1))</f>
        <v/>
      </c>
    </row>
    <row r="4637">
      <c r="A4637" s="92" t="n"/>
      <c r="B4637" s="55" t="n"/>
      <c r="C4637" s="55" t="n"/>
      <c r="D4637" s="55" t="n"/>
      <c r="E4637" s="93" t="n"/>
      <c r="F4637" s="94" t="n"/>
      <c r="G4637" s="94" t="n"/>
      <c r="H4637" s="94" t="n"/>
      <c r="I4637" s="94" t="n"/>
      <c r="J4637" s="55" t="n"/>
      <c r="K4637" s="95" t="n"/>
      <c r="L4637" s="116">
        <f>IF($A4637="","",DATE(YEAR($A4637),MONTH($A4637)+IF(AND(IFERROR(N(INDEX(Übersicht!$M$15:$M$22,MATCH($B4637,Übersicht!$A$15:$A$22,0))),0)&gt;1,DAY($A4637)&gt;=IFERROR(N(INDEX(Übersicht!$M$15:$M$22,MATCH($B4637,Übersicht!$A$15:$A$22,0))),0)),1,0),1))</f>
        <v/>
      </c>
    </row>
    <row r="4638">
      <c r="A4638" s="92" t="n"/>
      <c r="B4638" s="55" t="n"/>
      <c r="C4638" s="55" t="n"/>
      <c r="D4638" s="55" t="n"/>
      <c r="E4638" s="93" t="n"/>
      <c r="F4638" s="94" t="n"/>
      <c r="G4638" s="94" t="n"/>
      <c r="H4638" s="94" t="n"/>
      <c r="I4638" s="94" t="n"/>
      <c r="J4638" s="55" t="n"/>
      <c r="K4638" s="95" t="n"/>
      <c r="L4638" s="116">
        <f>IF($A4638="","",DATE(YEAR($A4638),MONTH($A4638)+IF(AND(IFERROR(N(INDEX(Übersicht!$M$15:$M$22,MATCH($B4638,Übersicht!$A$15:$A$22,0))),0)&gt;1,DAY($A4638)&gt;=IFERROR(N(INDEX(Übersicht!$M$15:$M$22,MATCH($B4638,Übersicht!$A$15:$A$22,0))),0)),1,0),1))</f>
        <v/>
      </c>
    </row>
    <row r="4639">
      <c r="A4639" s="92" t="n"/>
      <c r="B4639" s="55" t="n"/>
      <c r="C4639" s="55" t="n"/>
      <c r="D4639" s="55" t="n"/>
      <c r="E4639" s="93" t="n"/>
      <c r="F4639" s="94" t="n"/>
      <c r="G4639" s="94" t="n"/>
      <c r="H4639" s="94" t="n"/>
      <c r="I4639" s="94" t="n"/>
      <c r="J4639" s="55" t="n"/>
      <c r="K4639" s="95" t="n"/>
      <c r="L4639" s="116">
        <f>IF($A4639="","",DATE(YEAR($A4639),MONTH($A4639)+IF(AND(IFERROR(N(INDEX(Übersicht!$M$15:$M$22,MATCH($B4639,Übersicht!$A$15:$A$22,0))),0)&gt;1,DAY($A4639)&gt;=IFERROR(N(INDEX(Übersicht!$M$15:$M$22,MATCH($B4639,Übersicht!$A$15:$A$22,0))),0)),1,0),1))</f>
        <v/>
      </c>
    </row>
    <row r="4640">
      <c r="A4640" s="92" t="n"/>
      <c r="B4640" s="55" t="n"/>
      <c r="C4640" s="55" t="n"/>
      <c r="D4640" s="55" t="n"/>
      <c r="E4640" s="93" t="n"/>
      <c r="F4640" s="94" t="n"/>
      <c r="G4640" s="94" t="n"/>
      <c r="H4640" s="94" t="n"/>
      <c r="I4640" s="94" t="n"/>
      <c r="J4640" s="55" t="n"/>
      <c r="K4640" s="95" t="n"/>
      <c r="L4640" s="116">
        <f>IF($A4640="","",DATE(YEAR($A4640),MONTH($A4640)+IF(AND(IFERROR(N(INDEX(Übersicht!$M$15:$M$22,MATCH($B4640,Übersicht!$A$15:$A$22,0))),0)&gt;1,DAY($A4640)&gt;=IFERROR(N(INDEX(Übersicht!$M$15:$M$22,MATCH($B4640,Übersicht!$A$15:$A$22,0))),0)),1,0),1))</f>
        <v/>
      </c>
    </row>
    <row r="4641">
      <c r="A4641" s="92" t="n"/>
      <c r="B4641" s="55" t="n"/>
      <c r="C4641" s="55" t="n"/>
      <c r="D4641" s="55" t="n"/>
      <c r="E4641" s="93" t="n"/>
      <c r="F4641" s="94" t="n"/>
      <c r="G4641" s="94" t="n"/>
      <c r="H4641" s="94" t="n"/>
      <c r="I4641" s="94" t="n"/>
      <c r="J4641" s="55" t="n"/>
      <c r="K4641" s="95" t="n"/>
      <c r="L4641" s="116">
        <f>IF($A4641="","",DATE(YEAR($A4641),MONTH($A4641)+IF(AND(IFERROR(N(INDEX(Übersicht!$M$15:$M$22,MATCH($B4641,Übersicht!$A$15:$A$22,0))),0)&gt;1,DAY($A4641)&gt;=IFERROR(N(INDEX(Übersicht!$M$15:$M$22,MATCH($B4641,Übersicht!$A$15:$A$22,0))),0)),1,0),1))</f>
        <v/>
      </c>
    </row>
    <row r="4642">
      <c r="A4642" s="92" t="n"/>
      <c r="B4642" s="55" t="n"/>
      <c r="C4642" s="55" t="n"/>
      <c r="D4642" s="55" t="n"/>
      <c r="E4642" s="93" t="n"/>
      <c r="F4642" s="94" t="n"/>
      <c r="G4642" s="94" t="n"/>
      <c r="H4642" s="94" t="n"/>
      <c r="I4642" s="94" t="n"/>
      <c r="J4642" s="55" t="n"/>
      <c r="K4642" s="95" t="n"/>
      <c r="L4642" s="116">
        <f>IF($A4642="","",DATE(YEAR($A4642),MONTH($A4642)+IF(AND(IFERROR(N(INDEX(Übersicht!$M$15:$M$22,MATCH($B4642,Übersicht!$A$15:$A$22,0))),0)&gt;1,DAY($A4642)&gt;=IFERROR(N(INDEX(Übersicht!$M$15:$M$22,MATCH($B4642,Übersicht!$A$15:$A$22,0))),0)),1,0),1))</f>
        <v/>
      </c>
    </row>
    <row r="4643">
      <c r="A4643" s="92" t="n"/>
      <c r="B4643" s="55" t="n"/>
      <c r="C4643" s="55" t="n"/>
      <c r="D4643" s="55" t="n"/>
      <c r="E4643" s="93" t="n"/>
      <c r="F4643" s="94" t="n"/>
      <c r="G4643" s="94" t="n"/>
      <c r="H4643" s="94" t="n"/>
      <c r="I4643" s="94" t="n"/>
      <c r="J4643" s="55" t="n"/>
      <c r="K4643" s="95" t="n"/>
      <c r="L4643" s="116">
        <f>IF($A4643="","",DATE(YEAR($A4643),MONTH($A4643)+IF(AND(IFERROR(N(INDEX(Übersicht!$M$15:$M$22,MATCH($B4643,Übersicht!$A$15:$A$22,0))),0)&gt;1,DAY($A4643)&gt;=IFERROR(N(INDEX(Übersicht!$M$15:$M$22,MATCH($B4643,Übersicht!$A$15:$A$22,0))),0)),1,0),1))</f>
        <v/>
      </c>
    </row>
    <row r="4644">
      <c r="A4644" s="92" t="n"/>
      <c r="B4644" s="55" t="n"/>
      <c r="C4644" s="55" t="n"/>
      <c r="D4644" s="55" t="n"/>
      <c r="E4644" s="93" t="n"/>
      <c r="F4644" s="94" t="n"/>
      <c r="G4644" s="94" t="n"/>
      <c r="H4644" s="94" t="n"/>
      <c r="I4644" s="94" t="n"/>
      <c r="J4644" s="55" t="n"/>
      <c r="K4644" s="95" t="n"/>
      <c r="L4644" s="116">
        <f>IF($A4644="","",DATE(YEAR($A4644),MONTH($A4644)+IF(AND(IFERROR(N(INDEX(Übersicht!$M$15:$M$22,MATCH($B4644,Übersicht!$A$15:$A$22,0))),0)&gt;1,DAY($A4644)&gt;=IFERROR(N(INDEX(Übersicht!$M$15:$M$22,MATCH($B4644,Übersicht!$A$15:$A$22,0))),0)),1,0),1))</f>
        <v/>
      </c>
    </row>
    <row r="4645">
      <c r="A4645" s="92" t="n"/>
      <c r="B4645" s="55" t="n"/>
      <c r="C4645" s="55" t="n"/>
      <c r="D4645" s="55" t="n"/>
      <c r="E4645" s="93" t="n"/>
      <c r="F4645" s="94" t="n"/>
      <c r="G4645" s="94" t="n"/>
      <c r="H4645" s="94" t="n"/>
      <c r="I4645" s="94" t="n"/>
      <c r="J4645" s="55" t="n"/>
      <c r="K4645" s="95" t="n"/>
      <c r="L4645" s="116">
        <f>IF($A4645="","",DATE(YEAR($A4645),MONTH($A4645)+IF(AND(IFERROR(N(INDEX(Übersicht!$M$15:$M$22,MATCH($B4645,Übersicht!$A$15:$A$22,0))),0)&gt;1,DAY($A4645)&gt;=IFERROR(N(INDEX(Übersicht!$M$15:$M$22,MATCH($B4645,Übersicht!$A$15:$A$22,0))),0)),1,0),1))</f>
        <v/>
      </c>
    </row>
    <row r="4646">
      <c r="A4646" s="92" t="n"/>
      <c r="B4646" s="55" t="n"/>
      <c r="C4646" s="55" t="n"/>
      <c r="D4646" s="55" t="n"/>
      <c r="E4646" s="93" t="n"/>
      <c r="F4646" s="94" t="n"/>
      <c r="G4646" s="94" t="n"/>
      <c r="H4646" s="94" t="n"/>
      <c r="I4646" s="94" t="n"/>
      <c r="J4646" s="55" t="n"/>
      <c r="K4646" s="95" t="n"/>
      <c r="L4646" s="116">
        <f>IF($A4646="","",DATE(YEAR($A4646),MONTH($A4646)+IF(AND(IFERROR(N(INDEX(Übersicht!$M$15:$M$22,MATCH($B4646,Übersicht!$A$15:$A$22,0))),0)&gt;1,DAY($A4646)&gt;=IFERROR(N(INDEX(Übersicht!$M$15:$M$22,MATCH($B4646,Übersicht!$A$15:$A$22,0))),0)),1,0),1))</f>
        <v/>
      </c>
    </row>
    <row r="4647">
      <c r="A4647" s="92" t="n"/>
      <c r="B4647" s="55" t="n"/>
      <c r="C4647" s="55" t="n"/>
      <c r="D4647" s="55" t="n"/>
      <c r="E4647" s="93" t="n"/>
      <c r="F4647" s="94" t="n"/>
      <c r="G4647" s="94" t="n"/>
      <c r="H4647" s="94" t="n"/>
      <c r="I4647" s="94" t="n"/>
      <c r="J4647" s="55" t="n"/>
      <c r="K4647" s="95" t="n"/>
      <c r="L4647" s="116">
        <f>IF($A4647="","",DATE(YEAR($A4647),MONTH($A4647)+IF(AND(IFERROR(N(INDEX(Übersicht!$M$15:$M$22,MATCH($B4647,Übersicht!$A$15:$A$22,0))),0)&gt;1,DAY($A4647)&gt;=IFERROR(N(INDEX(Übersicht!$M$15:$M$22,MATCH($B4647,Übersicht!$A$15:$A$22,0))),0)),1,0),1))</f>
        <v/>
      </c>
    </row>
    <row r="4648">
      <c r="A4648" s="92" t="n"/>
      <c r="B4648" s="55" t="n"/>
      <c r="C4648" s="55" t="n"/>
      <c r="D4648" s="55" t="n"/>
      <c r="E4648" s="93" t="n"/>
      <c r="F4648" s="94" t="n"/>
      <c r="G4648" s="94" t="n"/>
      <c r="H4648" s="94" t="n"/>
      <c r="I4648" s="94" t="n"/>
      <c r="J4648" s="55" t="n"/>
      <c r="K4648" s="95" t="n"/>
      <c r="L4648" s="116">
        <f>IF($A4648="","",DATE(YEAR($A4648),MONTH($A4648)+IF(AND(IFERROR(N(INDEX(Übersicht!$M$15:$M$22,MATCH($B4648,Übersicht!$A$15:$A$22,0))),0)&gt;1,DAY($A4648)&gt;=IFERROR(N(INDEX(Übersicht!$M$15:$M$22,MATCH($B4648,Übersicht!$A$15:$A$22,0))),0)),1,0),1))</f>
        <v/>
      </c>
    </row>
    <row r="4649">
      <c r="A4649" s="92" t="n"/>
      <c r="B4649" s="55" t="n"/>
      <c r="C4649" s="55" t="n"/>
      <c r="D4649" s="55" t="n"/>
      <c r="E4649" s="93" t="n"/>
      <c r="F4649" s="94" t="n"/>
      <c r="G4649" s="94" t="n"/>
      <c r="H4649" s="94" t="n"/>
      <c r="I4649" s="94" t="n"/>
      <c r="J4649" s="55" t="n"/>
      <c r="K4649" s="95" t="n"/>
      <c r="L4649" s="116">
        <f>IF($A4649="","",DATE(YEAR($A4649),MONTH($A4649)+IF(AND(IFERROR(N(INDEX(Übersicht!$M$15:$M$22,MATCH($B4649,Übersicht!$A$15:$A$22,0))),0)&gt;1,DAY($A4649)&gt;=IFERROR(N(INDEX(Übersicht!$M$15:$M$22,MATCH($B4649,Übersicht!$A$15:$A$22,0))),0)),1,0),1))</f>
        <v/>
      </c>
    </row>
    <row r="4650">
      <c r="A4650" s="92" t="n"/>
      <c r="B4650" s="55" t="n"/>
      <c r="C4650" s="55" t="n"/>
      <c r="D4650" s="55" t="n"/>
      <c r="E4650" s="93" t="n"/>
      <c r="F4650" s="94" t="n"/>
      <c r="G4650" s="94" t="n"/>
      <c r="H4650" s="94" t="n"/>
      <c r="I4650" s="94" t="n"/>
      <c r="J4650" s="55" t="n"/>
      <c r="K4650" s="95" t="n"/>
      <c r="L4650" s="116">
        <f>IF($A4650="","",DATE(YEAR($A4650),MONTH($A4650)+IF(AND(IFERROR(N(INDEX(Übersicht!$M$15:$M$22,MATCH($B4650,Übersicht!$A$15:$A$22,0))),0)&gt;1,DAY($A4650)&gt;=IFERROR(N(INDEX(Übersicht!$M$15:$M$22,MATCH($B4650,Übersicht!$A$15:$A$22,0))),0)),1,0),1))</f>
        <v/>
      </c>
    </row>
    <row r="4651">
      <c r="A4651" s="92" t="n"/>
      <c r="B4651" s="55" t="n"/>
      <c r="C4651" s="55" t="n"/>
      <c r="D4651" s="55" t="n"/>
      <c r="E4651" s="93" t="n"/>
      <c r="F4651" s="94" t="n"/>
      <c r="G4651" s="94" t="n"/>
      <c r="H4651" s="94" t="n"/>
      <c r="I4651" s="94" t="n"/>
      <c r="J4651" s="55" t="n"/>
      <c r="K4651" s="95" t="n"/>
      <c r="L4651" s="116">
        <f>IF($A4651="","",DATE(YEAR($A4651),MONTH($A4651)+IF(AND(IFERROR(N(INDEX(Übersicht!$M$15:$M$22,MATCH($B4651,Übersicht!$A$15:$A$22,0))),0)&gt;1,DAY($A4651)&gt;=IFERROR(N(INDEX(Übersicht!$M$15:$M$22,MATCH($B4651,Übersicht!$A$15:$A$22,0))),0)),1,0),1))</f>
        <v/>
      </c>
    </row>
    <row r="4652">
      <c r="A4652" s="92" t="n"/>
      <c r="B4652" s="55" t="n"/>
      <c r="C4652" s="55" t="n"/>
      <c r="D4652" s="55" t="n"/>
      <c r="E4652" s="93" t="n"/>
      <c r="F4652" s="94" t="n"/>
      <c r="G4652" s="94" t="n"/>
      <c r="H4652" s="94" t="n"/>
      <c r="I4652" s="94" t="n"/>
      <c r="J4652" s="55" t="n"/>
      <c r="K4652" s="95" t="n"/>
      <c r="L4652" s="116">
        <f>IF($A4652="","",DATE(YEAR($A4652),MONTH($A4652)+IF(AND(IFERROR(N(INDEX(Übersicht!$M$15:$M$22,MATCH($B4652,Übersicht!$A$15:$A$22,0))),0)&gt;1,DAY($A4652)&gt;=IFERROR(N(INDEX(Übersicht!$M$15:$M$22,MATCH($B4652,Übersicht!$A$15:$A$22,0))),0)),1,0),1))</f>
        <v/>
      </c>
    </row>
    <row r="4653">
      <c r="A4653" s="92" t="n"/>
      <c r="B4653" s="55" t="n"/>
      <c r="C4653" s="55" t="n"/>
      <c r="D4653" s="55" t="n"/>
      <c r="E4653" s="93" t="n"/>
      <c r="F4653" s="94" t="n"/>
      <c r="G4653" s="94" t="n"/>
      <c r="H4653" s="94" t="n"/>
      <c r="I4653" s="94" t="n"/>
      <c r="J4653" s="55" t="n"/>
      <c r="K4653" s="95" t="n"/>
      <c r="L4653" s="116">
        <f>IF($A4653="","",DATE(YEAR($A4653),MONTH($A4653)+IF(AND(IFERROR(N(INDEX(Übersicht!$M$15:$M$22,MATCH($B4653,Übersicht!$A$15:$A$22,0))),0)&gt;1,DAY($A4653)&gt;=IFERROR(N(INDEX(Übersicht!$M$15:$M$22,MATCH($B4653,Übersicht!$A$15:$A$22,0))),0)),1,0),1))</f>
        <v/>
      </c>
    </row>
    <row r="4654">
      <c r="A4654" s="92" t="n"/>
      <c r="B4654" s="55" t="n"/>
      <c r="C4654" s="55" t="n"/>
      <c r="D4654" s="55" t="n"/>
      <c r="E4654" s="93" t="n"/>
      <c r="F4654" s="94" t="n"/>
      <c r="G4654" s="94" t="n"/>
      <c r="H4654" s="94" t="n"/>
      <c r="I4654" s="94" t="n"/>
      <c r="J4654" s="55" t="n"/>
      <c r="K4654" s="95" t="n"/>
      <c r="L4654" s="116">
        <f>IF($A4654="","",DATE(YEAR($A4654),MONTH($A4654)+IF(AND(IFERROR(N(INDEX(Übersicht!$M$15:$M$22,MATCH($B4654,Übersicht!$A$15:$A$22,0))),0)&gt;1,DAY($A4654)&gt;=IFERROR(N(INDEX(Übersicht!$M$15:$M$22,MATCH($B4654,Übersicht!$A$15:$A$22,0))),0)),1,0),1))</f>
        <v/>
      </c>
    </row>
    <row r="4655">
      <c r="A4655" s="92" t="n"/>
      <c r="B4655" s="55" t="n"/>
      <c r="C4655" s="55" t="n"/>
      <c r="D4655" s="55" t="n"/>
      <c r="E4655" s="93" t="n"/>
      <c r="F4655" s="94" t="n"/>
      <c r="G4655" s="94" t="n"/>
      <c r="H4655" s="94" t="n"/>
      <c r="I4655" s="94" t="n"/>
      <c r="J4655" s="55" t="n"/>
      <c r="K4655" s="95" t="n"/>
      <c r="L4655" s="116">
        <f>IF($A4655="","",DATE(YEAR($A4655),MONTH($A4655)+IF(AND(IFERROR(N(INDEX(Übersicht!$M$15:$M$22,MATCH($B4655,Übersicht!$A$15:$A$22,0))),0)&gt;1,DAY($A4655)&gt;=IFERROR(N(INDEX(Übersicht!$M$15:$M$22,MATCH($B4655,Übersicht!$A$15:$A$22,0))),0)),1,0),1))</f>
        <v/>
      </c>
    </row>
    <row r="4656">
      <c r="A4656" s="92" t="n"/>
      <c r="B4656" s="55" t="n"/>
      <c r="C4656" s="55" t="n"/>
      <c r="D4656" s="55" t="n"/>
      <c r="E4656" s="93" t="n"/>
      <c r="F4656" s="94" t="n"/>
      <c r="G4656" s="94" t="n"/>
      <c r="H4656" s="94" t="n"/>
      <c r="I4656" s="94" t="n"/>
      <c r="J4656" s="55" t="n"/>
      <c r="K4656" s="95" t="n"/>
      <c r="L4656" s="116">
        <f>IF($A4656="","",DATE(YEAR($A4656),MONTH($A4656)+IF(AND(IFERROR(N(INDEX(Übersicht!$M$15:$M$22,MATCH($B4656,Übersicht!$A$15:$A$22,0))),0)&gt;1,DAY($A4656)&gt;=IFERROR(N(INDEX(Übersicht!$M$15:$M$22,MATCH($B4656,Übersicht!$A$15:$A$22,0))),0)),1,0),1))</f>
        <v/>
      </c>
    </row>
    <row r="4657">
      <c r="A4657" s="92" t="n"/>
      <c r="B4657" s="55" t="n"/>
      <c r="C4657" s="55" t="n"/>
      <c r="D4657" s="55" t="n"/>
      <c r="E4657" s="93" t="n"/>
      <c r="F4657" s="94" t="n"/>
      <c r="G4657" s="94" t="n"/>
      <c r="H4657" s="94" t="n"/>
      <c r="I4657" s="94" t="n"/>
      <c r="J4657" s="55" t="n"/>
      <c r="K4657" s="95" t="n"/>
      <c r="L4657" s="116">
        <f>IF($A4657="","",DATE(YEAR($A4657),MONTH($A4657)+IF(AND(IFERROR(N(INDEX(Übersicht!$M$15:$M$22,MATCH($B4657,Übersicht!$A$15:$A$22,0))),0)&gt;1,DAY($A4657)&gt;=IFERROR(N(INDEX(Übersicht!$M$15:$M$22,MATCH($B4657,Übersicht!$A$15:$A$22,0))),0)),1,0),1))</f>
        <v/>
      </c>
    </row>
    <row r="4658">
      <c r="A4658" s="92" t="n"/>
      <c r="B4658" s="55" t="n"/>
      <c r="C4658" s="55" t="n"/>
      <c r="D4658" s="55" t="n"/>
      <c r="E4658" s="93" t="n"/>
      <c r="F4658" s="94" t="n"/>
      <c r="G4658" s="94" t="n"/>
      <c r="H4658" s="94" t="n"/>
      <c r="I4658" s="94" t="n"/>
      <c r="J4658" s="55" t="n"/>
      <c r="K4658" s="95" t="n"/>
      <c r="L4658" s="116">
        <f>IF($A4658="","",DATE(YEAR($A4658),MONTH($A4658)+IF(AND(IFERROR(N(INDEX(Übersicht!$M$15:$M$22,MATCH($B4658,Übersicht!$A$15:$A$22,0))),0)&gt;1,DAY($A4658)&gt;=IFERROR(N(INDEX(Übersicht!$M$15:$M$22,MATCH($B4658,Übersicht!$A$15:$A$22,0))),0)),1,0),1))</f>
        <v/>
      </c>
    </row>
    <row r="4659">
      <c r="A4659" s="92" t="n"/>
      <c r="B4659" s="55" t="n"/>
      <c r="C4659" s="55" t="n"/>
      <c r="D4659" s="55" t="n"/>
      <c r="E4659" s="93" t="n"/>
      <c r="F4659" s="94" t="n"/>
      <c r="G4659" s="94" t="n"/>
      <c r="H4659" s="94" t="n"/>
      <c r="I4659" s="94" t="n"/>
      <c r="J4659" s="55" t="n"/>
      <c r="K4659" s="95" t="n"/>
      <c r="L4659" s="116">
        <f>IF($A4659="","",DATE(YEAR($A4659),MONTH($A4659)+IF(AND(IFERROR(N(INDEX(Übersicht!$M$15:$M$22,MATCH($B4659,Übersicht!$A$15:$A$22,0))),0)&gt;1,DAY($A4659)&gt;=IFERROR(N(INDEX(Übersicht!$M$15:$M$22,MATCH($B4659,Übersicht!$A$15:$A$22,0))),0)),1,0),1))</f>
        <v/>
      </c>
    </row>
    <row r="4660">
      <c r="A4660" s="92" t="n"/>
      <c r="B4660" s="55" t="n"/>
      <c r="C4660" s="55" t="n"/>
      <c r="D4660" s="55" t="n"/>
      <c r="E4660" s="93" t="n"/>
      <c r="F4660" s="94" t="n"/>
      <c r="G4660" s="94" t="n"/>
      <c r="H4660" s="94" t="n"/>
      <c r="I4660" s="94" t="n"/>
      <c r="J4660" s="55" t="n"/>
      <c r="K4660" s="95" t="n"/>
      <c r="L4660" s="116">
        <f>IF($A4660="","",DATE(YEAR($A4660),MONTH($A4660)+IF(AND(IFERROR(N(INDEX(Übersicht!$M$15:$M$22,MATCH($B4660,Übersicht!$A$15:$A$22,0))),0)&gt;1,DAY($A4660)&gt;=IFERROR(N(INDEX(Übersicht!$M$15:$M$22,MATCH($B4660,Übersicht!$A$15:$A$22,0))),0)),1,0),1))</f>
        <v/>
      </c>
    </row>
    <row r="4661">
      <c r="A4661" s="92" t="n"/>
      <c r="B4661" s="55" t="n"/>
      <c r="C4661" s="55" t="n"/>
      <c r="D4661" s="55" t="n"/>
      <c r="E4661" s="93" t="n"/>
      <c r="F4661" s="94" t="n"/>
      <c r="G4661" s="94" t="n"/>
      <c r="H4661" s="94" t="n"/>
      <c r="I4661" s="94" t="n"/>
      <c r="J4661" s="55" t="n"/>
      <c r="K4661" s="95" t="n"/>
      <c r="L4661" s="116">
        <f>IF($A4661="","",DATE(YEAR($A4661),MONTH($A4661)+IF(AND(IFERROR(N(INDEX(Übersicht!$M$15:$M$22,MATCH($B4661,Übersicht!$A$15:$A$22,0))),0)&gt;1,DAY($A4661)&gt;=IFERROR(N(INDEX(Übersicht!$M$15:$M$22,MATCH($B4661,Übersicht!$A$15:$A$22,0))),0)),1,0),1))</f>
        <v/>
      </c>
    </row>
    <row r="4662">
      <c r="A4662" s="92" t="n"/>
      <c r="B4662" s="55" t="n"/>
      <c r="C4662" s="55" t="n"/>
      <c r="D4662" s="55" t="n"/>
      <c r="E4662" s="93" t="n"/>
      <c r="F4662" s="94" t="n"/>
      <c r="G4662" s="94" t="n"/>
      <c r="H4662" s="94" t="n"/>
      <c r="I4662" s="94" t="n"/>
      <c r="J4662" s="55" t="n"/>
      <c r="K4662" s="95" t="n"/>
      <c r="L4662" s="116">
        <f>IF($A4662="","",DATE(YEAR($A4662),MONTH($A4662)+IF(AND(IFERROR(N(INDEX(Übersicht!$M$15:$M$22,MATCH($B4662,Übersicht!$A$15:$A$22,0))),0)&gt;1,DAY($A4662)&gt;=IFERROR(N(INDEX(Übersicht!$M$15:$M$22,MATCH($B4662,Übersicht!$A$15:$A$22,0))),0)),1,0),1))</f>
        <v/>
      </c>
    </row>
    <row r="4663">
      <c r="A4663" s="92" t="n"/>
      <c r="B4663" s="55" t="n"/>
      <c r="C4663" s="55" t="n"/>
      <c r="D4663" s="55" t="n"/>
      <c r="E4663" s="93" t="n"/>
      <c r="F4663" s="94" t="n"/>
      <c r="G4663" s="94" t="n"/>
      <c r="H4663" s="94" t="n"/>
      <c r="I4663" s="94" t="n"/>
      <c r="J4663" s="55" t="n"/>
      <c r="K4663" s="95" t="n"/>
      <c r="L4663" s="116">
        <f>IF($A4663="","",DATE(YEAR($A4663),MONTH($A4663)+IF(AND(IFERROR(N(INDEX(Übersicht!$M$15:$M$22,MATCH($B4663,Übersicht!$A$15:$A$22,0))),0)&gt;1,DAY($A4663)&gt;=IFERROR(N(INDEX(Übersicht!$M$15:$M$22,MATCH($B4663,Übersicht!$A$15:$A$22,0))),0)),1,0),1))</f>
        <v/>
      </c>
    </row>
    <row r="4664">
      <c r="A4664" s="92" t="n"/>
      <c r="B4664" s="55" t="n"/>
      <c r="C4664" s="55" t="n"/>
      <c r="D4664" s="55" t="n"/>
      <c r="E4664" s="93" t="n"/>
      <c r="F4664" s="94" t="n"/>
      <c r="G4664" s="94" t="n"/>
      <c r="H4664" s="94" t="n"/>
      <c r="I4664" s="94" t="n"/>
      <c r="J4664" s="55" t="n"/>
      <c r="K4664" s="95" t="n"/>
      <c r="L4664" s="116">
        <f>IF($A4664="","",DATE(YEAR($A4664),MONTH($A4664)+IF(AND(IFERROR(N(INDEX(Übersicht!$M$15:$M$22,MATCH($B4664,Übersicht!$A$15:$A$22,0))),0)&gt;1,DAY($A4664)&gt;=IFERROR(N(INDEX(Übersicht!$M$15:$M$22,MATCH($B4664,Übersicht!$A$15:$A$22,0))),0)),1,0),1))</f>
        <v/>
      </c>
    </row>
    <row r="4665">
      <c r="A4665" s="92" t="n"/>
      <c r="B4665" s="55" t="n"/>
      <c r="C4665" s="55" t="n"/>
      <c r="D4665" s="55" t="n"/>
      <c r="E4665" s="93" t="n"/>
      <c r="F4665" s="94" t="n"/>
      <c r="G4665" s="94" t="n"/>
      <c r="H4665" s="94" t="n"/>
      <c r="I4665" s="94" t="n"/>
      <c r="J4665" s="55" t="n"/>
      <c r="K4665" s="95" t="n"/>
      <c r="L4665" s="116">
        <f>IF($A4665="","",DATE(YEAR($A4665),MONTH($A4665)+IF(AND(IFERROR(N(INDEX(Übersicht!$M$15:$M$22,MATCH($B4665,Übersicht!$A$15:$A$22,0))),0)&gt;1,DAY($A4665)&gt;=IFERROR(N(INDEX(Übersicht!$M$15:$M$22,MATCH($B4665,Übersicht!$A$15:$A$22,0))),0)),1,0),1))</f>
        <v/>
      </c>
    </row>
    <row r="4666">
      <c r="A4666" s="92" t="n"/>
      <c r="B4666" s="55" t="n"/>
      <c r="C4666" s="55" t="n"/>
      <c r="D4666" s="55" t="n"/>
      <c r="E4666" s="93" t="n"/>
      <c r="F4666" s="94" t="n"/>
      <c r="G4666" s="94" t="n"/>
      <c r="H4666" s="94" t="n"/>
      <c r="I4666" s="94" t="n"/>
      <c r="J4666" s="55" t="n"/>
      <c r="K4666" s="95" t="n"/>
      <c r="L4666" s="116">
        <f>IF($A4666="","",DATE(YEAR($A4666),MONTH($A4666)+IF(AND(IFERROR(N(INDEX(Übersicht!$M$15:$M$22,MATCH($B4666,Übersicht!$A$15:$A$22,0))),0)&gt;1,DAY($A4666)&gt;=IFERROR(N(INDEX(Übersicht!$M$15:$M$22,MATCH($B4666,Übersicht!$A$15:$A$22,0))),0)),1,0),1))</f>
        <v/>
      </c>
    </row>
    <row r="4667">
      <c r="A4667" s="92" t="n"/>
      <c r="B4667" s="55" t="n"/>
      <c r="C4667" s="55" t="n"/>
      <c r="D4667" s="55" t="n"/>
      <c r="E4667" s="93" t="n"/>
      <c r="F4667" s="94" t="n"/>
      <c r="G4667" s="94" t="n"/>
      <c r="H4667" s="94" t="n"/>
      <c r="I4667" s="94" t="n"/>
      <c r="J4667" s="55" t="n"/>
      <c r="K4667" s="95" t="n"/>
      <c r="L4667" s="116">
        <f>IF($A4667="","",DATE(YEAR($A4667),MONTH($A4667)+IF(AND(IFERROR(N(INDEX(Übersicht!$M$15:$M$22,MATCH($B4667,Übersicht!$A$15:$A$22,0))),0)&gt;1,DAY($A4667)&gt;=IFERROR(N(INDEX(Übersicht!$M$15:$M$22,MATCH($B4667,Übersicht!$A$15:$A$22,0))),0)),1,0),1))</f>
        <v/>
      </c>
    </row>
    <row r="4668">
      <c r="A4668" s="92" t="n"/>
      <c r="B4668" s="55" t="n"/>
      <c r="C4668" s="55" t="n"/>
      <c r="D4668" s="55" t="n"/>
      <c r="E4668" s="93" t="n"/>
      <c r="F4668" s="94" t="n"/>
      <c r="G4668" s="94" t="n"/>
      <c r="H4668" s="94" t="n"/>
      <c r="I4668" s="94" t="n"/>
      <c r="J4668" s="55" t="n"/>
      <c r="K4668" s="95" t="n"/>
      <c r="L4668" s="116">
        <f>IF($A4668="","",DATE(YEAR($A4668),MONTH($A4668)+IF(AND(IFERROR(N(INDEX(Übersicht!$M$15:$M$22,MATCH($B4668,Übersicht!$A$15:$A$22,0))),0)&gt;1,DAY($A4668)&gt;=IFERROR(N(INDEX(Übersicht!$M$15:$M$22,MATCH($B4668,Übersicht!$A$15:$A$22,0))),0)),1,0),1))</f>
        <v/>
      </c>
    </row>
    <row r="4669">
      <c r="A4669" s="92" t="n"/>
      <c r="B4669" s="55" t="n"/>
      <c r="C4669" s="55" t="n"/>
      <c r="D4669" s="55" t="n"/>
      <c r="E4669" s="93" t="n"/>
      <c r="F4669" s="94" t="n"/>
      <c r="G4669" s="94" t="n"/>
      <c r="H4669" s="94" t="n"/>
      <c r="I4669" s="94" t="n"/>
      <c r="J4669" s="55" t="n"/>
      <c r="K4669" s="95" t="n"/>
      <c r="L4669" s="116">
        <f>IF($A4669="","",DATE(YEAR($A4669),MONTH($A4669)+IF(AND(IFERROR(N(INDEX(Übersicht!$M$15:$M$22,MATCH($B4669,Übersicht!$A$15:$A$22,0))),0)&gt;1,DAY($A4669)&gt;=IFERROR(N(INDEX(Übersicht!$M$15:$M$22,MATCH($B4669,Übersicht!$A$15:$A$22,0))),0)),1,0),1))</f>
        <v/>
      </c>
    </row>
    <row r="4670">
      <c r="A4670" s="92" t="n"/>
      <c r="B4670" s="55" t="n"/>
      <c r="C4670" s="55" t="n"/>
      <c r="D4670" s="55" t="n"/>
      <c r="E4670" s="93" t="n"/>
      <c r="F4670" s="94" t="n"/>
      <c r="G4670" s="94" t="n"/>
      <c r="H4670" s="94" t="n"/>
      <c r="I4670" s="94" t="n"/>
      <c r="J4670" s="55" t="n"/>
      <c r="K4670" s="95" t="n"/>
      <c r="L4670" s="116">
        <f>IF($A4670="","",DATE(YEAR($A4670),MONTH($A4670)+IF(AND(IFERROR(N(INDEX(Übersicht!$M$15:$M$22,MATCH($B4670,Übersicht!$A$15:$A$22,0))),0)&gt;1,DAY($A4670)&gt;=IFERROR(N(INDEX(Übersicht!$M$15:$M$22,MATCH($B4670,Übersicht!$A$15:$A$22,0))),0)),1,0),1))</f>
        <v/>
      </c>
    </row>
    <row r="4671">
      <c r="A4671" s="92" t="n"/>
      <c r="B4671" s="55" t="n"/>
      <c r="C4671" s="55" t="n"/>
      <c r="D4671" s="55" t="n"/>
      <c r="E4671" s="93" t="n"/>
      <c r="F4671" s="94" t="n"/>
      <c r="G4671" s="94" t="n"/>
      <c r="H4671" s="94" t="n"/>
      <c r="I4671" s="94" t="n"/>
      <c r="J4671" s="55" t="n"/>
      <c r="K4671" s="95" t="n"/>
      <c r="L4671" s="116">
        <f>IF($A4671="","",DATE(YEAR($A4671),MONTH($A4671)+IF(AND(IFERROR(N(INDEX(Übersicht!$M$15:$M$22,MATCH($B4671,Übersicht!$A$15:$A$22,0))),0)&gt;1,DAY($A4671)&gt;=IFERROR(N(INDEX(Übersicht!$M$15:$M$22,MATCH($B4671,Übersicht!$A$15:$A$22,0))),0)),1,0),1))</f>
        <v/>
      </c>
    </row>
    <row r="4672">
      <c r="A4672" s="92" t="n"/>
      <c r="B4672" s="55" t="n"/>
      <c r="C4672" s="55" t="n"/>
      <c r="D4672" s="55" t="n"/>
      <c r="E4672" s="93" t="n"/>
      <c r="F4672" s="94" t="n"/>
      <c r="G4672" s="94" t="n"/>
      <c r="H4672" s="94" t="n"/>
      <c r="I4672" s="94" t="n"/>
      <c r="J4672" s="55" t="n"/>
      <c r="K4672" s="95" t="n"/>
      <c r="L4672" s="116">
        <f>IF($A4672="","",DATE(YEAR($A4672),MONTH($A4672)+IF(AND(IFERROR(N(INDEX(Übersicht!$M$15:$M$22,MATCH($B4672,Übersicht!$A$15:$A$22,0))),0)&gt;1,DAY($A4672)&gt;=IFERROR(N(INDEX(Übersicht!$M$15:$M$22,MATCH($B4672,Übersicht!$A$15:$A$22,0))),0)),1,0),1))</f>
        <v/>
      </c>
    </row>
    <row r="4673">
      <c r="A4673" s="92" t="n"/>
      <c r="B4673" s="55" t="n"/>
      <c r="C4673" s="55" t="n"/>
      <c r="D4673" s="55" t="n"/>
      <c r="E4673" s="93" t="n"/>
      <c r="F4673" s="94" t="n"/>
      <c r="G4673" s="94" t="n"/>
      <c r="H4673" s="94" t="n"/>
      <c r="I4673" s="94" t="n"/>
      <c r="J4673" s="55" t="n"/>
      <c r="K4673" s="95" t="n"/>
      <c r="L4673" s="116">
        <f>IF($A4673="","",DATE(YEAR($A4673),MONTH($A4673)+IF(AND(IFERROR(N(INDEX(Übersicht!$M$15:$M$22,MATCH($B4673,Übersicht!$A$15:$A$22,0))),0)&gt;1,DAY($A4673)&gt;=IFERROR(N(INDEX(Übersicht!$M$15:$M$22,MATCH($B4673,Übersicht!$A$15:$A$22,0))),0)),1,0),1))</f>
        <v/>
      </c>
    </row>
    <row r="4674">
      <c r="A4674" s="92" t="n"/>
      <c r="B4674" s="55" t="n"/>
      <c r="C4674" s="55" t="n"/>
      <c r="D4674" s="55" t="n"/>
      <c r="E4674" s="93" t="n"/>
      <c r="F4674" s="94" t="n"/>
      <c r="G4674" s="94" t="n"/>
      <c r="H4674" s="94" t="n"/>
      <c r="I4674" s="94" t="n"/>
      <c r="J4674" s="55" t="n"/>
      <c r="K4674" s="95" t="n"/>
      <c r="L4674" s="116">
        <f>IF($A4674="","",DATE(YEAR($A4674),MONTH($A4674)+IF(AND(IFERROR(N(INDEX(Übersicht!$M$15:$M$22,MATCH($B4674,Übersicht!$A$15:$A$22,0))),0)&gt;1,DAY($A4674)&gt;=IFERROR(N(INDEX(Übersicht!$M$15:$M$22,MATCH($B4674,Übersicht!$A$15:$A$22,0))),0)),1,0),1))</f>
        <v/>
      </c>
    </row>
    <row r="4675">
      <c r="A4675" s="92" t="n"/>
      <c r="B4675" s="55" t="n"/>
      <c r="C4675" s="55" t="n"/>
      <c r="D4675" s="55" t="n"/>
      <c r="E4675" s="93" t="n"/>
      <c r="F4675" s="94" t="n"/>
      <c r="G4675" s="94" t="n"/>
      <c r="H4675" s="94" t="n"/>
      <c r="I4675" s="94" t="n"/>
      <c r="J4675" s="55" t="n"/>
      <c r="K4675" s="95" t="n"/>
      <c r="L4675" s="116">
        <f>IF($A4675="","",DATE(YEAR($A4675),MONTH($A4675)+IF(AND(IFERROR(N(INDEX(Übersicht!$M$15:$M$22,MATCH($B4675,Übersicht!$A$15:$A$22,0))),0)&gt;1,DAY($A4675)&gt;=IFERROR(N(INDEX(Übersicht!$M$15:$M$22,MATCH($B4675,Übersicht!$A$15:$A$22,0))),0)),1,0),1))</f>
        <v/>
      </c>
    </row>
    <row r="4676">
      <c r="A4676" s="92" t="n"/>
      <c r="B4676" s="55" t="n"/>
      <c r="C4676" s="55" t="n"/>
      <c r="D4676" s="55" t="n"/>
      <c r="E4676" s="93" t="n"/>
      <c r="F4676" s="94" t="n"/>
      <c r="G4676" s="94" t="n"/>
      <c r="H4676" s="94" t="n"/>
      <c r="I4676" s="94" t="n"/>
      <c r="J4676" s="55" t="n"/>
      <c r="K4676" s="95" t="n"/>
      <c r="L4676" s="116">
        <f>IF($A4676="","",DATE(YEAR($A4676),MONTH($A4676)+IF(AND(IFERROR(N(INDEX(Übersicht!$M$15:$M$22,MATCH($B4676,Übersicht!$A$15:$A$22,0))),0)&gt;1,DAY($A4676)&gt;=IFERROR(N(INDEX(Übersicht!$M$15:$M$22,MATCH($B4676,Übersicht!$A$15:$A$22,0))),0)),1,0),1))</f>
        <v/>
      </c>
    </row>
    <row r="4677">
      <c r="A4677" s="92" t="n"/>
      <c r="B4677" s="55" t="n"/>
      <c r="C4677" s="55" t="n"/>
      <c r="D4677" s="55" t="n"/>
      <c r="E4677" s="93" t="n"/>
      <c r="F4677" s="94" t="n"/>
      <c r="G4677" s="94" t="n"/>
      <c r="H4677" s="94" t="n"/>
      <c r="I4677" s="94" t="n"/>
      <c r="J4677" s="55" t="n"/>
      <c r="K4677" s="95" t="n"/>
      <c r="L4677" s="116">
        <f>IF($A4677="","",DATE(YEAR($A4677),MONTH($A4677)+IF(AND(IFERROR(N(INDEX(Übersicht!$M$15:$M$22,MATCH($B4677,Übersicht!$A$15:$A$22,0))),0)&gt;1,DAY($A4677)&gt;=IFERROR(N(INDEX(Übersicht!$M$15:$M$22,MATCH($B4677,Übersicht!$A$15:$A$22,0))),0)),1,0),1))</f>
        <v/>
      </c>
    </row>
    <row r="4678">
      <c r="A4678" s="92" t="n"/>
      <c r="B4678" s="55" t="n"/>
      <c r="C4678" s="55" t="n"/>
      <c r="D4678" s="55" t="n"/>
      <c r="E4678" s="93" t="n"/>
      <c r="F4678" s="94" t="n"/>
      <c r="G4678" s="94" t="n"/>
      <c r="H4678" s="94" t="n"/>
      <c r="I4678" s="94" t="n"/>
      <c r="J4678" s="55" t="n"/>
      <c r="K4678" s="95" t="n"/>
      <c r="L4678" s="116">
        <f>IF($A4678="","",DATE(YEAR($A4678),MONTH($A4678)+IF(AND(IFERROR(N(INDEX(Übersicht!$M$15:$M$22,MATCH($B4678,Übersicht!$A$15:$A$22,0))),0)&gt;1,DAY($A4678)&gt;=IFERROR(N(INDEX(Übersicht!$M$15:$M$22,MATCH($B4678,Übersicht!$A$15:$A$22,0))),0)),1,0),1))</f>
        <v/>
      </c>
    </row>
    <row r="4679">
      <c r="A4679" s="92" t="n"/>
      <c r="B4679" s="55" t="n"/>
      <c r="C4679" s="55" t="n"/>
      <c r="D4679" s="55" t="n"/>
      <c r="E4679" s="93" t="n"/>
      <c r="F4679" s="94" t="n"/>
      <c r="G4679" s="94" t="n"/>
      <c r="H4679" s="94" t="n"/>
      <c r="I4679" s="94" t="n"/>
      <c r="J4679" s="55" t="n"/>
      <c r="K4679" s="95" t="n"/>
      <c r="L4679" s="116">
        <f>IF($A4679="","",DATE(YEAR($A4679),MONTH($A4679)+IF(AND(IFERROR(N(INDEX(Übersicht!$M$15:$M$22,MATCH($B4679,Übersicht!$A$15:$A$22,0))),0)&gt;1,DAY($A4679)&gt;=IFERROR(N(INDEX(Übersicht!$M$15:$M$22,MATCH($B4679,Übersicht!$A$15:$A$22,0))),0)),1,0),1))</f>
        <v/>
      </c>
    </row>
    <row r="4680">
      <c r="A4680" s="92" t="n"/>
      <c r="B4680" s="55" t="n"/>
      <c r="C4680" s="55" t="n"/>
      <c r="D4680" s="55" t="n"/>
      <c r="E4680" s="93" t="n"/>
      <c r="F4680" s="94" t="n"/>
      <c r="G4680" s="94" t="n"/>
      <c r="H4680" s="94" t="n"/>
      <c r="I4680" s="94" t="n"/>
      <c r="J4680" s="55" t="n"/>
      <c r="K4680" s="95" t="n"/>
      <c r="L4680" s="116">
        <f>IF($A4680="","",DATE(YEAR($A4680),MONTH($A4680)+IF(AND(IFERROR(N(INDEX(Übersicht!$M$15:$M$22,MATCH($B4680,Übersicht!$A$15:$A$22,0))),0)&gt;1,DAY($A4680)&gt;=IFERROR(N(INDEX(Übersicht!$M$15:$M$22,MATCH($B4680,Übersicht!$A$15:$A$22,0))),0)),1,0),1))</f>
        <v/>
      </c>
    </row>
    <row r="4681">
      <c r="A4681" s="92" t="n"/>
      <c r="B4681" s="55" t="n"/>
      <c r="C4681" s="55" t="n"/>
      <c r="D4681" s="55" t="n"/>
      <c r="E4681" s="93" t="n"/>
      <c r="F4681" s="94" t="n"/>
      <c r="G4681" s="94" t="n"/>
      <c r="H4681" s="94" t="n"/>
      <c r="I4681" s="94" t="n"/>
      <c r="J4681" s="55" t="n"/>
      <c r="K4681" s="95" t="n"/>
      <c r="L4681" s="116">
        <f>IF($A4681="","",DATE(YEAR($A4681),MONTH($A4681)+IF(AND(IFERROR(N(INDEX(Übersicht!$M$15:$M$22,MATCH($B4681,Übersicht!$A$15:$A$22,0))),0)&gt;1,DAY($A4681)&gt;=IFERROR(N(INDEX(Übersicht!$M$15:$M$22,MATCH($B4681,Übersicht!$A$15:$A$22,0))),0)),1,0),1))</f>
        <v/>
      </c>
    </row>
    <row r="4682">
      <c r="A4682" s="92" t="n"/>
      <c r="B4682" s="55" t="n"/>
      <c r="C4682" s="55" t="n"/>
      <c r="D4682" s="55" t="n"/>
      <c r="E4682" s="93" t="n"/>
      <c r="F4682" s="94" t="n"/>
      <c r="G4682" s="94" t="n"/>
      <c r="H4682" s="94" t="n"/>
      <c r="I4682" s="94" t="n"/>
      <c r="J4682" s="55" t="n"/>
      <c r="K4682" s="95" t="n"/>
      <c r="L4682" s="116">
        <f>IF($A4682="","",DATE(YEAR($A4682),MONTH($A4682)+IF(AND(IFERROR(N(INDEX(Übersicht!$M$15:$M$22,MATCH($B4682,Übersicht!$A$15:$A$22,0))),0)&gt;1,DAY($A4682)&gt;=IFERROR(N(INDEX(Übersicht!$M$15:$M$22,MATCH($B4682,Übersicht!$A$15:$A$22,0))),0)),1,0),1))</f>
        <v/>
      </c>
    </row>
    <row r="4683">
      <c r="A4683" s="92" t="n"/>
      <c r="B4683" s="55" t="n"/>
      <c r="C4683" s="55" t="n"/>
      <c r="D4683" s="55" t="n"/>
      <c r="E4683" s="93" t="n"/>
      <c r="F4683" s="94" t="n"/>
      <c r="G4683" s="94" t="n"/>
      <c r="H4683" s="94" t="n"/>
      <c r="I4683" s="94" t="n"/>
      <c r="J4683" s="55" t="n"/>
      <c r="K4683" s="95" t="n"/>
      <c r="L4683" s="116">
        <f>IF($A4683="","",DATE(YEAR($A4683),MONTH($A4683)+IF(AND(IFERROR(N(INDEX(Übersicht!$M$15:$M$22,MATCH($B4683,Übersicht!$A$15:$A$22,0))),0)&gt;1,DAY($A4683)&gt;=IFERROR(N(INDEX(Übersicht!$M$15:$M$22,MATCH($B4683,Übersicht!$A$15:$A$22,0))),0)),1,0),1))</f>
        <v/>
      </c>
    </row>
    <row r="4684">
      <c r="A4684" s="92" t="n"/>
      <c r="B4684" s="55" t="n"/>
      <c r="C4684" s="55" t="n"/>
      <c r="D4684" s="55" t="n"/>
      <c r="E4684" s="93" t="n"/>
      <c r="F4684" s="94" t="n"/>
      <c r="G4684" s="94" t="n"/>
      <c r="H4684" s="94" t="n"/>
      <c r="I4684" s="94" t="n"/>
      <c r="J4684" s="55" t="n"/>
      <c r="K4684" s="95" t="n"/>
      <c r="L4684" s="116">
        <f>IF($A4684="","",DATE(YEAR($A4684),MONTH($A4684)+IF(AND(IFERROR(N(INDEX(Übersicht!$M$15:$M$22,MATCH($B4684,Übersicht!$A$15:$A$22,0))),0)&gt;1,DAY($A4684)&gt;=IFERROR(N(INDEX(Übersicht!$M$15:$M$22,MATCH($B4684,Übersicht!$A$15:$A$22,0))),0)),1,0),1))</f>
        <v/>
      </c>
    </row>
    <row r="4685">
      <c r="A4685" s="92" t="n"/>
      <c r="B4685" s="55" t="n"/>
      <c r="C4685" s="55" t="n"/>
      <c r="D4685" s="55" t="n"/>
      <c r="E4685" s="93" t="n"/>
      <c r="F4685" s="94" t="n"/>
      <c r="G4685" s="94" t="n"/>
      <c r="H4685" s="94" t="n"/>
      <c r="I4685" s="94" t="n"/>
      <c r="J4685" s="55" t="n"/>
      <c r="K4685" s="95" t="n"/>
      <c r="L4685" s="116">
        <f>IF($A4685="","",DATE(YEAR($A4685),MONTH($A4685)+IF(AND(IFERROR(N(INDEX(Übersicht!$M$15:$M$22,MATCH($B4685,Übersicht!$A$15:$A$22,0))),0)&gt;1,DAY($A4685)&gt;=IFERROR(N(INDEX(Übersicht!$M$15:$M$22,MATCH($B4685,Übersicht!$A$15:$A$22,0))),0)),1,0),1))</f>
        <v/>
      </c>
    </row>
    <row r="4686">
      <c r="A4686" s="92" t="n"/>
      <c r="B4686" s="55" t="n"/>
      <c r="C4686" s="55" t="n"/>
      <c r="D4686" s="55" t="n"/>
      <c r="E4686" s="93" t="n"/>
      <c r="F4686" s="94" t="n"/>
      <c r="G4686" s="94" t="n"/>
      <c r="H4686" s="94" t="n"/>
      <c r="I4686" s="94" t="n"/>
      <c r="J4686" s="55" t="n"/>
      <c r="K4686" s="95" t="n"/>
      <c r="L4686" s="116">
        <f>IF($A4686="","",DATE(YEAR($A4686),MONTH($A4686)+IF(AND(IFERROR(N(INDEX(Übersicht!$M$15:$M$22,MATCH($B4686,Übersicht!$A$15:$A$22,0))),0)&gt;1,DAY($A4686)&gt;=IFERROR(N(INDEX(Übersicht!$M$15:$M$22,MATCH($B4686,Übersicht!$A$15:$A$22,0))),0)),1,0),1))</f>
        <v/>
      </c>
    </row>
    <row r="4687">
      <c r="A4687" s="92" t="n"/>
      <c r="B4687" s="55" t="n"/>
      <c r="C4687" s="55" t="n"/>
      <c r="D4687" s="55" t="n"/>
      <c r="E4687" s="93" t="n"/>
      <c r="F4687" s="94" t="n"/>
      <c r="G4687" s="94" t="n"/>
      <c r="H4687" s="94" t="n"/>
      <c r="I4687" s="94" t="n"/>
      <c r="J4687" s="55" t="n"/>
      <c r="K4687" s="95" t="n"/>
      <c r="L4687" s="116">
        <f>IF($A4687="","",DATE(YEAR($A4687),MONTH($A4687)+IF(AND(IFERROR(N(INDEX(Übersicht!$M$15:$M$22,MATCH($B4687,Übersicht!$A$15:$A$22,0))),0)&gt;1,DAY($A4687)&gt;=IFERROR(N(INDEX(Übersicht!$M$15:$M$22,MATCH($B4687,Übersicht!$A$15:$A$22,0))),0)),1,0),1))</f>
        <v/>
      </c>
    </row>
    <row r="4688">
      <c r="A4688" s="92" t="n"/>
      <c r="B4688" s="55" t="n"/>
      <c r="C4688" s="55" t="n"/>
      <c r="D4688" s="55" t="n"/>
      <c r="E4688" s="93" t="n"/>
      <c r="F4688" s="94" t="n"/>
      <c r="G4688" s="94" t="n"/>
      <c r="H4688" s="94" t="n"/>
      <c r="I4688" s="94" t="n"/>
      <c r="J4688" s="55" t="n"/>
      <c r="K4688" s="95" t="n"/>
      <c r="L4688" s="116">
        <f>IF($A4688="","",DATE(YEAR($A4688),MONTH($A4688)+IF(AND(IFERROR(N(INDEX(Übersicht!$M$15:$M$22,MATCH($B4688,Übersicht!$A$15:$A$22,0))),0)&gt;1,DAY($A4688)&gt;=IFERROR(N(INDEX(Übersicht!$M$15:$M$22,MATCH($B4688,Übersicht!$A$15:$A$22,0))),0)),1,0),1))</f>
        <v/>
      </c>
    </row>
    <row r="4689">
      <c r="A4689" s="92" t="n"/>
      <c r="B4689" s="55" t="n"/>
      <c r="C4689" s="55" t="n"/>
      <c r="D4689" s="55" t="n"/>
      <c r="E4689" s="93" t="n"/>
      <c r="F4689" s="94" t="n"/>
      <c r="G4689" s="94" t="n"/>
      <c r="H4689" s="94" t="n"/>
      <c r="I4689" s="94" t="n"/>
      <c r="J4689" s="55" t="n"/>
      <c r="K4689" s="95" t="n"/>
      <c r="L4689" s="116">
        <f>IF($A4689="","",DATE(YEAR($A4689),MONTH($A4689)+IF(AND(IFERROR(N(INDEX(Übersicht!$M$15:$M$22,MATCH($B4689,Übersicht!$A$15:$A$22,0))),0)&gt;1,DAY($A4689)&gt;=IFERROR(N(INDEX(Übersicht!$M$15:$M$22,MATCH($B4689,Übersicht!$A$15:$A$22,0))),0)),1,0),1))</f>
        <v/>
      </c>
    </row>
    <row r="4690">
      <c r="A4690" s="92" t="n"/>
      <c r="B4690" s="55" t="n"/>
      <c r="C4690" s="55" t="n"/>
      <c r="D4690" s="55" t="n"/>
      <c r="E4690" s="93" t="n"/>
      <c r="F4690" s="94" t="n"/>
      <c r="G4690" s="94" t="n"/>
      <c r="H4690" s="94" t="n"/>
      <c r="I4690" s="94" t="n"/>
      <c r="J4690" s="55" t="n"/>
      <c r="K4690" s="95" t="n"/>
      <c r="L4690" s="116">
        <f>IF($A4690="","",DATE(YEAR($A4690),MONTH($A4690)+IF(AND(IFERROR(N(INDEX(Übersicht!$M$15:$M$22,MATCH($B4690,Übersicht!$A$15:$A$22,0))),0)&gt;1,DAY($A4690)&gt;=IFERROR(N(INDEX(Übersicht!$M$15:$M$22,MATCH($B4690,Übersicht!$A$15:$A$22,0))),0)),1,0),1))</f>
        <v/>
      </c>
    </row>
    <row r="4691">
      <c r="A4691" s="92" t="n"/>
      <c r="B4691" s="55" t="n"/>
      <c r="C4691" s="55" t="n"/>
      <c r="D4691" s="55" t="n"/>
      <c r="E4691" s="93" t="n"/>
      <c r="F4691" s="94" t="n"/>
      <c r="G4691" s="94" t="n"/>
      <c r="H4691" s="94" t="n"/>
      <c r="I4691" s="94" t="n"/>
      <c r="J4691" s="55" t="n"/>
      <c r="K4691" s="95" t="n"/>
      <c r="L4691" s="116">
        <f>IF($A4691="","",DATE(YEAR($A4691),MONTH($A4691)+IF(AND(IFERROR(N(INDEX(Übersicht!$M$15:$M$22,MATCH($B4691,Übersicht!$A$15:$A$22,0))),0)&gt;1,DAY($A4691)&gt;=IFERROR(N(INDEX(Übersicht!$M$15:$M$22,MATCH($B4691,Übersicht!$A$15:$A$22,0))),0)),1,0),1))</f>
        <v/>
      </c>
    </row>
    <row r="4692">
      <c r="A4692" s="92" t="n"/>
      <c r="B4692" s="55" t="n"/>
      <c r="C4692" s="55" t="n"/>
      <c r="D4692" s="55" t="n"/>
      <c r="E4692" s="93" t="n"/>
      <c r="F4692" s="94" t="n"/>
      <c r="G4692" s="94" t="n"/>
      <c r="H4692" s="94" t="n"/>
      <c r="I4692" s="94" t="n"/>
      <c r="J4692" s="55" t="n"/>
      <c r="K4692" s="95" t="n"/>
      <c r="L4692" s="116">
        <f>IF($A4692="","",DATE(YEAR($A4692),MONTH($A4692)+IF(AND(IFERROR(N(INDEX(Übersicht!$M$15:$M$22,MATCH($B4692,Übersicht!$A$15:$A$22,0))),0)&gt;1,DAY($A4692)&gt;=IFERROR(N(INDEX(Übersicht!$M$15:$M$22,MATCH($B4692,Übersicht!$A$15:$A$22,0))),0)),1,0),1))</f>
        <v/>
      </c>
    </row>
    <row r="4693">
      <c r="A4693" s="92" t="n"/>
      <c r="B4693" s="55" t="n"/>
      <c r="C4693" s="55" t="n"/>
      <c r="D4693" s="55" t="n"/>
      <c r="E4693" s="93" t="n"/>
      <c r="F4693" s="94" t="n"/>
      <c r="G4693" s="94" t="n"/>
      <c r="H4693" s="94" t="n"/>
      <c r="I4693" s="94" t="n"/>
      <c r="J4693" s="55" t="n"/>
      <c r="K4693" s="95" t="n"/>
      <c r="L4693" s="116">
        <f>IF($A4693="","",DATE(YEAR($A4693),MONTH($A4693)+IF(AND(IFERROR(N(INDEX(Übersicht!$M$15:$M$22,MATCH($B4693,Übersicht!$A$15:$A$22,0))),0)&gt;1,DAY($A4693)&gt;=IFERROR(N(INDEX(Übersicht!$M$15:$M$22,MATCH($B4693,Übersicht!$A$15:$A$22,0))),0)),1,0),1))</f>
        <v/>
      </c>
    </row>
    <row r="4694">
      <c r="A4694" s="92" t="n"/>
      <c r="B4694" s="55" t="n"/>
      <c r="C4694" s="55" t="n"/>
      <c r="D4694" s="55" t="n"/>
      <c r="E4694" s="93" t="n"/>
      <c r="F4694" s="94" t="n"/>
      <c r="G4694" s="94" t="n"/>
      <c r="H4694" s="94" t="n"/>
      <c r="I4694" s="94" t="n"/>
      <c r="J4694" s="55" t="n"/>
      <c r="K4694" s="95" t="n"/>
      <c r="L4694" s="116">
        <f>IF($A4694="","",DATE(YEAR($A4694),MONTH($A4694)+IF(AND(IFERROR(N(INDEX(Übersicht!$M$15:$M$22,MATCH($B4694,Übersicht!$A$15:$A$22,0))),0)&gt;1,DAY($A4694)&gt;=IFERROR(N(INDEX(Übersicht!$M$15:$M$22,MATCH($B4694,Übersicht!$A$15:$A$22,0))),0)),1,0),1))</f>
        <v/>
      </c>
    </row>
    <row r="4695">
      <c r="A4695" s="92" t="n"/>
      <c r="B4695" s="55" t="n"/>
      <c r="C4695" s="55" t="n"/>
      <c r="D4695" s="55" t="n"/>
      <c r="E4695" s="93" t="n"/>
      <c r="F4695" s="94" t="n"/>
      <c r="G4695" s="94" t="n"/>
      <c r="H4695" s="94" t="n"/>
      <c r="I4695" s="94" t="n"/>
      <c r="J4695" s="55" t="n"/>
      <c r="K4695" s="95" t="n"/>
      <c r="L4695" s="116">
        <f>IF($A4695="","",DATE(YEAR($A4695),MONTH($A4695)+IF(AND(IFERROR(N(INDEX(Übersicht!$M$15:$M$22,MATCH($B4695,Übersicht!$A$15:$A$22,0))),0)&gt;1,DAY($A4695)&gt;=IFERROR(N(INDEX(Übersicht!$M$15:$M$22,MATCH($B4695,Übersicht!$A$15:$A$22,0))),0)),1,0),1))</f>
        <v/>
      </c>
    </row>
    <row r="4696">
      <c r="A4696" s="92" t="n"/>
      <c r="B4696" s="55" t="n"/>
      <c r="C4696" s="55" t="n"/>
      <c r="D4696" s="55" t="n"/>
      <c r="E4696" s="93" t="n"/>
      <c r="F4696" s="94" t="n"/>
      <c r="G4696" s="94" t="n"/>
      <c r="H4696" s="94" t="n"/>
      <c r="I4696" s="94" t="n"/>
      <c r="J4696" s="55" t="n"/>
      <c r="K4696" s="95" t="n"/>
      <c r="L4696" s="116">
        <f>IF($A4696="","",DATE(YEAR($A4696),MONTH($A4696)+IF(AND(IFERROR(N(INDEX(Übersicht!$M$15:$M$22,MATCH($B4696,Übersicht!$A$15:$A$22,0))),0)&gt;1,DAY($A4696)&gt;=IFERROR(N(INDEX(Übersicht!$M$15:$M$22,MATCH($B4696,Übersicht!$A$15:$A$22,0))),0)),1,0),1))</f>
        <v/>
      </c>
    </row>
    <row r="4697">
      <c r="A4697" s="92" t="n"/>
      <c r="B4697" s="55" t="n"/>
      <c r="C4697" s="55" t="n"/>
      <c r="D4697" s="55" t="n"/>
      <c r="E4697" s="93" t="n"/>
      <c r="F4697" s="94" t="n"/>
      <c r="G4697" s="94" t="n"/>
      <c r="H4697" s="94" t="n"/>
      <c r="I4697" s="94" t="n"/>
      <c r="J4697" s="55" t="n"/>
      <c r="K4697" s="95" t="n"/>
      <c r="L4697" s="116">
        <f>IF($A4697="","",DATE(YEAR($A4697),MONTH($A4697)+IF(AND(IFERROR(N(INDEX(Übersicht!$M$15:$M$22,MATCH($B4697,Übersicht!$A$15:$A$22,0))),0)&gt;1,DAY($A4697)&gt;=IFERROR(N(INDEX(Übersicht!$M$15:$M$22,MATCH($B4697,Übersicht!$A$15:$A$22,0))),0)),1,0),1))</f>
        <v/>
      </c>
    </row>
    <row r="4698">
      <c r="A4698" s="92" t="n"/>
      <c r="B4698" s="55" t="n"/>
      <c r="C4698" s="55" t="n"/>
      <c r="D4698" s="55" t="n"/>
      <c r="E4698" s="93" t="n"/>
      <c r="F4698" s="94" t="n"/>
      <c r="G4698" s="94" t="n"/>
      <c r="H4698" s="94" t="n"/>
      <c r="I4698" s="94" t="n"/>
      <c r="J4698" s="55" t="n"/>
      <c r="K4698" s="95" t="n"/>
      <c r="L4698" s="116">
        <f>IF($A4698="","",DATE(YEAR($A4698),MONTH($A4698)+IF(AND(IFERROR(N(INDEX(Übersicht!$M$15:$M$22,MATCH($B4698,Übersicht!$A$15:$A$22,0))),0)&gt;1,DAY($A4698)&gt;=IFERROR(N(INDEX(Übersicht!$M$15:$M$22,MATCH($B4698,Übersicht!$A$15:$A$22,0))),0)),1,0),1))</f>
        <v/>
      </c>
    </row>
    <row r="4699">
      <c r="A4699" s="92" t="n"/>
      <c r="B4699" s="55" t="n"/>
      <c r="C4699" s="55" t="n"/>
      <c r="D4699" s="55" t="n"/>
      <c r="E4699" s="93" t="n"/>
      <c r="F4699" s="94" t="n"/>
      <c r="G4699" s="94" t="n"/>
      <c r="H4699" s="94" t="n"/>
      <c r="I4699" s="94" t="n"/>
      <c r="J4699" s="55" t="n"/>
      <c r="K4699" s="95" t="n"/>
      <c r="L4699" s="116">
        <f>IF($A4699="","",DATE(YEAR($A4699),MONTH($A4699)+IF(AND(IFERROR(N(INDEX(Übersicht!$M$15:$M$22,MATCH($B4699,Übersicht!$A$15:$A$22,0))),0)&gt;1,DAY($A4699)&gt;=IFERROR(N(INDEX(Übersicht!$M$15:$M$22,MATCH($B4699,Übersicht!$A$15:$A$22,0))),0)),1,0),1))</f>
        <v/>
      </c>
    </row>
    <row r="4700">
      <c r="A4700" s="92" t="n"/>
      <c r="B4700" s="55" t="n"/>
      <c r="C4700" s="55" t="n"/>
      <c r="D4700" s="55" t="n"/>
      <c r="E4700" s="93" t="n"/>
      <c r="F4700" s="94" t="n"/>
      <c r="G4700" s="94" t="n"/>
      <c r="H4700" s="94" t="n"/>
      <c r="I4700" s="94" t="n"/>
      <c r="J4700" s="55" t="n"/>
      <c r="K4700" s="95" t="n"/>
      <c r="L4700" s="116">
        <f>IF($A4700="","",DATE(YEAR($A4700),MONTH($A4700)+IF(AND(IFERROR(N(INDEX(Übersicht!$M$15:$M$22,MATCH($B4700,Übersicht!$A$15:$A$22,0))),0)&gt;1,DAY($A4700)&gt;=IFERROR(N(INDEX(Übersicht!$M$15:$M$22,MATCH($B4700,Übersicht!$A$15:$A$22,0))),0)),1,0),1))</f>
        <v/>
      </c>
    </row>
    <row r="4701">
      <c r="A4701" s="92" t="n"/>
      <c r="B4701" s="55" t="n"/>
      <c r="C4701" s="55" t="n"/>
      <c r="D4701" s="55" t="n"/>
      <c r="E4701" s="93" t="n"/>
      <c r="F4701" s="94" t="n"/>
      <c r="G4701" s="94" t="n"/>
      <c r="H4701" s="94" t="n"/>
      <c r="I4701" s="94" t="n"/>
      <c r="J4701" s="55" t="n"/>
      <c r="K4701" s="95" t="n"/>
      <c r="L4701" s="116">
        <f>IF($A4701="","",DATE(YEAR($A4701),MONTH($A4701)+IF(AND(IFERROR(N(INDEX(Übersicht!$M$15:$M$22,MATCH($B4701,Übersicht!$A$15:$A$22,0))),0)&gt;1,DAY($A4701)&gt;=IFERROR(N(INDEX(Übersicht!$M$15:$M$22,MATCH($B4701,Übersicht!$A$15:$A$22,0))),0)),1,0),1))</f>
        <v/>
      </c>
    </row>
    <row r="4702">
      <c r="A4702" s="92" t="n"/>
      <c r="B4702" s="55" t="n"/>
      <c r="C4702" s="55" t="n"/>
      <c r="D4702" s="55" t="n"/>
      <c r="E4702" s="93" t="n"/>
      <c r="F4702" s="94" t="n"/>
      <c r="G4702" s="94" t="n"/>
      <c r="H4702" s="94" t="n"/>
      <c r="I4702" s="94" t="n"/>
      <c r="J4702" s="55" t="n"/>
      <c r="K4702" s="95" t="n"/>
      <c r="L4702" s="116">
        <f>IF($A4702="","",DATE(YEAR($A4702),MONTH($A4702)+IF(AND(IFERROR(N(INDEX(Übersicht!$M$15:$M$22,MATCH($B4702,Übersicht!$A$15:$A$22,0))),0)&gt;1,DAY($A4702)&gt;=IFERROR(N(INDEX(Übersicht!$M$15:$M$22,MATCH($B4702,Übersicht!$A$15:$A$22,0))),0)),1,0),1))</f>
        <v/>
      </c>
    </row>
    <row r="4703">
      <c r="A4703" s="92" t="n"/>
      <c r="B4703" s="55" t="n"/>
      <c r="C4703" s="55" t="n"/>
      <c r="D4703" s="55" t="n"/>
      <c r="E4703" s="93" t="n"/>
      <c r="F4703" s="94" t="n"/>
      <c r="G4703" s="94" t="n"/>
      <c r="H4703" s="94" t="n"/>
      <c r="I4703" s="94" t="n"/>
      <c r="J4703" s="55" t="n"/>
      <c r="K4703" s="95" t="n"/>
      <c r="L4703" s="116">
        <f>IF($A4703="","",DATE(YEAR($A4703),MONTH($A4703)+IF(AND(IFERROR(N(INDEX(Übersicht!$M$15:$M$22,MATCH($B4703,Übersicht!$A$15:$A$22,0))),0)&gt;1,DAY($A4703)&gt;=IFERROR(N(INDEX(Übersicht!$M$15:$M$22,MATCH($B4703,Übersicht!$A$15:$A$22,0))),0)),1,0),1))</f>
        <v/>
      </c>
    </row>
    <row r="4704">
      <c r="A4704" s="92" t="n"/>
      <c r="B4704" s="55" t="n"/>
      <c r="C4704" s="55" t="n"/>
      <c r="D4704" s="55" t="n"/>
      <c r="E4704" s="93" t="n"/>
      <c r="F4704" s="94" t="n"/>
      <c r="G4704" s="94" t="n"/>
      <c r="H4704" s="94" t="n"/>
      <c r="I4704" s="94" t="n"/>
      <c r="J4704" s="55" t="n"/>
      <c r="K4704" s="95" t="n"/>
      <c r="L4704" s="116">
        <f>IF($A4704="","",DATE(YEAR($A4704),MONTH($A4704)+IF(AND(IFERROR(N(INDEX(Übersicht!$M$15:$M$22,MATCH($B4704,Übersicht!$A$15:$A$22,0))),0)&gt;1,DAY($A4704)&gt;=IFERROR(N(INDEX(Übersicht!$M$15:$M$22,MATCH($B4704,Übersicht!$A$15:$A$22,0))),0)),1,0),1))</f>
        <v/>
      </c>
    </row>
    <row r="4705">
      <c r="A4705" s="92" t="n"/>
      <c r="B4705" s="55" t="n"/>
      <c r="C4705" s="55" t="n"/>
      <c r="D4705" s="55" t="n"/>
      <c r="E4705" s="93" t="n"/>
      <c r="F4705" s="94" t="n"/>
      <c r="G4705" s="94" t="n"/>
      <c r="H4705" s="94" t="n"/>
      <c r="I4705" s="94" t="n"/>
      <c r="J4705" s="55" t="n"/>
      <c r="K4705" s="95" t="n"/>
      <c r="L4705" s="116">
        <f>IF($A4705="","",DATE(YEAR($A4705),MONTH($A4705)+IF(AND(IFERROR(N(INDEX(Übersicht!$M$15:$M$22,MATCH($B4705,Übersicht!$A$15:$A$22,0))),0)&gt;1,DAY($A4705)&gt;=IFERROR(N(INDEX(Übersicht!$M$15:$M$22,MATCH($B4705,Übersicht!$A$15:$A$22,0))),0)),1,0),1))</f>
        <v/>
      </c>
    </row>
    <row r="4706">
      <c r="A4706" s="92" t="n"/>
      <c r="B4706" s="55" t="n"/>
      <c r="C4706" s="55" t="n"/>
      <c r="D4706" s="55" t="n"/>
      <c r="E4706" s="93" t="n"/>
      <c r="F4706" s="94" t="n"/>
      <c r="G4706" s="94" t="n"/>
      <c r="H4706" s="94" t="n"/>
      <c r="I4706" s="94" t="n"/>
      <c r="J4706" s="55" t="n"/>
      <c r="K4706" s="95" t="n"/>
      <c r="L4706" s="116">
        <f>IF($A4706="","",DATE(YEAR($A4706),MONTH($A4706)+IF(AND(IFERROR(N(INDEX(Übersicht!$M$15:$M$22,MATCH($B4706,Übersicht!$A$15:$A$22,0))),0)&gt;1,DAY($A4706)&gt;=IFERROR(N(INDEX(Übersicht!$M$15:$M$22,MATCH($B4706,Übersicht!$A$15:$A$22,0))),0)),1,0),1))</f>
        <v/>
      </c>
    </row>
    <row r="4707">
      <c r="A4707" s="92" t="n"/>
      <c r="B4707" s="55" t="n"/>
      <c r="C4707" s="55" t="n"/>
      <c r="D4707" s="55" t="n"/>
      <c r="E4707" s="93" t="n"/>
      <c r="F4707" s="94" t="n"/>
      <c r="G4707" s="94" t="n"/>
      <c r="H4707" s="94" t="n"/>
      <c r="I4707" s="94" t="n"/>
      <c r="J4707" s="55" t="n"/>
      <c r="K4707" s="95" t="n"/>
      <c r="L4707" s="116">
        <f>IF($A4707="","",DATE(YEAR($A4707),MONTH($A4707)+IF(AND(IFERROR(N(INDEX(Übersicht!$M$15:$M$22,MATCH($B4707,Übersicht!$A$15:$A$22,0))),0)&gt;1,DAY($A4707)&gt;=IFERROR(N(INDEX(Übersicht!$M$15:$M$22,MATCH($B4707,Übersicht!$A$15:$A$22,0))),0)),1,0),1))</f>
        <v/>
      </c>
    </row>
    <row r="4708">
      <c r="A4708" s="92" t="n"/>
      <c r="B4708" s="55" t="n"/>
      <c r="C4708" s="55" t="n"/>
      <c r="D4708" s="55" t="n"/>
      <c r="E4708" s="93" t="n"/>
      <c r="F4708" s="94" t="n"/>
      <c r="G4708" s="94" t="n"/>
      <c r="H4708" s="94" t="n"/>
      <c r="I4708" s="94" t="n"/>
      <c r="J4708" s="55" t="n"/>
      <c r="K4708" s="95" t="n"/>
      <c r="L4708" s="116">
        <f>IF($A4708="","",DATE(YEAR($A4708),MONTH($A4708)+IF(AND(IFERROR(N(INDEX(Übersicht!$M$15:$M$22,MATCH($B4708,Übersicht!$A$15:$A$22,0))),0)&gt;1,DAY($A4708)&gt;=IFERROR(N(INDEX(Übersicht!$M$15:$M$22,MATCH($B4708,Übersicht!$A$15:$A$22,0))),0)),1,0),1))</f>
        <v/>
      </c>
    </row>
    <row r="4709">
      <c r="A4709" s="92" t="n"/>
      <c r="B4709" s="55" t="n"/>
      <c r="C4709" s="55" t="n"/>
      <c r="D4709" s="55" t="n"/>
      <c r="E4709" s="93" t="n"/>
      <c r="F4709" s="94" t="n"/>
      <c r="G4709" s="94" t="n"/>
      <c r="H4709" s="94" t="n"/>
      <c r="I4709" s="94" t="n"/>
      <c r="J4709" s="55" t="n"/>
      <c r="K4709" s="95" t="n"/>
      <c r="L4709" s="116">
        <f>IF($A4709="","",DATE(YEAR($A4709),MONTH($A4709)+IF(AND(IFERROR(N(INDEX(Übersicht!$M$15:$M$22,MATCH($B4709,Übersicht!$A$15:$A$22,0))),0)&gt;1,DAY($A4709)&gt;=IFERROR(N(INDEX(Übersicht!$M$15:$M$22,MATCH($B4709,Übersicht!$A$15:$A$22,0))),0)),1,0),1))</f>
        <v/>
      </c>
    </row>
    <row r="4710">
      <c r="A4710" s="92" t="n"/>
      <c r="B4710" s="55" t="n"/>
      <c r="C4710" s="55" t="n"/>
      <c r="D4710" s="55" t="n"/>
      <c r="E4710" s="93" t="n"/>
      <c r="F4710" s="94" t="n"/>
      <c r="G4710" s="94" t="n"/>
      <c r="H4710" s="94" t="n"/>
      <c r="I4710" s="94" t="n"/>
      <c r="J4710" s="55" t="n"/>
      <c r="K4710" s="95" t="n"/>
      <c r="L4710" s="116">
        <f>IF($A4710="","",DATE(YEAR($A4710),MONTH($A4710)+IF(AND(IFERROR(N(INDEX(Übersicht!$M$15:$M$22,MATCH($B4710,Übersicht!$A$15:$A$22,0))),0)&gt;1,DAY($A4710)&gt;=IFERROR(N(INDEX(Übersicht!$M$15:$M$22,MATCH($B4710,Übersicht!$A$15:$A$22,0))),0)),1,0),1))</f>
        <v/>
      </c>
    </row>
    <row r="4711">
      <c r="A4711" s="92" t="n"/>
      <c r="B4711" s="55" t="n"/>
      <c r="C4711" s="55" t="n"/>
      <c r="D4711" s="55" t="n"/>
      <c r="E4711" s="93" t="n"/>
      <c r="F4711" s="94" t="n"/>
      <c r="G4711" s="94" t="n"/>
      <c r="H4711" s="94" t="n"/>
      <c r="I4711" s="94" t="n"/>
      <c r="J4711" s="55" t="n"/>
      <c r="K4711" s="95" t="n"/>
      <c r="L4711" s="116">
        <f>IF($A4711="","",DATE(YEAR($A4711),MONTH($A4711)+IF(AND(IFERROR(N(INDEX(Übersicht!$M$15:$M$22,MATCH($B4711,Übersicht!$A$15:$A$22,0))),0)&gt;1,DAY($A4711)&gt;=IFERROR(N(INDEX(Übersicht!$M$15:$M$22,MATCH($B4711,Übersicht!$A$15:$A$22,0))),0)),1,0),1))</f>
        <v/>
      </c>
    </row>
    <row r="4712">
      <c r="A4712" s="92" t="n"/>
      <c r="B4712" s="55" t="n"/>
      <c r="C4712" s="55" t="n"/>
      <c r="D4712" s="55" t="n"/>
      <c r="E4712" s="93" t="n"/>
      <c r="F4712" s="94" t="n"/>
      <c r="G4712" s="94" t="n"/>
      <c r="H4712" s="94" t="n"/>
      <c r="I4712" s="94" t="n"/>
      <c r="J4712" s="55" t="n"/>
      <c r="K4712" s="95" t="n"/>
      <c r="L4712" s="116">
        <f>IF($A4712="","",DATE(YEAR($A4712),MONTH($A4712)+IF(AND(IFERROR(N(INDEX(Übersicht!$M$15:$M$22,MATCH($B4712,Übersicht!$A$15:$A$22,0))),0)&gt;1,DAY($A4712)&gt;=IFERROR(N(INDEX(Übersicht!$M$15:$M$22,MATCH($B4712,Übersicht!$A$15:$A$22,0))),0)),1,0),1))</f>
        <v/>
      </c>
    </row>
    <row r="4713">
      <c r="A4713" s="92" t="n"/>
      <c r="B4713" s="55" t="n"/>
      <c r="C4713" s="55" t="n"/>
      <c r="D4713" s="55" t="n"/>
      <c r="E4713" s="93" t="n"/>
      <c r="F4713" s="94" t="n"/>
      <c r="G4713" s="94" t="n"/>
      <c r="H4713" s="94" t="n"/>
      <c r="I4713" s="94" t="n"/>
      <c r="J4713" s="55" t="n"/>
      <c r="K4713" s="95" t="n"/>
      <c r="L4713" s="116">
        <f>IF($A4713="","",DATE(YEAR($A4713),MONTH($A4713)+IF(AND(IFERROR(N(INDEX(Übersicht!$M$15:$M$22,MATCH($B4713,Übersicht!$A$15:$A$22,0))),0)&gt;1,DAY($A4713)&gt;=IFERROR(N(INDEX(Übersicht!$M$15:$M$22,MATCH($B4713,Übersicht!$A$15:$A$22,0))),0)),1,0),1))</f>
        <v/>
      </c>
    </row>
    <row r="4714">
      <c r="A4714" s="92" t="n"/>
      <c r="B4714" s="55" t="n"/>
      <c r="C4714" s="55" t="n"/>
      <c r="D4714" s="55" t="n"/>
      <c r="E4714" s="93" t="n"/>
      <c r="F4714" s="94" t="n"/>
      <c r="G4714" s="94" t="n"/>
      <c r="H4714" s="94" t="n"/>
      <c r="I4714" s="94" t="n"/>
      <c r="J4714" s="55" t="n"/>
      <c r="K4714" s="95" t="n"/>
      <c r="L4714" s="116">
        <f>IF($A4714="","",DATE(YEAR($A4714),MONTH($A4714)+IF(AND(IFERROR(N(INDEX(Übersicht!$M$15:$M$22,MATCH($B4714,Übersicht!$A$15:$A$22,0))),0)&gt;1,DAY($A4714)&gt;=IFERROR(N(INDEX(Übersicht!$M$15:$M$22,MATCH($B4714,Übersicht!$A$15:$A$22,0))),0)),1,0),1))</f>
        <v/>
      </c>
    </row>
    <row r="4715">
      <c r="A4715" s="92" t="n"/>
      <c r="B4715" s="55" t="n"/>
      <c r="C4715" s="55" t="n"/>
      <c r="D4715" s="55" t="n"/>
      <c r="E4715" s="93" t="n"/>
      <c r="F4715" s="94" t="n"/>
      <c r="G4715" s="94" t="n"/>
      <c r="H4715" s="94" t="n"/>
      <c r="I4715" s="94" t="n"/>
      <c r="J4715" s="55" t="n"/>
      <c r="K4715" s="95" t="n"/>
      <c r="L4715" s="116">
        <f>IF($A4715="","",DATE(YEAR($A4715),MONTH($A4715)+IF(AND(IFERROR(N(INDEX(Übersicht!$M$15:$M$22,MATCH($B4715,Übersicht!$A$15:$A$22,0))),0)&gt;1,DAY($A4715)&gt;=IFERROR(N(INDEX(Übersicht!$M$15:$M$22,MATCH($B4715,Übersicht!$A$15:$A$22,0))),0)),1,0),1))</f>
        <v/>
      </c>
    </row>
    <row r="4716">
      <c r="A4716" s="92" t="n"/>
      <c r="B4716" s="55" t="n"/>
      <c r="C4716" s="55" t="n"/>
      <c r="D4716" s="55" t="n"/>
      <c r="E4716" s="93" t="n"/>
      <c r="F4716" s="94" t="n"/>
      <c r="G4716" s="94" t="n"/>
      <c r="H4716" s="94" t="n"/>
      <c r="I4716" s="94" t="n"/>
      <c r="J4716" s="55" t="n"/>
      <c r="K4716" s="95" t="n"/>
      <c r="L4716" s="116">
        <f>IF($A4716="","",DATE(YEAR($A4716),MONTH($A4716)+IF(AND(IFERROR(N(INDEX(Übersicht!$M$15:$M$22,MATCH($B4716,Übersicht!$A$15:$A$22,0))),0)&gt;1,DAY($A4716)&gt;=IFERROR(N(INDEX(Übersicht!$M$15:$M$22,MATCH($B4716,Übersicht!$A$15:$A$22,0))),0)),1,0),1))</f>
        <v/>
      </c>
    </row>
    <row r="4717">
      <c r="A4717" s="92" t="n"/>
      <c r="B4717" s="55" t="n"/>
      <c r="C4717" s="55" t="n"/>
      <c r="D4717" s="55" t="n"/>
      <c r="E4717" s="93" t="n"/>
      <c r="F4717" s="94" t="n"/>
      <c r="G4717" s="94" t="n"/>
      <c r="H4717" s="94" t="n"/>
      <c r="I4717" s="94" t="n"/>
      <c r="J4717" s="55" t="n"/>
      <c r="K4717" s="95" t="n"/>
      <c r="L4717" s="116">
        <f>IF($A4717="","",DATE(YEAR($A4717),MONTH($A4717)+IF(AND(IFERROR(N(INDEX(Übersicht!$M$15:$M$22,MATCH($B4717,Übersicht!$A$15:$A$22,0))),0)&gt;1,DAY($A4717)&gt;=IFERROR(N(INDEX(Übersicht!$M$15:$M$22,MATCH($B4717,Übersicht!$A$15:$A$22,0))),0)),1,0),1))</f>
        <v/>
      </c>
    </row>
    <row r="4718">
      <c r="A4718" s="92" t="n"/>
      <c r="B4718" s="55" t="n"/>
      <c r="C4718" s="55" t="n"/>
      <c r="D4718" s="55" t="n"/>
      <c r="E4718" s="93" t="n"/>
      <c r="F4718" s="94" t="n"/>
      <c r="G4718" s="94" t="n"/>
      <c r="H4718" s="94" t="n"/>
      <c r="I4718" s="94" t="n"/>
      <c r="J4718" s="55" t="n"/>
      <c r="K4718" s="95" t="n"/>
      <c r="L4718" s="116">
        <f>IF($A4718="","",DATE(YEAR($A4718),MONTH($A4718)+IF(AND(IFERROR(N(INDEX(Übersicht!$M$15:$M$22,MATCH($B4718,Übersicht!$A$15:$A$22,0))),0)&gt;1,DAY($A4718)&gt;=IFERROR(N(INDEX(Übersicht!$M$15:$M$22,MATCH($B4718,Übersicht!$A$15:$A$22,0))),0)),1,0),1))</f>
        <v/>
      </c>
    </row>
    <row r="4719">
      <c r="A4719" s="92" t="n"/>
      <c r="B4719" s="55" t="n"/>
      <c r="C4719" s="55" t="n"/>
      <c r="D4719" s="55" t="n"/>
      <c r="E4719" s="93" t="n"/>
      <c r="F4719" s="94" t="n"/>
      <c r="G4719" s="94" t="n"/>
      <c r="H4719" s="94" t="n"/>
      <c r="I4719" s="94" t="n"/>
      <c r="J4719" s="55" t="n"/>
      <c r="K4719" s="95" t="n"/>
      <c r="L4719" s="116">
        <f>IF($A4719="","",DATE(YEAR($A4719),MONTH($A4719)+IF(AND(IFERROR(N(INDEX(Übersicht!$M$15:$M$22,MATCH($B4719,Übersicht!$A$15:$A$22,0))),0)&gt;1,DAY($A4719)&gt;=IFERROR(N(INDEX(Übersicht!$M$15:$M$22,MATCH($B4719,Übersicht!$A$15:$A$22,0))),0)),1,0),1))</f>
        <v/>
      </c>
    </row>
    <row r="4720">
      <c r="A4720" s="92" t="n"/>
      <c r="B4720" s="55" t="n"/>
      <c r="C4720" s="55" t="n"/>
      <c r="D4720" s="55" t="n"/>
      <c r="E4720" s="93" t="n"/>
      <c r="F4720" s="94" t="n"/>
      <c r="G4720" s="94" t="n"/>
      <c r="H4720" s="94" t="n"/>
      <c r="I4720" s="94" t="n"/>
      <c r="J4720" s="55" t="n"/>
      <c r="K4720" s="95" t="n"/>
      <c r="L4720" s="116">
        <f>IF($A4720="","",DATE(YEAR($A4720),MONTH($A4720)+IF(AND(IFERROR(N(INDEX(Übersicht!$M$15:$M$22,MATCH($B4720,Übersicht!$A$15:$A$22,0))),0)&gt;1,DAY($A4720)&gt;=IFERROR(N(INDEX(Übersicht!$M$15:$M$22,MATCH($B4720,Übersicht!$A$15:$A$22,0))),0)),1,0),1))</f>
        <v/>
      </c>
    </row>
    <row r="4721">
      <c r="A4721" s="92" t="n"/>
      <c r="B4721" s="55" t="n"/>
      <c r="C4721" s="55" t="n"/>
      <c r="D4721" s="55" t="n"/>
      <c r="E4721" s="93" t="n"/>
      <c r="F4721" s="94" t="n"/>
      <c r="G4721" s="94" t="n"/>
      <c r="H4721" s="94" t="n"/>
      <c r="I4721" s="94" t="n"/>
      <c r="J4721" s="55" t="n"/>
      <c r="K4721" s="95" t="n"/>
      <c r="L4721" s="116">
        <f>IF($A4721="","",DATE(YEAR($A4721),MONTH($A4721)+IF(AND(IFERROR(N(INDEX(Übersicht!$M$15:$M$22,MATCH($B4721,Übersicht!$A$15:$A$22,0))),0)&gt;1,DAY($A4721)&gt;=IFERROR(N(INDEX(Übersicht!$M$15:$M$22,MATCH($B4721,Übersicht!$A$15:$A$22,0))),0)),1,0),1))</f>
        <v/>
      </c>
    </row>
    <row r="4722">
      <c r="A4722" s="92" t="n"/>
      <c r="B4722" s="55" t="n"/>
      <c r="C4722" s="55" t="n"/>
      <c r="D4722" s="55" t="n"/>
      <c r="E4722" s="93" t="n"/>
      <c r="F4722" s="94" t="n"/>
      <c r="G4722" s="94" t="n"/>
      <c r="H4722" s="94" t="n"/>
      <c r="I4722" s="94" t="n"/>
      <c r="J4722" s="55" t="n"/>
      <c r="K4722" s="95" t="n"/>
      <c r="L4722" s="116">
        <f>IF($A4722="","",DATE(YEAR($A4722),MONTH($A4722)+IF(AND(IFERROR(N(INDEX(Übersicht!$M$15:$M$22,MATCH($B4722,Übersicht!$A$15:$A$22,0))),0)&gt;1,DAY($A4722)&gt;=IFERROR(N(INDEX(Übersicht!$M$15:$M$22,MATCH($B4722,Übersicht!$A$15:$A$22,0))),0)),1,0),1))</f>
        <v/>
      </c>
    </row>
    <row r="4723">
      <c r="A4723" s="92" t="n"/>
      <c r="B4723" s="55" t="n"/>
      <c r="C4723" s="55" t="n"/>
      <c r="D4723" s="55" t="n"/>
      <c r="E4723" s="93" t="n"/>
      <c r="F4723" s="94" t="n"/>
      <c r="G4723" s="94" t="n"/>
      <c r="H4723" s="94" t="n"/>
      <c r="I4723" s="94" t="n"/>
      <c r="J4723" s="55" t="n"/>
      <c r="K4723" s="95" t="n"/>
      <c r="L4723" s="116">
        <f>IF($A4723="","",DATE(YEAR($A4723),MONTH($A4723)+IF(AND(IFERROR(N(INDEX(Übersicht!$M$15:$M$22,MATCH($B4723,Übersicht!$A$15:$A$22,0))),0)&gt;1,DAY($A4723)&gt;=IFERROR(N(INDEX(Übersicht!$M$15:$M$22,MATCH($B4723,Übersicht!$A$15:$A$22,0))),0)),1,0),1))</f>
        <v/>
      </c>
    </row>
    <row r="4724">
      <c r="A4724" s="92" t="n"/>
      <c r="B4724" s="55" t="n"/>
      <c r="C4724" s="55" t="n"/>
      <c r="D4724" s="55" t="n"/>
      <c r="E4724" s="93" t="n"/>
      <c r="F4724" s="94" t="n"/>
      <c r="G4724" s="94" t="n"/>
      <c r="H4724" s="94" t="n"/>
      <c r="I4724" s="94" t="n"/>
      <c r="J4724" s="55" t="n"/>
      <c r="K4724" s="95" t="n"/>
      <c r="L4724" s="116">
        <f>IF($A4724="","",DATE(YEAR($A4724),MONTH($A4724)+IF(AND(IFERROR(N(INDEX(Übersicht!$M$15:$M$22,MATCH($B4724,Übersicht!$A$15:$A$22,0))),0)&gt;1,DAY($A4724)&gt;=IFERROR(N(INDEX(Übersicht!$M$15:$M$22,MATCH($B4724,Übersicht!$A$15:$A$22,0))),0)),1,0),1))</f>
        <v/>
      </c>
    </row>
    <row r="4725">
      <c r="A4725" s="92" t="n"/>
      <c r="B4725" s="55" t="n"/>
      <c r="C4725" s="55" t="n"/>
      <c r="D4725" s="55" t="n"/>
      <c r="E4725" s="93" t="n"/>
      <c r="F4725" s="94" t="n"/>
      <c r="G4725" s="94" t="n"/>
      <c r="H4725" s="94" t="n"/>
      <c r="I4725" s="94" t="n"/>
      <c r="J4725" s="55" t="n"/>
      <c r="K4725" s="95" t="n"/>
      <c r="L4725" s="116">
        <f>IF($A4725="","",DATE(YEAR($A4725),MONTH($A4725)+IF(AND(IFERROR(N(INDEX(Übersicht!$M$15:$M$22,MATCH($B4725,Übersicht!$A$15:$A$22,0))),0)&gt;1,DAY($A4725)&gt;=IFERROR(N(INDEX(Übersicht!$M$15:$M$22,MATCH($B4725,Übersicht!$A$15:$A$22,0))),0)),1,0),1))</f>
        <v/>
      </c>
    </row>
    <row r="4726">
      <c r="A4726" s="92" t="n"/>
      <c r="B4726" s="55" t="n"/>
      <c r="C4726" s="55" t="n"/>
      <c r="D4726" s="55" t="n"/>
      <c r="E4726" s="93" t="n"/>
      <c r="F4726" s="94" t="n"/>
      <c r="G4726" s="94" t="n"/>
      <c r="H4726" s="94" t="n"/>
      <c r="I4726" s="94" t="n"/>
      <c r="J4726" s="55" t="n"/>
      <c r="K4726" s="95" t="n"/>
      <c r="L4726" s="116">
        <f>IF($A4726="","",DATE(YEAR($A4726),MONTH($A4726)+IF(AND(IFERROR(N(INDEX(Übersicht!$M$15:$M$22,MATCH($B4726,Übersicht!$A$15:$A$22,0))),0)&gt;1,DAY($A4726)&gt;=IFERROR(N(INDEX(Übersicht!$M$15:$M$22,MATCH($B4726,Übersicht!$A$15:$A$22,0))),0)),1,0),1))</f>
        <v/>
      </c>
    </row>
    <row r="4727">
      <c r="A4727" s="92" t="n"/>
      <c r="B4727" s="55" t="n"/>
      <c r="C4727" s="55" t="n"/>
      <c r="D4727" s="55" t="n"/>
      <c r="E4727" s="93" t="n"/>
      <c r="F4727" s="94" t="n"/>
      <c r="G4727" s="94" t="n"/>
      <c r="H4727" s="94" t="n"/>
      <c r="I4727" s="94" t="n"/>
      <c r="J4727" s="55" t="n"/>
      <c r="K4727" s="95" t="n"/>
      <c r="L4727" s="116">
        <f>IF($A4727="","",DATE(YEAR($A4727),MONTH($A4727)+IF(AND(IFERROR(N(INDEX(Übersicht!$M$15:$M$22,MATCH($B4727,Übersicht!$A$15:$A$22,0))),0)&gt;1,DAY($A4727)&gt;=IFERROR(N(INDEX(Übersicht!$M$15:$M$22,MATCH($B4727,Übersicht!$A$15:$A$22,0))),0)),1,0),1))</f>
        <v/>
      </c>
    </row>
    <row r="4728">
      <c r="A4728" s="92" t="n"/>
      <c r="B4728" s="55" t="n"/>
      <c r="C4728" s="55" t="n"/>
      <c r="D4728" s="55" t="n"/>
      <c r="E4728" s="93" t="n"/>
      <c r="F4728" s="94" t="n"/>
      <c r="G4728" s="94" t="n"/>
      <c r="H4728" s="94" t="n"/>
      <c r="I4728" s="94" t="n"/>
      <c r="J4728" s="55" t="n"/>
      <c r="K4728" s="95" t="n"/>
      <c r="L4728" s="116">
        <f>IF($A4728="","",DATE(YEAR($A4728),MONTH($A4728)+IF(AND(IFERROR(N(INDEX(Übersicht!$M$15:$M$22,MATCH($B4728,Übersicht!$A$15:$A$22,0))),0)&gt;1,DAY($A4728)&gt;=IFERROR(N(INDEX(Übersicht!$M$15:$M$22,MATCH($B4728,Übersicht!$A$15:$A$22,0))),0)),1,0),1))</f>
        <v/>
      </c>
    </row>
    <row r="4729">
      <c r="A4729" s="92" t="n"/>
      <c r="B4729" s="55" t="n"/>
      <c r="C4729" s="55" t="n"/>
      <c r="D4729" s="55" t="n"/>
      <c r="E4729" s="93" t="n"/>
      <c r="F4729" s="94" t="n"/>
      <c r="G4729" s="94" t="n"/>
      <c r="H4729" s="94" t="n"/>
      <c r="I4729" s="94" t="n"/>
      <c r="J4729" s="55" t="n"/>
      <c r="K4729" s="95" t="n"/>
      <c r="L4729" s="116">
        <f>IF($A4729="","",DATE(YEAR($A4729),MONTH($A4729)+IF(AND(IFERROR(N(INDEX(Übersicht!$M$15:$M$22,MATCH($B4729,Übersicht!$A$15:$A$22,0))),0)&gt;1,DAY($A4729)&gt;=IFERROR(N(INDEX(Übersicht!$M$15:$M$22,MATCH($B4729,Übersicht!$A$15:$A$22,0))),0)),1,0),1))</f>
        <v/>
      </c>
    </row>
    <row r="4730">
      <c r="A4730" s="92" t="n"/>
      <c r="B4730" s="55" t="n"/>
      <c r="C4730" s="55" t="n"/>
      <c r="D4730" s="55" t="n"/>
      <c r="E4730" s="93" t="n"/>
      <c r="F4730" s="94" t="n"/>
      <c r="G4730" s="94" t="n"/>
      <c r="H4730" s="94" t="n"/>
      <c r="I4730" s="94" t="n"/>
      <c r="J4730" s="55" t="n"/>
      <c r="K4730" s="95" t="n"/>
      <c r="L4730" s="116">
        <f>IF($A4730="","",DATE(YEAR($A4730),MONTH($A4730)+IF(AND(IFERROR(N(INDEX(Übersicht!$M$15:$M$22,MATCH($B4730,Übersicht!$A$15:$A$22,0))),0)&gt;1,DAY($A4730)&gt;=IFERROR(N(INDEX(Übersicht!$M$15:$M$22,MATCH($B4730,Übersicht!$A$15:$A$22,0))),0)),1,0),1))</f>
        <v/>
      </c>
    </row>
    <row r="4731">
      <c r="A4731" s="92" t="n"/>
      <c r="B4731" s="55" t="n"/>
      <c r="C4731" s="55" t="n"/>
      <c r="D4731" s="55" t="n"/>
      <c r="E4731" s="93" t="n"/>
      <c r="F4731" s="94" t="n"/>
      <c r="G4731" s="94" t="n"/>
      <c r="H4731" s="94" t="n"/>
      <c r="I4731" s="94" t="n"/>
      <c r="J4731" s="55" t="n"/>
      <c r="K4731" s="95" t="n"/>
      <c r="L4731" s="116">
        <f>IF($A4731="","",DATE(YEAR($A4731),MONTH($A4731)+IF(AND(IFERROR(N(INDEX(Übersicht!$M$15:$M$22,MATCH($B4731,Übersicht!$A$15:$A$22,0))),0)&gt;1,DAY($A4731)&gt;=IFERROR(N(INDEX(Übersicht!$M$15:$M$22,MATCH($B4731,Übersicht!$A$15:$A$22,0))),0)),1,0),1))</f>
        <v/>
      </c>
    </row>
    <row r="4732">
      <c r="A4732" s="92" t="n"/>
      <c r="B4732" s="55" t="n"/>
      <c r="C4732" s="55" t="n"/>
      <c r="D4732" s="55" t="n"/>
      <c r="E4732" s="93" t="n"/>
      <c r="F4732" s="94" t="n"/>
      <c r="G4732" s="94" t="n"/>
      <c r="H4732" s="94" t="n"/>
      <c r="I4732" s="94" t="n"/>
      <c r="J4732" s="55" t="n"/>
      <c r="K4732" s="95" t="n"/>
      <c r="L4732" s="116">
        <f>IF($A4732="","",DATE(YEAR($A4732),MONTH($A4732)+IF(AND(IFERROR(N(INDEX(Übersicht!$M$15:$M$22,MATCH($B4732,Übersicht!$A$15:$A$22,0))),0)&gt;1,DAY($A4732)&gt;=IFERROR(N(INDEX(Übersicht!$M$15:$M$22,MATCH($B4732,Übersicht!$A$15:$A$22,0))),0)),1,0),1))</f>
        <v/>
      </c>
    </row>
    <row r="4733">
      <c r="A4733" s="92" t="n"/>
      <c r="B4733" s="55" t="n"/>
      <c r="C4733" s="55" t="n"/>
      <c r="D4733" s="55" t="n"/>
      <c r="E4733" s="93" t="n"/>
      <c r="F4733" s="94" t="n"/>
      <c r="G4733" s="94" t="n"/>
      <c r="H4733" s="94" t="n"/>
      <c r="I4733" s="94" t="n"/>
      <c r="J4733" s="55" t="n"/>
      <c r="K4733" s="95" t="n"/>
      <c r="L4733" s="116">
        <f>IF($A4733="","",DATE(YEAR($A4733),MONTH($A4733)+IF(AND(IFERROR(N(INDEX(Übersicht!$M$15:$M$22,MATCH($B4733,Übersicht!$A$15:$A$22,0))),0)&gt;1,DAY($A4733)&gt;=IFERROR(N(INDEX(Übersicht!$M$15:$M$22,MATCH($B4733,Übersicht!$A$15:$A$22,0))),0)),1,0),1))</f>
        <v/>
      </c>
    </row>
    <row r="4734">
      <c r="A4734" s="92" t="n"/>
      <c r="B4734" s="55" t="n"/>
      <c r="C4734" s="55" t="n"/>
      <c r="D4734" s="55" t="n"/>
      <c r="E4734" s="93" t="n"/>
      <c r="F4734" s="94" t="n"/>
      <c r="G4734" s="94" t="n"/>
      <c r="H4734" s="94" t="n"/>
      <c r="I4734" s="94" t="n"/>
      <c r="J4734" s="55" t="n"/>
      <c r="K4734" s="95" t="n"/>
      <c r="L4734" s="116">
        <f>IF($A4734="","",DATE(YEAR($A4734),MONTH($A4734)+IF(AND(IFERROR(N(INDEX(Übersicht!$M$15:$M$22,MATCH($B4734,Übersicht!$A$15:$A$22,0))),0)&gt;1,DAY($A4734)&gt;=IFERROR(N(INDEX(Übersicht!$M$15:$M$22,MATCH($B4734,Übersicht!$A$15:$A$22,0))),0)),1,0),1))</f>
        <v/>
      </c>
    </row>
    <row r="4735">
      <c r="A4735" s="92" t="n"/>
      <c r="B4735" s="55" t="n"/>
      <c r="C4735" s="55" t="n"/>
      <c r="D4735" s="55" t="n"/>
      <c r="E4735" s="93" t="n"/>
      <c r="F4735" s="94" t="n"/>
      <c r="G4735" s="94" t="n"/>
      <c r="H4735" s="94" t="n"/>
      <c r="I4735" s="94" t="n"/>
      <c r="J4735" s="55" t="n"/>
      <c r="K4735" s="95" t="n"/>
      <c r="L4735" s="116">
        <f>IF($A4735="","",DATE(YEAR($A4735),MONTH($A4735)+IF(AND(IFERROR(N(INDEX(Übersicht!$M$15:$M$22,MATCH($B4735,Übersicht!$A$15:$A$22,0))),0)&gt;1,DAY($A4735)&gt;=IFERROR(N(INDEX(Übersicht!$M$15:$M$22,MATCH($B4735,Übersicht!$A$15:$A$22,0))),0)),1,0),1))</f>
        <v/>
      </c>
    </row>
    <row r="4736">
      <c r="A4736" s="92" t="n"/>
      <c r="B4736" s="55" t="n"/>
      <c r="C4736" s="55" t="n"/>
      <c r="D4736" s="55" t="n"/>
      <c r="E4736" s="93" t="n"/>
      <c r="F4736" s="94" t="n"/>
      <c r="G4736" s="94" t="n"/>
      <c r="H4736" s="94" t="n"/>
      <c r="I4736" s="94" t="n"/>
      <c r="J4736" s="55" t="n"/>
      <c r="K4736" s="95" t="n"/>
      <c r="L4736" s="116">
        <f>IF($A4736="","",DATE(YEAR($A4736),MONTH($A4736)+IF(AND(IFERROR(N(INDEX(Übersicht!$M$15:$M$22,MATCH($B4736,Übersicht!$A$15:$A$22,0))),0)&gt;1,DAY($A4736)&gt;=IFERROR(N(INDEX(Übersicht!$M$15:$M$22,MATCH($B4736,Übersicht!$A$15:$A$22,0))),0)),1,0),1))</f>
        <v/>
      </c>
    </row>
    <row r="4737">
      <c r="A4737" s="92" t="n"/>
      <c r="B4737" s="55" t="n"/>
      <c r="C4737" s="55" t="n"/>
      <c r="D4737" s="55" t="n"/>
      <c r="E4737" s="93" t="n"/>
      <c r="F4737" s="94" t="n"/>
      <c r="G4737" s="94" t="n"/>
      <c r="H4737" s="94" t="n"/>
      <c r="I4737" s="94" t="n"/>
      <c r="J4737" s="55" t="n"/>
      <c r="K4737" s="95" t="n"/>
      <c r="L4737" s="116">
        <f>IF($A4737="","",DATE(YEAR($A4737),MONTH($A4737)+IF(AND(IFERROR(N(INDEX(Übersicht!$M$15:$M$22,MATCH($B4737,Übersicht!$A$15:$A$22,0))),0)&gt;1,DAY($A4737)&gt;=IFERROR(N(INDEX(Übersicht!$M$15:$M$22,MATCH($B4737,Übersicht!$A$15:$A$22,0))),0)),1,0),1))</f>
        <v/>
      </c>
    </row>
    <row r="4738">
      <c r="A4738" s="92" t="n"/>
      <c r="B4738" s="55" t="n"/>
      <c r="C4738" s="55" t="n"/>
      <c r="D4738" s="55" t="n"/>
      <c r="E4738" s="93" t="n"/>
      <c r="F4738" s="94" t="n"/>
      <c r="G4738" s="94" t="n"/>
      <c r="H4738" s="94" t="n"/>
      <c r="I4738" s="94" t="n"/>
      <c r="J4738" s="55" t="n"/>
      <c r="K4738" s="95" t="n"/>
      <c r="L4738" s="116">
        <f>IF($A4738="","",DATE(YEAR($A4738),MONTH($A4738)+IF(AND(IFERROR(N(INDEX(Übersicht!$M$15:$M$22,MATCH($B4738,Übersicht!$A$15:$A$22,0))),0)&gt;1,DAY($A4738)&gt;=IFERROR(N(INDEX(Übersicht!$M$15:$M$22,MATCH($B4738,Übersicht!$A$15:$A$22,0))),0)),1,0),1))</f>
        <v/>
      </c>
    </row>
    <row r="4739">
      <c r="A4739" s="92" t="n"/>
      <c r="B4739" s="55" t="n"/>
      <c r="C4739" s="55" t="n"/>
      <c r="D4739" s="55" t="n"/>
      <c r="E4739" s="93" t="n"/>
      <c r="F4739" s="94" t="n"/>
      <c r="G4739" s="94" t="n"/>
      <c r="H4739" s="94" t="n"/>
      <c r="I4739" s="94" t="n"/>
      <c r="J4739" s="55" t="n"/>
      <c r="K4739" s="95" t="n"/>
      <c r="L4739" s="116">
        <f>IF($A4739="","",DATE(YEAR($A4739),MONTH($A4739)+IF(AND(IFERROR(N(INDEX(Übersicht!$M$15:$M$22,MATCH($B4739,Übersicht!$A$15:$A$22,0))),0)&gt;1,DAY($A4739)&gt;=IFERROR(N(INDEX(Übersicht!$M$15:$M$22,MATCH($B4739,Übersicht!$A$15:$A$22,0))),0)),1,0),1))</f>
        <v/>
      </c>
    </row>
    <row r="4740">
      <c r="A4740" s="92" t="n"/>
      <c r="B4740" s="55" t="n"/>
      <c r="C4740" s="55" t="n"/>
      <c r="D4740" s="55" t="n"/>
      <c r="E4740" s="93" t="n"/>
      <c r="F4740" s="94" t="n"/>
      <c r="G4740" s="94" t="n"/>
      <c r="H4740" s="94" t="n"/>
      <c r="I4740" s="94" t="n"/>
      <c r="J4740" s="55" t="n"/>
      <c r="K4740" s="95" t="n"/>
      <c r="L4740" s="116">
        <f>IF($A4740="","",DATE(YEAR($A4740),MONTH($A4740)+IF(AND(IFERROR(N(INDEX(Übersicht!$M$15:$M$22,MATCH($B4740,Übersicht!$A$15:$A$22,0))),0)&gt;1,DAY($A4740)&gt;=IFERROR(N(INDEX(Übersicht!$M$15:$M$22,MATCH($B4740,Übersicht!$A$15:$A$22,0))),0)),1,0),1))</f>
        <v/>
      </c>
    </row>
    <row r="4741">
      <c r="A4741" s="92" t="n"/>
      <c r="B4741" s="55" t="n"/>
      <c r="C4741" s="55" t="n"/>
      <c r="D4741" s="55" t="n"/>
      <c r="E4741" s="93" t="n"/>
      <c r="F4741" s="94" t="n"/>
      <c r="G4741" s="94" t="n"/>
      <c r="H4741" s="94" t="n"/>
      <c r="I4741" s="94" t="n"/>
      <c r="J4741" s="55" t="n"/>
      <c r="K4741" s="95" t="n"/>
      <c r="L4741" s="116">
        <f>IF($A4741="","",DATE(YEAR($A4741),MONTH($A4741)+IF(AND(IFERROR(N(INDEX(Übersicht!$M$15:$M$22,MATCH($B4741,Übersicht!$A$15:$A$22,0))),0)&gt;1,DAY($A4741)&gt;=IFERROR(N(INDEX(Übersicht!$M$15:$M$22,MATCH($B4741,Übersicht!$A$15:$A$22,0))),0)),1,0),1))</f>
        <v/>
      </c>
    </row>
    <row r="4742">
      <c r="A4742" s="92" t="n"/>
      <c r="B4742" s="55" t="n"/>
      <c r="C4742" s="55" t="n"/>
      <c r="D4742" s="55" t="n"/>
      <c r="E4742" s="93" t="n"/>
      <c r="F4742" s="94" t="n"/>
      <c r="G4742" s="94" t="n"/>
      <c r="H4742" s="94" t="n"/>
      <c r="I4742" s="94" t="n"/>
      <c r="J4742" s="55" t="n"/>
      <c r="K4742" s="95" t="n"/>
      <c r="L4742" s="116">
        <f>IF($A4742="","",DATE(YEAR($A4742),MONTH($A4742)+IF(AND(IFERROR(N(INDEX(Übersicht!$M$15:$M$22,MATCH($B4742,Übersicht!$A$15:$A$22,0))),0)&gt;1,DAY($A4742)&gt;=IFERROR(N(INDEX(Übersicht!$M$15:$M$22,MATCH($B4742,Übersicht!$A$15:$A$22,0))),0)),1,0),1))</f>
        <v/>
      </c>
    </row>
    <row r="4743">
      <c r="A4743" s="92" t="n"/>
      <c r="B4743" s="55" t="n"/>
      <c r="C4743" s="55" t="n"/>
      <c r="D4743" s="55" t="n"/>
      <c r="E4743" s="93" t="n"/>
      <c r="F4743" s="94" t="n"/>
      <c r="G4743" s="94" t="n"/>
      <c r="H4743" s="94" t="n"/>
      <c r="I4743" s="94" t="n"/>
      <c r="J4743" s="55" t="n"/>
      <c r="K4743" s="95" t="n"/>
      <c r="L4743" s="116">
        <f>IF($A4743="","",DATE(YEAR($A4743),MONTH($A4743)+IF(AND(IFERROR(N(INDEX(Übersicht!$M$15:$M$22,MATCH($B4743,Übersicht!$A$15:$A$22,0))),0)&gt;1,DAY($A4743)&gt;=IFERROR(N(INDEX(Übersicht!$M$15:$M$22,MATCH($B4743,Übersicht!$A$15:$A$22,0))),0)),1,0),1))</f>
        <v/>
      </c>
    </row>
    <row r="4744">
      <c r="A4744" s="92" t="n"/>
      <c r="B4744" s="55" t="n"/>
      <c r="C4744" s="55" t="n"/>
      <c r="D4744" s="55" t="n"/>
      <c r="E4744" s="93" t="n"/>
      <c r="F4744" s="94" t="n"/>
      <c r="G4744" s="94" t="n"/>
      <c r="H4744" s="94" t="n"/>
      <c r="I4744" s="94" t="n"/>
      <c r="J4744" s="55" t="n"/>
      <c r="K4744" s="95" t="n"/>
      <c r="L4744" s="116">
        <f>IF($A4744="","",DATE(YEAR($A4744),MONTH($A4744)+IF(AND(IFERROR(N(INDEX(Übersicht!$M$15:$M$22,MATCH($B4744,Übersicht!$A$15:$A$22,0))),0)&gt;1,DAY($A4744)&gt;=IFERROR(N(INDEX(Übersicht!$M$15:$M$22,MATCH($B4744,Übersicht!$A$15:$A$22,0))),0)),1,0),1))</f>
        <v/>
      </c>
    </row>
    <row r="4745">
      <c r="A4745" s="92" t="n"/>
      <c r="B4745" s="55" t="n"/>
      <c r="C4745" s="55" t="n"/>
      <c r="D4745" s="55" t="n"/>
      <c r="E4745" s="93" t="n"/>
      <c r="F4745" s="94" t="n"/>
      <c r="G4745" s="94" t="n"/>
      <c r="H4745" s="94" t="n"/>
      <c r="I4745" s="94" t="n"/>
      <c r="J4745" s="55" t="n"/>
      <c r="K4745" s="95" t="n"/>
      <c r="L4745" s="116">
        <f>IF($A4745="","",DATE(YEAR($A4745),MONTH($A4745)+IF(AND(IFERROR(N(INDEX(Übersicht!$M$15:$M$22,MATCH($B4745,Übersicht!$A$15:$A$22,0))),0)&gt;1,DAY($A4745)&gt;=IFERROR(N(INDEX(Übersicht!$M$15:$M$22,MATCH($B4745,Übersicht!$A$15:$A$22,0))),0)),1,0),1))</f>
        <v/>
      </c>
    </row>
    <row r="4746">
      <c r="A4746" s="92" t="n"/>
      <c r="B4746" s="55" t="n"/>
      <c r="C4746" s="55" t="n"/>
      <c r="D4746" s="55" t="n"/>
      <c r="E4746" s="93" t="n"/>
      <c r="F4746" s="94" t="n"/>
      <c r="G4746" s="94" t="n"/>
      <c r="H4746" s="94" t="n"/>
      <c r="I4746" s="94" t="n"/>
      <c r="J4746" s="55" t="n"/>
      <c r="K4746" s="95" t="n"/>
      <c r="L4746" s="116">
        <f>IF($A4746="","",DATE(YEAR($A4746),MONTH($A4746)+IF(AND(IFERROR(N(INDEX(Übersicht!$M$15:$M$22,MATCH($B4746,Übersicht!$A$15:$A$22,0))),0)&gt;1,DAY($A4746)&gt;=IFERROR(N(INDEX(Übersicht!$M$15:$M$22,MATCH($B4746,Übersicht!$A$15:$A$22,0))),0)),1,0),1))</f>
        <v/>
      </c>
    </row>
    <row r="4747">
      <c r="A4747" s="92" t="n"/>
      <c r="B4747" s="55" t="n"/>
      <c r="C4747" s="55" t="n"/>
      <c r="D4747" s="55" t="n"/>
      <c r="E4747" s="93" t="n"/>
      <c r="F4747" s="94" t="n"/>
      <c r="G4747" s="94" t="n"/>
      <c r="H4747" s="94" t="n"/>
      <c r="I4747" s="94" t="n"/>
      <c r="J4747" s="55" t="n"/>
      <c r="K4747" s="95" t="n"/>
      <c r="L4747" s="116">
        <f>IF($A4747="","",DATE(YEAR($A4747),MONTH($A4747)+IF(AND(IFERROR(N(INDEX(Übersicht!$M$15:$M$22,MATCH($B4747,Übersicht!$A$15:$A$22,0))),0)&gt;1,DAY($A4747)&gt;=IFERROR(N(INDEX(Übersicht!$M$15:$M$22,MATCH($B4747,Übersicht!$A$15:$A$22,0))),0)),1,0),1))</f>
        <v/>
      </c>
    </row>
    <row r="4748">
      <c r="A4748" s="92" t="n"/>
      <c r="B4748" s="55" t="n"/>
      <c r="C4748" s="55" t="n"/>
      <c r="D4748" s="55" t="n"/>
      <c r="E4748" s="93" t="n"/>
      <c r="F4748" s="94" t="n"/>
      <c r="G4748" s="94" t="n"/>
      <c r="H4748" s="94" t="n"/>
      <c r="I4748" s="94" t="n"/>
      <c r="J4748" s="55" t="n"/>
      <c r="K4748" s="95" t="n"/>
      <c r="L4748" s="116">
        <f>IF($A4748="","",DATE(YEAR($A4748),MONTH($A4748)+IF(AND(IFERROR(N(INDEX(Übersicht!$M$15:$M$22,MATCH($B4748,Übersicht!$A$15:$A$22,0))),0)&gt;1,DAY($A4748)&gt;=IFERROR(N(INDEX(Übersicht!$M$15:$M$22,MATCH($B4748,Übersicht!$A$15:$A$22,0))),0)),1,0),1))</f>
        <v/>
      </c>
    </row>
    <row r="4749">
      <c r="A4749" s="92" t="n"/>
      <c r="B4749" s="55" t="n"/>
      <c r="C4749" s="55" t="n"/>
      <c r="D4749" s="55" t="n"/>
      <c r="E4749" s="93" t="n"/>
      <c r="F4749" s="94" t="n"/>
      <c r="G4749" s="94" t="n"/>
      <c r="H4749" s="94" t="n"/>
      <c r="I4749" s="94" t="n"/>
      <c r="J4749" s="55" t="n"/>
      <c r="K4749" s="95" t="n"/>
      <c r="L4749" s="116">
        <f>IF($A4749="","",DATE(YEAR($A4749),MONTH($A4749)+IF(AND(IFERROR(N(INDEX(Übersicht!$M$15:$M$22,MATCH($B4749,Übersicht!$A$15:$A$22,0))),0)&gt;1,DAY($A4749)&gt;=IFERROR(N(INDEX(Übersicht!$M$15:$M$22,MATCH($B4749,Übersicht!$A$15:$A$22,0))),0)),1,0),1))</f>
        <v/>
      </c>
    </row>
    <row r="4750">
      <c r="A4750" s="92" t="n"/>
      <c r="B4750" s="55" t="n"/>
      <c r="C4750" s="55" t="n"/>
      <c r="D4750" s="55" t="n"/>
      <c r="E4750" s="93" t="n"/>
      <c r="F4750" s="94" t="n"/>
      <c r="G4750" s="94" t="n"/>
      <c r="H4750" s="94" t="n"/>
      <c r="I4750" s="94" t="n"/>
      <c r="J4750" s="55" t="n"/>
      <c r="K4750" s="95" t="n"/>
      <c r="L4750" s="116">
        <f>IF($A4750="","",DATE(YEAR($A4750),MONTH($A4750)+IF(AND(IFERROR(N(INDEX(Übersicht!$M$15:$M$22,MATCH($B4750,Übersicht!$A$15:$A$22,0))),0)&gt;1,DAY($A4750)&gt;=IFERROR(N(INDEX(Übersicht!$M$15:$M$22,MATCH($B4750,Übersicht!$A$15:$A$22,0))),0)),1,0),1))</f>
        <v/>
      </c>
    </row>
    <row r="4751">
      <c r="A4751" s="92" t="n"/>
      <c r="B4751" s="55" t="n"/>
      <c r="C4751" s="55" t="n"/>
      <c r="D4751" s="55" t="n"/>
      <c r="E4751" s="93" t="n"/>
      <c r="F4751" s="94" t="n"/>
      <c r="G4751" s="94" t="n"/>
      <c r="H4751" s="94" t="n"/>
      <c r="I4751" s="94" t="n"/>
      <c r="J4751" s="55" t="n"/>
      <c r="K4751" s="95" t="n"/>
      <c r="L4751" s="116">
        <f>IF($A4751="","",DATE(YEAR($A4751),MONTH($A4751)+IF(AND(IFERROR(N(INDEX(Übersicht!$M$15:$M$22,MATCH($B4751,Übersicht!$A$15:$A$22,0))),0)&gt;1,DAY($A4751)&gt;=IFERROR(N(INDEX(Übersicht!$M$15:$M$22,MATCH($B4751,Übersicht!$A$15:$A$22,0))),0)),1,0),1))</f>
        <v/>
      </c>
    </row>
    <row r="4752">
      <c r="A4752" s="92" t="n"/>
      <c r="B4752" s="55" t="n"/>
      <c r="C4752" s="55" t="n"/>
      <c r="D4752" s="55" t="n"/>
      <c r="E4752" s="93" t="n"/>
      <c r="F4752" s="94" t="n"/>
      <c r="G4752" s="94" t="n"/>
      <c r="H4752" s="94" t="n"/>
      <c r="I4752" s="94" t="n"/>
      <c r="J4752" s="55" t="n"/>
      <c r="K4752" s="95" t="n"/>
      <c r="L4752" s="116">
        <f>IF($A4752="","",DATE(YEAR($A4752),MONTH($A4752)+IF(AND(IFERROR(N(INDEX(Übersicht!$M$15:$M$22,MATCH($B4752,Übersicht!$A$15:$A$22,0))),0)&gt;1,DAY($A4752)&gt;=IFERROR(N(INDEX(Übersicht!$M$15:$M$22,MATCH($B4752,Übersicht!$A$15:$A$22,0))),0)),1,0),1))</f>
        <v/>
      </c>
    </row>
    <row r="4753">
      <c r="A4753" s="92" t="n"/>
      <c r="B4753" s="55" t="n"/>
      <c r="C4753" s="55" t="n"/>
      <c r="D4753" s="55" t="n"/>
      <c r="E4753" s="93" t="n"/>
      <c r="F4753" s="94" t="n"/>
      <c r="G4753" s="94" t="n"/>
      <c r="H4753" s="94" t="n"/>
      <c r="I4753" s="94" t="n"/>
      <c r="J4753" s="55" t="n"/>
      <c r="K4753" s="95" t="n"/>
      <c r="L4753" s="116">
        <f>IF($A4753="","",DATE(YEAR($A4753),MONTH($A4753)+IF(AND(IFERROR(N(INDEX(Übersicht!$M$15:$M$22,MATCH($B4753,Übersicht!$A$15:$A$22,0))),0)&gt;1,DAY($A4753)&gt;=IFERROR(N(INDEX(Übersicht!$M$15:$M$22,MATCH($B4753,Übersicht!$A$15:$A$22,0))),0)),1,0),1))</f>
        <v/>
      </c>
    </row>
    <row r="4754">
      <c r="A4754" s="92" t="n"/>
      <c r="B4754" s="55" t="n"/>
      <c r="C4754" s="55" t="n"/>
      <c r="D4754" s="55" t="n"/>
      <c r="E4754" s="93" t="n"/>
      <c r="F4754" s="94" t="n"/>
      <c r="G4754" s="94" t="n"/>
      <c r="H4754" s="94" t="n"/>
      <c r="I4754" s="94" t="n"/>
      <c r="J4754" s="55" t="n"/>
      <c r="K4754" s="95" t="n"/>
      <c r="L4754" s="116">
        <f>IF($A4754="","",DATE(YEAR($A4754),MONTH($A4754)+IF(AND(IFERROR(N(INDEX(Übersicht!$M$15:$M$22,MATCH($B4754,Übersicht!$A$15:$A$22,0))),0)&gt;1,DAY($A4754)&gt;=IFERROR(N(INDEX(Übersicht!$M$15:$M$22,MATCH($B4754,Übersicht!$A$15:$A$22,0))),0)),1,0),1))</f>
        <v/>
      </c>
    </row>
    <row r="4755">
      <c r="A4755" s="92" t="n"/>
      <c r="B4755" s="55" t="n"/>
      <c r="C4755" s="55" t="n"/>
      <c r="D4755" s="55" t="n"/>
      <c r="E4755" s="93" t="n"/>
      <c r="F4755" s="94" t="n"/>
      <c r="G4755" s="94" t="n"/>
      <c r="H4755" s="94" t="n"/>
      <c r="I4755" s="94" t="n"/>
      <c r="J4755" s="55" t="n"/>
      <c r="K4755" s="95" t="n"/>
      <c r="L4755" s="116">
        <f>IF($A4755="","",DATE(YEAR($A4755),MONTH($A4755)+IF(AND(IFERROR(N(INDEX(Übersicht!$M$15:$M$22,MATCH($B4755,Übersicht!$A$15:$A$22,0))),0)&gt;1,DAY($A4755)&gt;=IFERROR(N(INDEX(Übersicht!$M$15:$M$22,MATCH($B4755,Übersicht!$A$15:$A$22,0))),0)),1,0),1))</f>
        <v/>
      </c>
    </row>
    <row r="4756">
      <c r="A4756" s="92" t="n"/>
      <c r="B4756" s="55" t="n"/>
      <c r="C4756" s="55" t="n"/>
      <c r="D4756" s="55" t="n"/>
      <c r="E4756" s="93" t="n"/>
      <c r="F4756" s="94" t="n"/>
      <c r="G4756" s="94" t="n"/>
      <c r="H4756" s="94" t="n"/>
      <c r="I4756" s="94" t="n"/>
      <c r="J4756" s="55" t="n"/>
      <c r="K4756" s="95" t="n"/>
      <c r="L4756" s="116">
        <f>IF($A4756="","",DATE(YEAR($A4756),MONTH($A4756)+IF(AND(IFERROR(N(INDEX(Übersicht!$M$15:$M$22,MATCH($B4756,Übersicht!$A$15:$A$22,0))),0)&gt;1,DAY($A4756)&gt;=IFERROR(N(INDEX(Übersicht!$M$15:$M$22,MATCH($B4756,Übersicht!$A$15:$A$22,0))),0)),1,0),1))</f>
        <v/>
      </c>
    </row>
    <row r="4757">
      <c r="A4757" s="92" t="n"/>
      <c r="B4757" s="55" t="n"/>
      <c r="C4757" s="55" t="n"/>
      <c r="D4757" s="55" t="n"/>
      <c r="E4757" s="93" t="n"/>
      <c r="F4757" s="94" t="n"/>
      <c r="G4757" s="94" t="n"/>
      <c r="H4757" s="94" t="n"/>
      <c r="I4757" s="94" t="n"/>
      <c r="J4757" s="55" t="n"/>
      <c r="K4757" s="95" t="n"/>
      <c r="L4757" s="116">
        <f>IF($A4757="","",DATE(YEAR($A4757),MONTH($A4757)+IF(AND(IFERROR(N(INDEX(Übersicht!$M$15:$M$22,MATCH($B4757,Übersicht!$A$15:$A$22,0))),0)&gt;1,DAY($A4757)&gt;=IFERROR(N(INDEX(Übersicht!$M$15:$M$22,MATCH($B4757,Übersicht!$A$15:$A$22,0))),0)),1,0),1))</f>
        <v/>
      </c>
    </row>
    <row r="4758">
      <c r="A4758" s="92" t="n"/>
      <c r="B4758" s="55" t="n"/>
      <c r="C4758" s="55" t="n"/>
      <c r="D4758" s="55" t="n"/>
      <c r="E4758" s="93" t="n"/>
      <c r="F4758" s="94" t="n"/>
      <c r="G4758" s="94" t="n"/>
      <c r="H4758" s="94" t="n"/>
      <c r="I4758" s="94" t="n"/>
      <c r="J4758" s="55" t="n"/>
      <c r="K4758" s="95" t="n"/>
      <c r="L4758" s="116">
        <f>IF($A4758="","",DATE(YEAR($A4758),MONTH($A4758)+IF(AND(IFERROR(N(INDEX(Übersicht!$M$15:$M$22,MATCH($B4758,Übersicht!$A$15:$A$22,0))),0)&gt;1,DAY($A4758)&gt;=IFERROR(N(INDEX(Übersicht!$M$15:$M$22,MATCH($B4758,Übersicht!$A$15:$A$22,0))),0)),1,0),1))</f>
        <v/>
      </c>
    </row>
    <row r="4759">
      <c r="A4759" s="92" t="n"/>
      <c r="B4759" s="55" t="n"/>
      <c r="C4759" s="55" t="n"/>
      <c r="D4759" s="55" t="n"/>
      <c r="E4759" s="93" t="n"/>
      <c r="F4759" s="94" t="n"/>
      <c r="G4759" s="94" t="n"/>
      <c r="H4759" s="94" t="n"/>
      <c r="I4759" s="94" t="n"/>
      <c r="J4759" s="55" t="n"/>
      <c r="K4759" s="95" t="n"/>
      <c r="L4759" s="116">
        <f>IF($A4759="","",DATE(YEAR($A4759),MONTH($A4759)+IF(AND(IFERROR(N(INDEX(Übersicht!$M$15:$M$22,MATCH($B4759,Übersicht!$A$15:$A$22,0))),0)&gt;1,DAY($A4759)&gt;=IFERROR(N(INDEX(Übersicht!$M$15:$M$22,MATCH($B4759,Übersicht!$A$15:$A$22,0))),0)),1,0),1))</f>
        <v/>
      </c>
    </row>
    <row r="4760">
      <c r="A4760" s="92" t="n"/>
      <c r="B4760" s="55" t="n"/>
      <c r="C4760" s="55" t="n"/>
      <c r="D4760" s="55" t="n"/>
      <c r="E4760" s="93" t="n"/>
      <c r="F4760" s="94" t="n"/>
      <c r="G4760" s="94" t="n"/>
      <c r="H4760" s="94" t="n"/>
      <c r="I4760" s="94" t="n"/>
      <c r="J4760" s="55" t="n"/>
      <c r="K4760" s="95" t="n"/>
      <c r="L4760" s="116">
        <f>IF($A4760="","",DATE(YEAR($A4760),MONTH($A4760)+IF(AND(IFERROR(N(INDEX(Übersicht!$M$15:$M$22,MATCH($B4760,Übersicht!$A$15:$A$22,0))),0)&gt;1,DAY($A4760)&gt;=IFERROR(N(INDEX(Übersicht!$M$15:$M$22,MATCH($B4760,Übersicht!$A$15:$A$22,0))),0)),1,0),1))</f>
        <v/>
      </c>
    </row>
    <row r="4761">
      <c r="A4761" s="92" t="n"/>
      <c r="B4761" s="55" t="n"/>
      <c r="C4761" s="55" t="n"/>
      <c r="D4761" s="55" t="n"/>
      <c r="E4761" s="93" t="n"/>
      <c r="F4761" s="94" t="n"/>
      <c r="G4761" s="94" t="n"/>
      <c r="H4761" s="94" t="n"/>
      <c r="I4761" s="94" t="n"/>
      <c r="J4761" s="55" t="n"/>
      <c r="K4761" s="95" t="n"/>
      <c r="L4761" s="116">
        <f>IF($A4761="","",DATE(YEAR($A4761),MONTH($A4761)+IF(AND(IFERROR(N(INDEX(Übersicht!$M$15:$M$22,MATCH($B4761,Übersicht!$A$15:$A$22,0))),0)&gt;1,DAY($A4761)&gt;=IFERROR(N(INDEX(Übersicht!$M$15:$M$22,MATCH($B4761,Übersicht!$A$15:$A$22,0))),0)),1,0),1))</f>
        <v/>
      </c>
    </row>
    <row r="4762">
      <c r="A4762" s="92" t="n"/>
      <c r="B4762" s="55" t="n"/>
      <c r="C4762" s="55" t="n"/>
      <c r="D4762" s="55" t="n"/>
      <c r="E4762" s="93" t="n"/>
      <c r="F4762" s="94" t="n"/>
      <c r="G4762" s="94" t="n"/>
      <c r="H4762" s="94" t="n"/>
      <c r="I4762" s="94" t="n"/>
      <c r="J4762" s="55" t="n"/>
      <c r="K4762" s="95" t="n"/>
      <c r="L4762" s="116">
        <f>IF($A4762="","",DATE(YEAR($A4762),MONTH($A4762)+IF(AND(IFERROR(N(INDEX(Übersicht!$M$15:$M$22,MATCH($B4762,Übersicht!$A$15:$A$22,0))),0)&gt;1,DAY($A4762)&gt;=IFERROR(N(INDEX(Übersicht!$M$15:$M$22,MATCH($B4762,Übersicht!$A$15:$A$22,0))),0)),1,0),1))</f>
        <v/>
      </c>
    </row>
    <row r="4763">
      <c r="A4763" s="92" t="n"/>
      <c r="B4763" s="55" t="n"/>
      <c r="C4763" s="55" t="n"/>
      <c r="D4763" s="55" t="n"/>
      <c r="E4763" s="93" t="n"/>
      <c r="F4763" s="94" t="n"/>
      <c r="G4763" s="94" t="n"/>
      <c r="H4763" s="94" t="n"/>
      <c r="I4763" s="94" t="n"/>
      <c r="J4763" s="55" t="n"/>
      <c r="K4763" s="95" t="n"/>
      <c r="L4763" s="116">
        <f>IF($A4763="","",DATE(YEAR($A4763),MONTH($A4763)+IF(AND(IFERROR(N(INDEX(Übersicht!$M$15:$M$22,MATCH($B4763,Übersicht!$A$15:$A$22,0))),0)&gt;1,DAY($A4763)&gt;=IFERROR(N(INDEX(Übersicht!$M$15:$M$22,MATCH($B4763,Übersicht!$A$15:$A$22,0))),0)),1,0),1))</f>
        <v/>
      </c>
    </row>
    <row r="4764">
      <c r="A4764" s="92" t="n"/>
      <c r="B4764" s="55" t="n"/>
      <c r="C4764" s="55" t="n"/>
      <c r="D4764" s="55" t="n"/>
      <c r="E4764" s="93" t="n"/>
      <c r="F4764" s="94" t="n"/>
      <c r="G4764" s="94" t="n"/>
      <c r="H4764" s="94" t="n"/>
      <c r="I4764" s="94" t="n"/>
      <c r="J4764" s="55" t="n"/>
      <c r="K4764" s="95" t="n"/>
      <c r="L4764" s="116">
        <f>IF($A4764="","",DATE(YEAR($A4764),MONTH($A4764)+IF(AND(IFERROR(N(INDEX(Übersicht!$M$15:$M$22,MATCH($B4764,Übersicht!$A$15:$A$22,0))),0)&gt;1,DAY($A4764)&gt;=IFERROR(N(INDEX(Übersicht!$M$15:$M$22,MATCH($B4764,Übersicht!$A$15:$A$22,0))),0)),1,0),1))</f>
        <v/>
      </c>
    </row>
    <row r="4765">
      <c r="A4765" s="92" t="n"/>
      <c r="B4765" s="55" t="n"/>
      <c r="C4765" s="55" t="n"/>
      <c r="D4765" s="55" t="n"/>
      <c r="E4765" s="93" t="n"/>
      <c r="F4765" s="94" t="n"/>
      <c r="G4765" s="94" t="n"/>
      <c r="H4765" s="94" t="n"/>
      <c r="I4765" s="94" t="n"/>
      <c r="J4765" s="55" t="n"/>
      <c r="K4765" s="95" t="n"/>
      <c r="L4765" s="116">
        <f>IF($A4765="","",DATE(YEAR($A4765),MONTH($A4765)+IF(AND(IFERROR(N(INDEX(Übersicht!$M$15:$M$22,MATCH($B4765,Übersicht!$A$15:$A$22,0))),0)&gt;1,DAY($A4765)&gt;=IFERROR(N(INDEX(Übersicht!$M$15:$M$22,MATCH($B4765,Übersicht!$A$15:$A$22,0))),0)),1,0),1))</f>
        <v/>
      </c>
    </row>
    <row r="4766">
      <c r="A4766" s="92" t="n"/>
      <c r="B4766" s="55" t="n"/>
      <c r="C4766" s="55" t="n"/>
      <c r="D4766" s="55" t="n"/>
      <c r="E4766" s="93" t="n"/>
      <c r="F4766" s="94" t="n"/>
      <c r="G4766" s="94" t="n"/>
      <c r="H4766" s="94" t="n"/>
      <c r="I4766" s="94" t="n"/>
      <c r="J4766" s="55" t="n"/>
      <c r="K4766" s="95" t="n"/>
      <c r="L4766" s="116">
        <f>IF($A4766="","",DATE(YEAR($A4766),MONTH($A4766)+IF(AND(IFERROR(N(INDEX(Übersicht!$M$15:$M$22,MATCH($B4766,Übersicht!$A$15:$A$22,0))),0)&gt;1,DAY($A4766)&gt;=IFERROR(N(INDEX(Übersicht!$M$15:$M$22,MATCH($B4766,Übersicht!$A$15:$A$22,0))),0)),1,0),1))</f>
        <v/>
      </c>
    </row>
    <row r="4767">
      <c r="A4767" s="92" t="n"/>
      <c r="B4767" s="55" t="n"/>
      <c r="C4767" s="55" t="n"/>
      <c r="D4767" s="55" t="n"/>
      <c r="E4767" s="93" t="n"/>
      <c r="F4767" s="94" t="n"/>
      <c r="G4767" s="94" t="n"/>
      <c r="H4767" s="94" t="n"/>
      <c r="I4767" s="94" t="n"/>
      <c r="J4767" s="55" t="n"/>
      <c r="K4767" s="95" t="n"/>
      <c r="L4767" s="116">
        <f>IF($A4767="","",DATE(YEAR($A4767),MONTH($A4767)+IF(AND(IFERROR(N(INDEX(Übersicht!$M$15:$M$22,MATCH($B4767,Übersicht!$A$15:$A$22,0))),0)&gt;1,DAY($A4767)&gt;=IFERROR(N(INDEX(Übersicht!$M$15:$M$22,MATCH($B4767,Übersicht!$A$15:$A$22,0))),0)),1,0),1))</f>
        <v/>
      </c>
    </row>
    <row r="4768">
      <c r="A4768" s="92" t="n"/>
      <c r="B4768" s="55" t="n"/>
      <c r="C4768" s="55" t="n"/>
      <c r="D4768" s="55" t="n"/>
      <c r="E4768" s="93" t="n"/>
      <c r="F4768" s="94" t="n"/>
      <c r="G4768" s="94" t="n"/>
      <c r="H4768" s="94" t="n"/>
      <c r="I4768" s="94" t="n"/>
      <c r="J4768" s="55" t="n"/>
      <c r="K4768" s="95" t="n"/>
      <c r="L4768" s="116">
        <f>IF($A4768="","",DATE(YEAR($A4768),MONTH($A4768)+IF(AND(IFERROR(N(INDEX(Übersicht!$M$15:$M$22,MATCH($B4768,Übersicht!$A$15:$A$22,0))),0)&gt;1,DAY($A4768)&gt;=IFERROR(N(INDEX(Übersicht!$M$15:$M$22,MATCH($B4768,Übersicht!$A$15:$A$22,0))),0)),1,0),1))</f>
        <v/>
      </c>
    </row>
    <row r="4769">
      <c r="A4769" s="92" t="n"/>
      <c r="B4769" s="55" t="n"/>
      <c r="C4769" s="55" t="n"/>
      <c r="D4769" s="55" t="n"/>
      <c r="E4769" s="93" t="n"/>
      <c r="F4769" s="94" t="n"/>
      <c r="G4769" s="94" t="n"/>
      <c r="H4769" s="94" t="n"/>
      <c r="I4769" s="94" t="n"/>
      <c r="J4769" s="55" t="n"/>
      <c r="K4769" s="95" t="n"/>
      <c r="L4769" s="116">
        <f>IF($A4769="","",DATE(YEAR($A4769),MONTH($A4769)+IF(AND(IFERROR(N(INDEX(Übersicht!$M$15:$M$22,MATCH($B4769,Übersicht!$A$15:$A$22,0))),0)&gt;1,DAY($A4769)&gt;=IFERROR(N(INDEX(Übersicht!$M$15:$M$22,MATCH($B4769,Übersicht!$A$15:$A$22,0))),0)),1,0),1))</f>
        <v/>
      </c>
    </row>
    <row r="4770">
      <c r="A4770" s="92" t="n"/>
      <c r="B4770" s="55" t="n"/>
      <c r="C4770" s="55" t="n"/>
      <c r="D4770" s="55" t="n"/>
      <c r="E4770" s="93" t="n"/>
      <c r="F4770" s="94" t="n"/>
      <c r="G4770" s="94" t="n"/>
      <c r="H4770" s="94" t="n"/>
      <c r="I4770" s="94" t="n"/>
      <c r="J4770" s="55" t="n"/>
      <c r="K4770" s="95" t="n"/>
      <c r="L4770" s="116">
        <f>IF($A4770="","",DATE(YEAR($A4770),MONTH($A4770)+IF(AND(IFERROR(N(INDEX(Übersicht!$M$15:$M$22,MATCH($B4770,Übersicht!$A$15:$A$22,0))),0)&gt;1,DAY($A4770)&gt;=IFERROR(N(INDEX(Übersicht!$M$15:$M$22,MATCH($B4770,Übersicht!$A$15:$A$22,0))),0)),1,0),1))</f>
        <v/>
      </c>
    </row>
    <row r="4771">
      <c r="A4771" s="92" t="n"/>
      <c r="B4771" s="55" t="n"/>
      <c r="C4771" s="55" t="n"/>
      <c r="D4771" s="55" t="n"/>
      <c r="E4771" s="93" t="n"/>
      <c r="F4771" s="94" t="n"/>
      <c r="G4771" s="94" t="n"/>
      <c r="H4771" s="94" t="n"/>
      <c r="I4771" s="94" t="n"/>
      <c r="J4771" s="55" t="n"/>
      <c r="K4771" s="95" t="n"/>
      <c r="L4771" s="116">
        <f>IF($A4771="","",DATE(YEAR($A4771),MONTH($A4771)+IF(AND(IFERROR(N(INDEX(Übersicht!$M$15:$M$22,MATCH($B4771,Übersicht!$A$15:$A$22,0))),0)&gt;1,DAY($A4771)&gt;=IFERROR(N(INDEX(Übersicht!$M$15:$M$22,MATCH($B4771,Übersicht!$A$15:$A$22,0))),0)),1,0),1))</f>
        <v/>
      </c>
    </row>
    <row r="4772">
      <c r="A4772" s="92" t="n"/>
      <c r="B4772" s="55" t="n"/>
      <c r="C4772" s="55" t="n"/>
      <c r="D4772" s="55" t="n"/>
      <c r="E4772" s="93" t="n"/>
      <c r="F4772" s="94" t="n"/>
      <c r="G4772" s="94" t="n"/>
      <c r="H4772" s="94" t="n"/>
      <c r="I4772" s="94" t="n"/>
      <c r="J4772" s="55" t="n"/>
      <c r="K4772" s="95" t="n"/>
      <c r="L4772" s="116">
        <f>IF($A4772="","",DATE(YEAR($A4772),MONTH($A4772)+IF(AND(IFERROR(N(INDEX(Übersicht!$M$15:$M$22,MATCH($B4772,Übersicht!$A$15:$A$22,0))),0)&gt;1,DAY($A4772)&gt;=IFERROR(N(INDEX(Übersicht!$M$15:$M$22,MATCH($B4772,Übersicht!$A$15:$A$22,0))),0)),1,0),1))</f>
        <v/>
      </c>
    </row>
    <row r="4773">
      <c r="A4773" s="92" t="n"/>
      <c r="B4773" s="55" t="n"/>
      <c r="C4773" s="55" t="n"/>
      <c r="D4773" s="55" t="n"/>
      <c r="E4773" s="93" t="n"/>
      <c r="F4773" s="94" t="n"/>
      <c r="G4773" s="94" t="n"/>
      <c r="H4773" s="94" t="n"/>
      <c r="I4773" s="94" t="n"/>
      <c r="J4773" s="55" t="n"/>
      <c r="K4773" s="95" t="n"/>
      <c r="L4773" s="116">
        <f>IF($A4773="","",DATE(YEAR($A4773),MONTH($A4773)+IF(AND(IFERROR(N(INDEX(Übersicht!$M$15:$M$22,MATCH($B4773,Übersicht!$A$15:$A$22,0))),0)&gt;1,DAY($A4773)&gt;=IFERROR(N(INDEX(Übersicht!$M$15:$M$22,MATCH($B4773,Übersicht!$A$15:$A$22,0))),0)),1,0),1))</f>
        <v/>
      </c>
    </row>
    <row r="4774">
      <c r="A4774" s="92" t="n"/>
      <c r="B4774" s="55" t="n"/>
      <c r="C4774" s="55" t="n"/>
      <c r="D4774" s="55" t="n"/>
      <c r="E4774" s="93" t="n"/>
      <c r="F4774" s="94" t="n"/>
      <c r="G4774" s="94" t="n"/>
      <c r="H4774" s="94" t="n"/>
      <c r="I4774" s="94" t="n"/>
      <c r="J4774" s="55" t="n"/>
      <c r="K4774" s="95" t="n"/>
      <c r="L4774" s="116">
        <f>IF($A4774="","",DATE(YEAR($A4774),MONTH($A4774)+IF(AND(IFERROR(N(INDEX(Übersicht!$M$15:$M$22,MATCH($B4774,Übersicht!$A$15:$A$22,0))),0)&gt;1,DAY($A4774)&gt;=IFERROR(N(INDEX(Übersicht!$M$15:$M$22,MATCH($B4774,Übersicht!$A$15:$A$22,0))),0)),1,0),1))</f>
        <v/>
      </c>
    </row>
    <row r="4775">
      <c r="A4775" s="92" t="n"/>
      <c r="B4775" s="55" t="n"/>
      <c r="C4775" s="55" t="n"/>
      <c r="D4775" s="55" t="n"/>
      <c r="E4775" s="93" t="n"/>
      <c r="F4775" s="94" t="n"/>
      <c r="G4775" s="94" t="n"/>
      <c r="H4775" s="94" t="n"/>
      <c r="I4775" s="94" t="n"/>
      <c r="J4775" s="55" t="n"/>
      <c r="K4775" s="95" t="n"/>
      <c r="L4775" s="116">
        <f>IF($A4775="","",DATE(YEAR($A4775),MONTH($A4775)+IF(AND(IFERROR(N(INDEX(Übersicht!$M$15:$M$22,MATCH($B4775,Übersicht!$A$15:$A$22,0))),0)&gt;1,DAY($A4775)&gt;=IFERROR(N(INDEX(Übersicht!$M$15:$M$22,MATCH($B4775,Übersicht!$A$15:$A$22,0))),0)),1,0),1))</f>
        <v/>
      </c>
    </row>
    <row r="4776">
      <c r="A4776" s="92" t="n"/>
      <c r="B4776" s="55" t="n"/>
      <c r="C4776" s="55" t="n"/>
      <c r="D4776" s="55" t="n"/>
      <c r="E4776" s="93" t="n"/>
      <c r="F4776" s="94" t="n"/>
      <c r="G4776" s="94" t="n"/>
      <c r="H4776" s="94" t="n"/>
      <c r="I4776" s="94" t="n"/>
      <c r="J4776" s="55" t="n"/>
      <c r="K4776" s="95" t="n"/>
      <c r="L4776" s="116">
        <f>IF($A4776="","",DATE(YEAR($A4776),MONTH($A4776)+IF(AND(IFERROR(N(INDEX(Übersicht!$M$15:$M$22,MATCH($B4776,Übersicht!$A$15:$A$22,0))),0)&gt;1,DAY($A4776)&gt;=IFERROR(N(INDEX(Übersicht!$M$15:$M$22,MATCH($B4776,Übersicht!$A$15:$A$22,0))),0)),1,0),1))</f>
        <v/>
      </c>
    </row>
    <row r="4777">
      <c r="A4777" s="92" t="n"/>
      <c r="B4777" s="55" t="n"/>
      <c r="C4777" s="55" t="n"/>
      <c r="D4777" s="55" t="n"/>
      <c r="E4777" s="93" t="n"/>
      <c r="F4777" s="94" t="n"/>
      <c r="G4777" s="94" t="n"/>
      <c r="H4777" s="94" t="n"/>
      <c r="I4777" s="94" t="n"/>
      <c r="J4777" s="55" t="n"/>
      <c r="K4777" s="95" t="n"/>
      <c r="L4777" s="116">
        <f>IF($A4777="","",DATE(YEAR($A4777),MONTH($A4777)+IF(AND(IFERROR(N(INDEX(Übersicht!$M$15:$M$22,MATCH($B4777,Übersicht!$A$15:$A$22,0))),0)&gt;1,DAY($A4777)&gt;=IFERROR(N(INDEX(Übersicht!$M$15:$M$22,MATCH($B4777,Übersicht!$A$15:$A$22,0))),0)),1,0),1))</f>
        <v/>
      </c>
    </row>
    <row r="4778">
      <c r="A4778" s="92" t="n"/>
      <c r="B4778" s="55" t="n"/>
      <c r="C4778" s="55" t="n"/>
      <c r="D4778" s="55" t="n"/>
      <c r="E4778" s="93" t="n"/>
      <c r="F4778" s="94" t="n"/>
      <c r="G4778" s="94" t="n"/>
      <c r="H4778" s="94" t="n"/>
      <c r="I4778" s="94" t="n"/>
      <c r="J4778" s="55" t="n"/>
      <c r="K4778" s="95" t="n"/>
      <c r="L4778" s="116">
        <f>IF($A4778="","",DATE(YEAR($A4778),MONTH($A4778)+IF(AND(IFERROR(N(INDEX(Übersicht!$M$15:$M$22,MATCH($B4778,Übersicht!$A$15:$A$22,0))),0)&gt;1,DAY($A4778)&gt;=IFERROR(N(INDEX(Übersicht!$M$15:$M$22,MATCH($B4778,Übersicht!$A$15:$A$22,0))),0)),1,0),1))</f>
        <v/>
      </c>
    </row>
    <row r="4779">
      <c r="A4779" s="92" t="n"/>
      <c r="B4779" s="55" t="n"/>
      <c r="C4779" s="55" t="n"/>
      <c r="D4779" s="55" t="n"/>
      <c r="E4779" s="93" t="n"/>
      <c r="F4779" s="94" t="n"/>
      <c r="G4779" s="94" t="n"/>
      <c r="H4779" s="94" t="n"/>
      <c r="I4779" s="94" t="n"/>
      <c r="J4779" s="55" t="n"/>
      <c r="K4779" s="95" t="n"/>
      <c r="L4779" s="116">
        <f>IF($A4779="","",DATE(YEAR($A4779),MONTH($A4779)+IF(AND(IFERROR(N(INDEX(Übersicht!$M$15:$M$22,MATCH($B4779,Übersicht!$A$15:$A$22,0))),0)&gt;1,DAY($A4779)&gt;=IFERROR(N(INDEX(Übersicht!$M$15:$M$22,MATCH($B4779,Übersicht!$A$15:$A$22,0))),0)),1,0),1))</f>
        <v/>
      </c>
    </row>
    <row r="4780">
      <c r="A4780" s="92" t="n"/>
      <c r="B4780" s="55" t="n"/>
      <c r="C4780" s="55" t="n"/>
      <c r="D4780" s="55" t="n"/>
      <c r="E4780" s="93" t="n"/>
      <c r="F4780" s="94" t="n"/>
      <c r="G4780" s="94" t="n"/>
      <c r="H4780" s="94" t="n"/>
      <c r="I4780" s="94" t="n"/>
      <c r="J4780" s="55" t="n"/>
      <c r="K4780" s="95" t="n"/>
      <c r="L4780" s="116">
        <f>IF($A4780="","",DATE(YEAR($A4780),MONTH($A4780)+IF(AND(IFERROR(N(INDEX(Übersicht!$M$15:$M$22,MATCH($B4780,Übersicht!$A$15:$A$22,0))),0)&gt;1,DAY($A4780)&gt;=IFERROR(N(INDEX(Übersicht!$M$15:$M$22,MATCH($B4780,Übersicht!$A$15:$A$22,0))),0)),1,0),1))</f>
        <v/>
      </c>
    </row>
    <row r="4781">
      <c r="A4781" s="92" t="n"/>
      <c r="B4781" s="55" t="n"/>
      <c r="C4781" s="55" t="n"/>
      <c r="D4781" s="55" t="n"/>
      <c r="E4781" s="93" t="n"/>
      <c r="F4781" s="94" t="n"/>
      <c r="G4781" s="94" t="n"/>
      <c r="H4781" s="94" t="n"/>
      <c r="I4781" s="94" t="n"/>
      <c r="J4781" s="55" t="n"/>
      <c r="K4781" s="95" t="n"/>
      <c r="L4781" s="116">
        <f>IF($A4781="","",DATE(YEAR($A4781),MONTH($A4781)+IF(AND(IFERROR(N(INDEX(Übersicht!$M$15:$M$22,MATCH($B4781,Übersicht!$A$15:$A$22,0))),0)&gt;1,DAY($A4781)&gt;=IFERROR(N(INDEX(Übersicht!$M$15:$M$22,MATCH($B4781,Übersicht!$A$15:$A$22,0))),0)),1,0),1))</f>
        <v/>
      </c>
    </row>
    <row r="4782">
      <c r="A4782" s="92" t="n"/>
      <c r="B4782" s="55" t="n"/>
      <c r="C4782" s="55" t="n"/>
      <c r="D4782" s="55" t="n"/>
      <c r="E4782" s="93" t="n"/>
      <c r="F4782" s="94" t="n"/>
      <c r="G4782" s="94" t="n"/>
      <c r="H4782" s="94" t="n"/>
      <c r="I4782" s="94" t="n"/>
      <c r="J4782" s="55" t="n"/>
      <c r="K4782" s="95" t="n"/>
      <c r="L4782" s="116">
        <f>IF($A4782="","",DATE(YEAR($A4782),MONTH($A4782)+IF(AND(IFERROR(N(INDEX(Übersicht!$M$15:$M$22,MATCH($B4782,Übersicht!$A$15:$A$22,0))),0)&gt;1,DAY($A4782)&gt;=IFERROR(N(INDEX(Übersicht!$M$15:$M$22,MATCH($B4782,Übersicht!$A$15:$A$22,0))),0)),1,0),1))</f>
        <v/>
      </c>
    </row>
    <row r="4783">
      <c r="A4783" s="92" t="n"/>
      <c r="B4783" s="55" t="n"/>
      <c r="C4783" s="55" t="n"/>
      <c r="D4783" s="55" t="n"/>
      <c r="E4783" s="93" t="n"/>
      <c r="F4783" s="94" t="n"/>
      <c r="G4783" s="94" t="n"/>
      <c r="H4783" s="94" t="n"/>
      <c r="I4783" s="94" t="n"/>
      <c r="J4783" s="55" t="n"/>
      <c r="K4783" s="95" t="n"/>
      <c r="L4783" s="116">
        <f>IF($A4783="","",DATE(YEAR($A4783),MONTH($A4783)+IF(AND(IFERROR(N(INDEX(Übersicht!$M$15:$M$22,MATCH($B4783,Übersicht!$A$15:$A$22,0))),0)&gt;1,DAY($A4783)&gt;=IFERROR(N(INDEX(Übersicht!$M$15:$M$22,MATCH($B4783,Übersicht!$A$15:$A$22,0))),0)),1,0),1))</f>
        <v/>
      </c>
    </row>
    <row r="4784">
      <c r="A4784" s="92" t="n"/>
      <c r="B4784" s="55" t="n"/>
      <c r="C4784" s="55" t="n"/>
      <c r="D4784" s="55" t="n"/>
      <c r="E4784" s="93" t="n"/>
      <c r="F4784" s="94" t="n"/>
      <c r="G4784" s="94" t="n"/>
      <c r="H4784" s="94" t="n"/>
      <c r="I4784" s="94" t="n"/>
      <c r="J4784" s="55" t="n"/>
      <c r="K4784" s="95" t="n"/>
      <c r="L4784" s="116">
        <f>IF($A4784="","",DATE(YEAR($A4784),MONTH($A4784)+IF(AND(IFERROR(N(INDEX(Übersicht!$M$15:$M$22,MATCH($B4784,Übersicht!$A$15:$A$22,0))),0)&gt;1,DAY($A4784)&gt;=IFERROR(N(INDEX(Übersicht!$M$15:$M$22,MATCH($B4784,Übersicht!$A$15:$A$22,0))),0)),1,0),1))</f>
        <v/>
      </c>
    </row>
    <row r="4785">
      <c r="A4785" s="92" t="n"/>
      <c r="B4785" s="55" t="n"/>
      <c r="C4785" s="55" t="n"/>
      <c r="D4785" s="55" t="n"/>
      <c r="E4785" s="93" t="n"/>
      <c r="F4785" s="94" t="n"/>
      <c r="G4785" s="94" t="n"/>
      <c r="H4785" s="94" t="n"/>
      <c r="I4785" s="94" t="n"/>
      <c r="J4785" s="55" t="n"/>
      <c r="K4785" s="95" t="n"/>
      <c r="L4785" s="116">
        <f>IF($A4785="","",DATE(YEAR($A4785),MONTH($A4785)+IF(AND(IFERROR(N(INDEX(Übersicht!$M$15:$M$22,MATCH($B4785,Übersicht!$A$15:$A$22,0))),0)&gt;1,DAY($A4785)&gt;=IFERROR(N(INDEX(Übersicht!$M$15:$M$22,MATCH($B4785,Übersicht!$A$15:$A$22,0))),0)),1,0),1))</f>
        <v/>
      </c>
    </row>
    <row r="4786">
      <c r="A4786" s="92" t="n"/>
      <c r="B4786" s="55" t="n"/>
      <c r="C4786" s="55" t="n"/>
      <c r="D4786" s="55" t="n"/>
      <c r="E4786" s="93" t="n"/>
      <c r="F4786" s="94" t="n"/>
      <c r="G4786" s="94" t="n"/>
      <c r="H4786" s="94" t="n"/>
      <c r="I4786" s="94" t="n"/>
      <c r="J4786" s="55" t="n"/>
      <c r="K4786" s="95" t="n"/>
      <c r="L4786" s="116">
        <f>IF($A4786="","",DATE(YEAR($A4786),MONTH($A4786)+IF(AND(IFERROR(N(INDEX(Übersicht!$M$15:$M$22,MATCH($B4786,Übersicht!$A$15:$A$22,0))),0)&gt;1,DAY($A4786)&gt;=IFERROR(N(INDEX(Übersicht!$M$15:$M$22,MATCH($B4786,Übersicht!$A$15:$A$22,0))),0)),1,0),1))</f>
        <v/>
      </c>
    </row>
    <row r="4787">
      <c r="A4787" s="92" t="n"/>
      <c r="B4787" s="55" t="n"/>
      <c r="C4787" s="55" t="n"/>
      <c r="D4787" s="55" t="n"/>
      <c r="E4787" s="93" t="n"/>
      <c r="F4787" s="94" t="n"/>
      <c r="G4787" s="94" t="n"/>
      <c r="H4787" s="94" t="n"/>
      <c r="I4787" s="94" t="n"/>
      <c r="J4787" s="55" t="n"/>
      <c r="K4787" s="95" t="n"/>
      <c r="L4787" s="116">
        <f>IF($A4787="","",DATE(YEAR($A4787),MONTH($A4787)+IF(AND(IFERROR(N(INDEX(Übersicht!$M$15:$M$22,MATCH($B4787,Übersicht!$A$15:$A$22,0))),0)&gt;1,DAY($A4787)&gt;=IFERROR(N(INDEX(Übersicht!$M$15:$M$22,MATCH($B4787,Übersicht!$A$15:$A$22,0))),0)),1,0),1))</f>
        <v/>
      </c>
    </row>
    <row r="4788">
      <c r="A4788" s="92" t="n"/>
      <c r="B4788" s="55" t="n"/>
      <c r="C4788" s="55" t="n"/>
      <c r="D4788" s="55" t="n"/>
      <c r="E4788" s="93" t="n"/>
      <c r="F4788" s="94" t="n"/>
      <c r="G4788" s="94" t="n"/>
      <c r="H4788" s="94" t="n"/>
      <c r="I4788" s="94" t="n"/>
      <c r="J4788" s="55" t="n"/>
      <c r="K4788" s="95" t="n"/>
      <c r="L4788" s="116">
        <f>IF($A4788="","",DATE(YEAR($A4788),MONTH($A4788)+IF(AND(IFERROR(N(INDEX(Übersicht!$M$15:$M$22,MATCH($B4788,Übersicht!$A$15:$A$22,0))),0)&gt;1,DAY($A4788)&gt;=IFERROR(N(INDEX(Übersicht!$M$15:$M$22,MATCH($B4788,Übersicht!$A$15:$A$22,0))),0)),1,0),1))</f>
        <v/>
      </c>
    </row>
    <row r="4789">
      <c r="A4789" s="92" t="n"/>
      <c r="B4789" s="55" t="n"/>
      <c r="C4789" s="55" t="n"/>
      <c r="D4789" s="55" t="n"/>
      <c r="E4789" s="93" t="n"/>
      <c r="F4789" s="94" t="n"/>
      <c r="G4789" s="94" t="n"/>
      <c r="H4789" s="94" t="n"/>
      <c r="I4789" s="94" t="n"/>
      <c r="J4789" s="55" t="n"/>
      <c r="K4789" s="95" t="n"/>
      <c r="L4789" s="116">
        <f>IF($A4789="","",DATE(YEAR($A4789),MONTH($A4789)+IF(AND(IFERROR(N(INDEX(Übersicht!$M$15:$M$22,MATCH($B4789,Übersicht!$A$15:$A$22,0))),0)&gt;1,DAY($A4789)&gt;=IFERROR(N(INDEX(Übersicht!$M$15:$M$22,MATCH($B4789,Übersicht!$A$15:$A$22,0))),0)),1,0),1))</f>
        <v/>
      </c>
    </row>
    <row r="4790">
      <c r="A4790" s="92" t="n"/>
      <c r="B4790" s="55" t="n"/>
      <c r="C4790" s="55" t="n"/>
      <c r="D4790" s="55" t="n"/>
      <c r="E4790" s="93" t="n"/>
      <c r="F4790" s="94" t="n"/>
      <c r="G4790" s="94" t="n"/>
      <c r="H4790" s="94" t="n"/>
      <c r="I4790" s="94" t="n"/>
      <c r="J4790" s="55" t="n"/>
      <c r="K4790" s="95" t="n"/>
      <c r="L4790" s="116">
        <f>IF($A4790="","",DATE(YEAR($A4790),MONTH($A4790)+IF(AND(IFERROR(N(INDEX(Übersicht!$M$15:$M$22,MATCH($B4790,Übersicht!$A$15:$A$22,0))),0)&gt;1,DAY($A4790)&gt;=IFERROR(N(INDEX(Übersicht!$M$15:$M$22,MATCH($B4790,Übersicht!$A$15:$A$22,0))),0)),1,0),1))</f>
        <v/>
      </c>
    </row>
    <row r="4791">
      <c r="A4791" s="92" t="n"/>
      <c r="B4791" s="55" t="n"/>
      <c r="C4791" s="55" t="n"/>
      <c r="D4791" s="55" t="n"/>
      <c r="E4791" s="93" t="n"/>
      <c r="F4791" s="94" t="n"/>
      <c r="G4791" s="94" t="n"/>
      <c r="H4791" s="94" t="n"/>
      <c r="I4791" s="94" t="n"/>
      <c r="J4791" s="55" t="n"/>
      <c r="K4791" s="95" t="n"/>
      <c r="L4791" s="116">
        <f>IF($A4791="","",DATE(YEAR($A4791),MONTH($A4791)+IF(AND(IFERROR(N(INDEX(Übersicht!$M$15:$M$22,MATCH($B4791,Übersicht!$A$15:$A$22,0))),0)&gt;1,DAY($A4791)&gt;=IFERROR(N(INDEX(Übersicht!$M$15:$M$22,MATCH($B4791,Übersicht!$A$15:$A$22,0))),0)),1,0),1))</f>
        <v/>
      </c>
    </row>
    <row r="4792">
      <c r="A4792" s="92" t="n"/>
      <c r="B4792" s="55" t="n"/>
      <c r="C4792" s="55" t="n"/>
      <c r="D4792" s="55" t="n"/>
      <c r="E4792" s="93" t="n"/>
      <c r="F4792" s="94" t="n"/>
      <c r="G4792" s="94" t="n"/>
      <c r="H4792" s="94" t="n"/>
      <c r="I4792" s="94" t="n"/>
      <c r="J4792" s="55" t="n"/>
      <c r="K4792" s="95" t="n"/>
      <c r="L4792" s="116">
        <f>IF($A4792="","",DATE(YEAR($A4792),MONTH($A4792)+IF(AND(IFERROR(N(INDEX(Übersicht!$M$15:$M$22,MATCH($B4792,Übersicht!$A$15:$A$22,0))),0)&gt;1,DAY($A4792)&gt;=IFERROR(N(INDEX(Übersicht!$M$15:$M$22,MATCH($B4792,Übersicht!$A$15:$A$22,0))),0)),1,0),1))</f>
        <v/>
      </c>
    </row>
    <row r="4793">
      <c r="A4793" s="92" t="n"/>
      <c r="B4793" s="55" t="n"/>
      <c r="C4793" s="55" t="n"/>
      <c r="D4793" s="55" t="n"/>
      <c r="E4793" s="93" t="n"/>
      <c r="F4793" s="94" t="n"/>
      <c r="G4793" s="94" t="n"/>
      <c r="H4793" s="94" t="n"/>
      <c r="I4793" s="94" t="n"/>
      <c r="J4793" s="55" t="n"/>
      <c r="K4793" s="95" t="n"/>
      <c r="L4793" s="116">
        <f>IF($A4793="","",DATE(YEAR($A4793),MONTH($A4793)+IF(AND(IFERROR(N(INDEX(Übersicht!$M$15:$M$22,MATCH($B4793,Übersicht!$A$15:$A$22,0))),0)&gt;1,DAY($A4793)&gt;=IFERROR(N(INDEX(Übersicht!$M$15:$M$22,MATCH($B4793,Übersicht!$A$15:$A$22,0))),0)),1,0),1))</f>
        <v/>
      </c>
    </row>
    <row r="4794">
      <c r="A4794" s="92" t="n"/>
      <c r="B4794" s="55" t="n"/>
      <c r="C4794" s="55" t="n"/>
      <c r="D4794" s="55" t="n"/>
      <c r="E4794" s="93" t="n"/>
      <c r="F4794" s="94" t="n"/>
      <c r="G4794" s="94" t="n"/>
      <c r="H4794" s="94" t="n"/>
      <c r="I4794" s="94" t="n"/>
      <c r="J4794" s="55" t="n"/>
      <c r="K4794" s="95" t="n"/>
      <c r="L4794" s="116">
        <f>IF($A4794="","",DATE(YEAR($A4794),MONTH($A4794)+IF(AND(IFERROR(N(INDEX(Übersicht!$M$15:$M$22,MATCH($B4794,Übersicht!$A$15:$A$22,0))),0)&gt;1,DAY($A4794)&gt;=IFERROR(N(INDEX(Übersicht!$M$15:$M$22,MATCH($B4794,Übersicht!$A$15:$A$22,0))),0)),1,0),1))</f>
        <v/>
      </c>
    </row>
    <row r="4795">
      <c r="A4795" s="92" t="n"/>
      <c r="B4795" s="55" t="n"/>
      <c r="C4795" s="55" t="n"/>
      <c r="D4795" s="55" t="n"/>
      <c r="E4795" s="93" t="n"/>
      <c r="F4795" s="94" t="n"/>
      <c r="G4795" s="94" t="n"/>
      <c r="H4795" s="94" t="n"/>
      <c r="I4795" s="94" t="n"/>
      <c r="J4795" s="55" t="n"/>
      <c r="K4795" s="95" t="n"/>
      <c r="L4795" s="116">
        <f>IF($A4795="","",DATE(YEAR($A4795),MONTH($A4795)+IF(AND(IFERROR(N(INDEX(Übersicht!$M$15:$M$22,MATCH($B4795,Übersicht!$A$15:$A$22,0))),0)&gt;1,DAY($A4795)&gt;=IFERROR(N(INDEX(Übersicht!$M$15:$M$22,MATCH($B4795,Übersicht!$A$15:$A$22,0))),0)),1,0),1))</f>
        <v/>
      </c>
    </row>
    <row r="4796">
      <c r="A4796" s="92" t="n"/>
      <c r="B4796" s="55" t="n"/>
      <c r="C4796" s="55" t="n"/>
      <c r="D4796" s="55" t="n"/>
      <c r="E4796" s="93" t="n"/>
      <c r="F4796" s="94" t="n"/>
      <c r="G4796" s="94" t="n"/>
      <c r="H4796" s="94" t="n"/>
      <c r="I4796" s="94" t="n"/>
      <c r="J4796" s="55" t="n"/>
      <c r="K4796" s="95" t="n"/>
      <c r="L4796" s="116">
        <f>IF($A4796="","",DATE(YEAR($A4796),MONTH($A4796)+IF(AND(IFERROR(N(INDEX(Übersicht!$M$15:$M$22,MATCH($B4796,Übersicht!$A$15:$A$22,0))),0)&gt;1,DAY($A4796)&gt;=IFERROR(N(INDEX(Übersicht!$M$15:$M$22,MATCH($B4796,Übersicht!$A$15:$A$22,0))),0)),1,0),1))</f>
        <v/>
      </c>
    </row>
    <row r="4797">
      <c r="A4797" s="92" t="n"/>
      <c r="B4797" s="55" t="n"/>
      <c r="C4797" s="55" t="n"/>
      <c r="D4797" s="55" t="n"/>
      <c r="E4797" s="93" t="n"/>
      <c r="F4797" s="94" t="n"/>
      <c r="G4797" s="94" t="n"/>
      <c r="H4797" s="94" t="n"/>
      <c r="I4797" s="94" t="n"/>
      <c r="J4797" s="55" t="n"/>
      <c r="K4797" s="95" t="n"/>
      <c r="L4797" s="116">
        <f>IF($A4797="","",DATE(YEAR($A4797),MONTH($A4797)+IF(AND(IFERROR(N(INDEX(Übersicht!$M$15:$M$22,MATCH($B4797,Übersicht!$A$15:$A$22,0))),0)&gt;1,DAY($A4797)&gt;=IFERROR(N(INDEX(Übersicht!$M$15:$M$22,MATCH($B4797,Übersicht!$A$15:$A$22,0))),0)),1,0),1))</f>
        <v/>
      </c>
    </row>
    <row r="4798">
      <c r="A4798" s="92" t="n"/>
      <c r="B4798" s="55" t="n"/>
      <c r="C4798" s="55" t="n"/>
      <c r="D4798" s="55" t="n"/>
      <c r="E4798" s="93" t="n"/>
      <c r="F4798" s="94" t="n"/>
      <c r="G4798" s="94" t="n"/>
      <c r="H4798" s="94" t="n"/>
      <c r="I4798" s="94" t="n"/>
      <c r="J4798" s="55" t="n"/>
      <c r="K4798" s="95" t="n"/>
      <c r="L4798" s="116">
        <f>IF($A4798="","",DATE(YEAR($A4798),MONTH($A4798)+IF(AND(IFERROR(N(INDEX(Übersicht!$M$15:$M$22,MATCH($B4798,Übersicht!$A$15:$A$22,0))),0)&gt;1,DAY($A4798)&gt;=IFERROR(N(INDEX(Übersicht!$M$15:$M$22,MATCH($B4798,Übersicht!$A$15:$A$22,0))),0)),1,0),1))</f>
        <v/>
      </c>
    </row>
    <row r="4799">
      <c r="A4799" s="92" t="n"/>
      <c r="B4799" s="55" t="n"/>
      <c r="C4799" s="55" t="n"/>
      <c r="D4799" s="55" t="n"/>
      <c r="E4799" s="93" t="n"/>
      <c r="F4799" s="94" t="n"/>
      <c r="G4799" s="94" t="n"/>
      <c r="H4799" s="94" t="n"/>
      <c r="I4799" s="94" t="n"/>
      <c r="J4799" s="55" t="n"/>
      <c r="K4799" s="95" t="n"/>
      <c r="L4799" s="116">
        <f>IF($A4799="","",DATE(YEAR($A4799),MONTH($A4799)+IF(AND(IFERROR(N(INDEX(Übersicht!$M$15:$M$22,MATCH($B4799,Übersicht!$A$15:$A$22,0))),0)&gt;1,DAY($A4799)&gt;=IFERROR(N(INDEX(Übersicht!$M$15:$M$22,MATCH($B4799,Übersicht!$A$15:$A$22,0))),0)),1,0),1))</f>
        <v/>
      </c>
    </row>
    <row r="4800">
      <c r="A4800" s="92" t="n"/>
      <c r="B4800" s="55" t="n"/>
      <c r="C4800" s="55" t="n"/>
      <c r="D4800" s="55" t="n"/>
      <c r="E4800" s="93" t="n"/>
      <c r="F4800" s="94" t="n"/>
      <c r="G4800" s="94" t="n"/>
      <c r="H4800" s="94" t="n"/>
      <c r="I4800" s="94" t="n"/>
      <c r="J4800" s="55" t="n"/>
      <c r="K4800" s="95" t="n"/>
      <c r="L4800" s="116">
        <f>IF($A4800="","",DATE(YEAR($A4800),MONTH($A4800)+IF(AND(IFERROR(N(INDEX(Übersicht!$M$15:$M$22,MATCH($B4800,Übersicht!$A$15:$A$22,0))),0)&gt;1,DAY($A4800)&gt;=IFERROR(N(INDEX(Übersicht!$M$15:$M$22,MATCH($B4800,Übersicht!$A$15:$A$22,0))),0)),1,0),1))</f>
        <v/>
      </c>
    </row>
    <row r="4801">
      <c r="A4801" s="92" t="n"/>
      <c r="B4801" s="55" t="n"/>
      <c r="C4801" s="55" t="n"/>
      <c r="D4801" s="55" t="n"/>
      <c r="E4801" s="93" t="n"/>
      <c r="F4801" s="94" t="n"/>
      <c r="G4801" s="94" t="n"/>
      <c r="H4801" s="94" t="n"/>
      <c r="I4801" s="94" t="n"/>
      <c r="J4801" s="55" t="n"/>
      <c r="K4801" s="95" t="n"/>
      <c r="L4801" s="116">
        <f>IF($A4801="","",DATE(YEAR($A4801),MONTH($A4801)+IF(AND(IFERROR(N(INDEX(Übersicht!$M$15:$M$22,MATCH($B4801,Übersicht!$A$15:$A$22,0))),0)&gt;1,DAY($A4801)&gt;=IFERROR(N(INDEX(Übersicht!$M$15:$M$22,MATCH($B4801,Übersicht!$A$15:$A$22,0))),0)),1,0),1))</f>
        <v/>
      </c>
    </row>
    <row r="4802">
      <c r="A4802" s="92" t="n"/>
      <c r="B4802" s="55" t="n"/>
      <c r="C4802" s="55" t="n"/>
      <c r="D4802" s="55" t="n"/>
      <c r="E4802" s="93" t="n"/>
      <c r="F4802" s="94" t="n"/>
      <c r="G4802" s="94" t="n"/>
      <c r="H4802" s="94" t="n"/>
      <c r="I4802" s="94" t="n"/>
      <c r="J4802" s="55" t="n"/>
      <c r="K4802" s="95" t="n"/>
      <c r="L4802" s="116">
        <f>IF($A4802="","",DATE(YEAR($A4802),MONTH($A4802)+IF(AND(IFERROR(N(INDEX(Übersicht!$M$15:$M$22,MATCH($B4802,Übersicht!$A$15:$A$22,0))),0)&gt;1,DAY($A4802)&gt;=IFERROR(N(INDEX(Übersicht!$M$15:$M$22,MATCH($B4802,Übersicht!$A$15:$A$22,0))),0)),1,0),1))</f>
        <v/>
      </c>
    </row>
    <row r="4803">
      <c r="A4803" s="92" t="n"/>
      <c r="B4803" s="55" t="n"/>
      <c r="C4803" s="55" t="n"/>
      <c r="D4803" s="55" t="n"/>
      <c r="E4803" s="93" t="n"/>
      <c r="F4803" s="94" t="n"/>
      <c r="G4803" s="94" t="n"/>
      <c r="H4803" s="94" t="n"/>
      <c r="I4803" s="94" t="n"/>
      <c r="J4803" s="55" t="n"/>
      <c r="K4803" s="95" t="n"/>
      <c r="L4803" s="116">
        <f>IF($A4803="","",DATE(YEAR($A4803),MONTH($A4803)+IF(AND(IFERROR(N(INDEX(Übersicht!$M$15:$M$22,MATCH($B4803,Übersicht!$A$15:$A$22,0))),0)&gt;1,DAY($A4803)&gt;=IFERROR(N(INDEX(Übersicht!$M$15:$M$22,MATCH($B4803,Übersicht!$A$15:$A$22,0))),0)),1,0),1))</f>
        <v/>
      </c>
    </row>
    <row r="4804">
      <c r="A4804" s="92" t="n"/>
      <c r="B4804" s="55" t="n"/>
      <c r="C4804" s="55" t="n"/>
      <c r="D4804" s="55" t="n"/>
      <c r="E4804" s="93" t="n"/>
      <c r="F4804" s="94" t="n"/>
      <c r="G4804" s="94" t="n"/>
      <c r="H4804" s="94" t="n"/>
      <c r="I4804" s="94" t="n"/>
      <c r="J4804" s="55" t="n"/>
      <c r="K4804" s="95" t="n"/>
      <c r="L4804" s="116">
        <f>IF($A4804="","",DATE(YEAR($A4804),MONTH($A4804)+IF(AND(IFERROR(N(INDEX(Übersicht!$M$15:$M$22,MATCH($B4804,Übersicht!$A$15:$A$22,0))),0)&gt;1,DAY($A4804)&gt;=IFERROR(N(INDEX(Übersicht!$M$15:$M$22,MATCH($B4804,Übersicht!$A$15:$A$22,0))),0)),1,0),1))</f>
        <v/>
      </c>
    </row>
    <row r="4805">
      <c r="A4805" s="92" t="n"/>
      <c r="B4805" s="55" t="n"/>
      <c r="C4805" s="55" t="n"/>
      <c r="D4805" s="55" t="n"/>
      <c r="E4805" s="93" t="n"/>
      <c r="F4805" s="94" t="n"/>
      <c r="G4805" s="94" t="n"/>
      <c r="H4805" s="94" t="n"/>
      <c r="I4805" s="94" t="n"/>
      <c r="J4805" s="55" t="n"/>
      <c r="K4805" s="95" t="n"/>
      <c r="L4805" s="116">
        <f>IF($A4805="","",DATE(YEAR($A4805),MONTH($A4805)+IF(AND(IFERROR(N(INDEX(Übersicht!$M$15:$M$22,MATCH($B4805,Übersicht!$A$15:$A$22,0))),0)&gt;1,DAY($A4805)&gt;=IFERROR(N(INDEX(Übersicht!$M$15:$M$22,MATCH($B4805,Übersicht!$A$15:$A$22,0))),0)),1,0),1))</f>
        <v/>
      </c>
    </row>
    <row r="4806">
      <c r="A4806" s="92" t="n"/>
      <c r="B4806" s="55" t="n"/>
      <c r="C4806" s="55" t="n"/>
      <c r="D4806" s="55" t="n"/>
      <c r="E4806" s="93" t="n"/>
      <c r="F4806" s="94" t="n"/>
      <c r="G4806" s="94" t="n"/>
      <c r="H4806" s="94" t="n"/>
      <c r="I4806" s="94" t="n"/>
      <c r="J4806" s="55" t="n"/>
      <c r="K4806" s="95" t="n"/>
      <c r="L4806" s="116">
        <f>IF($A4806="","",DATE(YEAR($A4806),MONTH($A4806)+IF(AND(IFERROR(N(INDEX(Übersicht!$M$15:$M$22,MATCH($B4806,Übersicht!$A$15:$A$22,0))),0)&gt;1,DAY($A4806)&gt;=IFERROR(N(INDEX(Übersicht!$M$15:$M$22,MATCH($B4806,Übersicht!$A$15:$A$22,0))),0)),1,0),1))</f>
        <v/>
      </c>
    </row>
    <row r="4807">
      <c r="A4807" s="92" t="n"/>
      <c r="B4807" s="55" t="n"/>
      <c r="C4807" s="55" t="n"/>
      <c r="D4807" s="55" t="n"/>
      <c r="E4807" s="93" t="n"/>
      <c r="F4807" s="94" t="n"/>
      <c r="G4807" s="94" t="n"/>
      <c r="H4807" s="94" t="n"/>
      <c r="I4807" s="94" t="n"/>
      <c r="J4807" s="55" t="n"/>
      <c r="K4807" s="95" t="n"/>
      <c r="L4807" s="116">
        <f>IF($A4807="","",DATE(YEAR($A4807),MONTH($A4807)+IF(AND(IFERROR(N(INDEX(Übersicht!$M$15:$M$22,MATCH($B4807,Übersicht!$A$15:$A$22,0))),0)&gt;1,DAY($A4807)&gt;=IFERROR(N(INDEX(Übersicht!$M$15:$M$22,MATCH($B4807,Übersicht!$A$15:$A$22,0))),0)),1,0),1))</f>
        <v/>
      </c>
    </row>
    <row r="4808">
      <c r="A4808" s="92" t="n"/>
      <c r="B4808" s="55" t="n"/>
      <c r="C4808" s="55" t="n"/>
      <c r="D4808" s="55" t="n"/>
      <c r="E4808" s="93" t="n"/>
      <c r="F4808" s="94" t="n"/>
      <c r="G4808" s="94" t="n"/>
      <c r="H4808" s="94" t="n"/>
      <c r="I4808" s="94" t="n"/>
      <c r="J4808" s="55" t="n"/>
      <c r="K4808" s="95" t="n"/>
      <c r="L4808" s="116">
        <f>IF($A4808="","",DATE(YEAR($A4808),MONTH($A4808)+IF(AND(IFERROR(N(INDEX(Übersicht!$M$15:$M$22,MATCH($B4808,Übersicht!$A$15:$A$22,0))),0)&gt;1,DAY($A4808)&gt;=IFERROR(N(INDEX(Übersicht!$M$15:$M$22,MATCH($B4808,Übersicht!$A$15:$A$22,0))),0)),1,0),1))</f>
        <v/>
      </c>
    </row>
    <row r="4809">
      <c r="A4809" s="92" t="n"/>
      <c r="B4809" s="55" t="n"/>
      <c r="C4809" s="55" t="n"/>
      <c r="D4809" s="55" t="n"/>
      <c r="E4809" s="93" t="n"/>
      <c r="F4809" s="94" t="n"/>
      <c r="G4809" s="94" t="n"/>
      <c r="H4809" s="94" t="n"/>
      <c r="I4809" s="94" t="n"/>
      <c r="J4809" s="55" t="n"/>
      <c r="K4809" s="95" t="n"/>
      <c r="L4809" s="116">
        <f>IF($A4809="","",DATE(YEAR($A4809),MONTH($A4809)+IF(AND(IFERROR(N(INDEX(Übersicht!$M$15:$M$22,MATCH($B4809,Übersicht!$A$15:$A$22,0))),0)&gt;1,DAY($A4809)&gt;=IFERROR(N(INDEX(Übersicht!$M$15:$M$22,MATCH($B4809,Übersicht!$A$15:$A$22,0))),0)),1,0),1))</f>
        <v/>
      </c>
    </row>
    <row r="4810">
      <c r="A4810" s="92" t="n"/>
      <c r="B4810" s="55" t="n"/>
      <c r="C4810" s="55" t="n"/>
      <c r="D4810" s="55" t="n"/>
      <c r="E4810" s="93" t="n"/>
      <c r="F4810" s="94" t="n"/>
      <c r="G4810" s="94" t="n"/>
      <c r="H4810" s="94" t="n"/>
      <c r="I4810" s="94" t="n"/>
      <c r="J4810" s="55" t="n"/>
      <c r="K4810" s="95" t="n"/>
      <c r="L4810" s="116">
        <f>IF($A4810="","",DATE(YEAR($A4810),MONTH($A4810)+IF(AND(IFERROR(N(INDEX(Übersicht!$M$15:$M$22,MATCH($B4810,Übersicht!$A$15:$A$22,0))),0)&gt;1,DAY($A4810)&gt;=IFERROR(N(INDEX(Übersicht!$M$15:$M$22,MATCH($B4810,Übersicht!$A$15:$A$22,0))),0)),1,0),1))</f>
        <v/>
      </c>
    </row>
    <row r="4811">
      <c r="A4811" s="92" t="n"/>
      <c r="B4811" s="55" t="n"/>
      <c r="C4811" s="55" t="n"/>
      <c r="D4811" s="55" t="n"/>
      <c r="E4811" s="93" t="n"/>
      <c r="F4811" s="94" t="n"/>
      <c r="G4811" s="94" t="n"/>
      <c r="H4811" s="94" t="n"/>
      <c r="I4811" s="94" t="n"/>
      <c r="J4811" s="55" t="n"/>
      <c r="K4811" s="95" t="n"/>
      <c r="L4811" s="116">
        <f>IF($A4811="","",DATE(YEAR($A4811),MONTH($A4811)+IF(AND(IFERROR(N(INDEX(Übersicht!$M$15:$M$22,MATCH($B4811,Übersicht!$A$15:$A$22,0))),0)&gt;1,DAY($A4811)&gt;=IFERROR(N(INDEX(Übersicht!$M$15:$M$22,MATCH($B4811,Übersicht!$A$15:$A$22,0))),0)),1,0),1))</f>
        <v/>
      </c>
    </row>
    <row r="4812">
      <c r="A4812" s="92" t="n"/>
      <c r="B4812" s="55" t="n"/>
      <c r="C4812" s="55" t="n"/>
      <c r="D4812" s="55" t="n"/>
      <c r="E4812" s="93" t="n"/>
      <c r="F4812" s="94" t="n"/>
      <c r="G4812" s="94" t="n"/>
      <c r="H4812" s="94" t="n"/>
      <c r="I4812" s="94" t="n"/>
      <c r="J4812" s="55" t="n"/>
      <c r="K4812" s="95" t="n"/>
      <c r="L4812" s="116">
        <f>IF($A4812="","",DATE(YEAR($A4812),MONTH($A4812)+IF(AND(IFERROR(N(INDEX(Übersicht!$M$15:$M$22,MATCH($B4812,Übersicht!$A$15:$A$22,0))),0)&gt;1,DAY($A4812)&gt;=IFERROR(N(INDEX(Übersicht!$M$15:$M$22,MATCH($B4812,Übersicht!$A$15:$A$22,0))),0)),1,0),1))</f>
        <v/>
      </c>
    </row>
    <row r="4813">
      <c r="A4813" s="92" t="n"/>
      <c r="B4813" s="55" t="n"/>
      <c r="C4813" s="55" t="n"/>
      <c r="D4813" s="55" t="n"/>
      <c r="E4813" s="93" t="n"/>
      <c r="F4813" s="94" t="n"/>
      <c r="G4813" s="94" t="n"/>
      <c r="H4813" s="94" t="n"/>
      <c r="I4813" s="94" t="n"/>
      <c r="J4813" s="55" t="n"/>
      <c r="K4813" s="95" t="n"/>
      <c r="L4813" s="116">
        <f>IF($A4813="","",DATE(YEAR($A4813),MONTH($A4813)+IF(AND(IFERROR(N(INDEX(Übersicht!$M$15:$M$22,MATCH($B4813,Übersicht!$A$15:$A$22,0))),0)&gt;1,DAY($A4813)&gt;=IFERROR(N(INDEX(Übersicht!$M$15:$M$22,MATCH($B4813,Übersicht!$A$15:$A$22,0))),0)),1,0),1))</f>
        <v/>
      </c>
    </row>
    <row r="4814">
      <c r="A4814" s="92" t="n"/>
      <c r="B4814" s="55" t="n"/>
      <c r="C4814" s="55" t="n"/>
      <c r="D4814" s="55" t="n"/>
      <c r="E4814" s="93" t="n"/>
      <c r="F4814" s="94" t="n"/>
      <c r="G4814" s="94" t="n"/>
      <c r="H4814" s="94" t="n"/>
      <c r="I4814" s="94" t="n"/>
      <c r="J4814" s="55" t="n"/>
      <c r="K4814" s="95" t="n"/>
      <c r="L4814" s="116">
        <f>IF($A4814="","",DATE(YEAR($A4814),MONTH($A4814)+IF(AND(IFERROR(N(INDEX(Übersicht!$M$15:$M$22,MATCH($B4814,Übersicht!$A$15:$A$22,0))),0)&gt;1,DAY($A4814)&gt;=IFERROR(N(INDEX(Übersicht!$M$15:$M$22,MATCH($B4814,Übersicht!$A$15:$A$22,0))),0)),1,0),1))</f>
        <v/>
      </c>
    </row>
    <row r="4815">
      <c r="A4815" s="92" t="n"/>
      <c r="B4815" s="55" t="n"/>
      <c r="C4815" s="55" t="n"/>
      <c r="D4815" s="55" t="n"/>
      <c r="E4815" s="93" t="n"/>
      <c r="F4815" s="94" t="n"/>
      <c r="G4815" s="94" t="n"/>
      <c r="H4815" s="94" t="n"/>
      <c r="I4815" s="94" t="n"/>
      <c r="J4815" s="55" t="n"/>
      <c r="K4815" s="95" t="n"/>
      <c r="L4815" s="116">
        <f>IF($A4815="","",DATE(YEAR($A4815),MONTH($A4815)+IF(AND(IFERROR(N(INDEX(Übersicht!$M$15:$M$22,MATCH($B4815,Übersicht!$A$15:$A$22,0))),0)&gt;1,DAY($A4815)&gt;=IFERROR(N(INDEX(Übersicht!$M$15:$M$22,MATCH($B4815,Übersicht!$A$15:$A$22,0))),0)),1,0),1))</f>
        <v/>
      </c>
    </row>
    <row r="4816">
      <c r="A4816" s="92" t="n"/>
      <c r="B4816" s="55" t="n"/>
      <c r="C4816" s="55" t="n"/>
      <c r="D4816" s="55" t="n"/>
      <c r="E4816" s="93" t="n"/>
      <c r="F4816" s="94" t="n"/>
      <c r="G4816" s="94" t="n"/>
      <c r="H4816" s="94" t="n"/>
      <c r="I4816" s="94" t="n"/>
      <c r="J4816" s="55" t="n"/>
      <c r="K4816" s="95" t="n"/>
      <c r="L4816" s="116">
        <f>IF($A4816="","",DATE(YEAR($A4816),MONTH($A4816)+IF(AND(IFERROR(N(INDEX(Übersicht!$M$15:$M$22,MATCH($B4816,Übersicht!$A$15:$A$22,0))),0)&gt;1,DAY($A4816)&gt;=IFERROR(N(INDEX(Übersicht!$M$15:$M$22,MATCH($B4816,Übersicht!$A$15:$A$22,0))),0)),1,0),1))</f>
        <v/>
      </c>
    </row>
    <row r="4817">
      <c r="A4817" s="92" t="n"/>
      <c r="B4817" s="55" t="n"/>
      <c r="C4817" s="55" t="n"/>
      <c r="D4817" s="55" t="n"/>
      <c r="E4817" s="93" t="n"/>
      <c r="F4817" s="94" t="n"/>
      <c r="G4817" s="94" t="n"/>
      <c r="H4817" s="94" t="n"/>
      <c r="I4817" s="94" t="n"/>
      <c r="J4817" s="55" t="n"/>
      <c r="K4817" s="95" t="n"/>
      <c r="L4817" s="116">
        <f>IF($A4817="","",DATE(YEAR($A4817),MONTH($A4817)+IF(AND(IFERROR(N(INDEX(Übersicht!$M$15:$M$22,MATCH($B4817,Übersicht!$A$15:$A$22,0))),0)&gt;1,DAY($A4817)&gt;=IFERROR(N(INDEX(Übersicht!$M$15:$M$22,MATCH($B4817,Übersicht!$A$15:$A$22,0))),0)),1,0),1))</f>
        <v/>
      </c>
    </row>
    <row r="4818">
      <c r="A4818" s="92" t="n"/>
      <c r="B4818" s="55" t="n"/>
      <c r="C4818" s="55" t="n"/>
      <c r="D4818" s="55" t="n"/>
      <c r="E4818" s="93" t="n"/>
      <c r="F4818" s="94" t="n"/>
      <c r="G4818" s="94" t="n"/>
      <c r="H4818" s="94" t="n"/>
      <c r="I4818" s="94" t="n"/>
      <c r="J4818" s="55" t="n"/>
      <c r="K4818" s="95" t="n"/>
      <c r="L4818" s="116">
        <f>IF($A4818="","",DATE(YEAR($A4818),MONTH($A4818)+IF(AND(IFERROR(N(INDEX(Übersicht!$M$15:$M$22,MATCH($B4818,Übersicht!$A$15:$A$22,0))),0)&gt;1,DAY($A4818)&gt;=IFERROR(N(INDEX(Übersicht!$M$15:$M$22,MATCH($B4818,Übersicht!$A$15:$A$22,0))),0)),1,0),1))</f>
        <v/>
      </c>
    </row>
    <row r="4819">
      <c r="A4819" s="92" t="n"/>
      <c r="B4819" s="55" t="n"/>
      <c r="C4819" s="55" t="n"/>
      <c r="D4819" s="55" t="n"/>
      <c r="E4819" s="93" t="n"/>
      <c r="F4819" s="94" t="n"/>
      <c r="G4819" s="94" t="n"/>
      <c r="H4819" s="94" t="n"/>
      <c r="I4819" s="94" t="n"/>
      <c r="J4819" s="55" t="n"/>
      <c r="K4819" s="95" t="n"/>
      <c r="L4819" s="116">
        <f>IF($A4819="","",DATE(YEAR($A4819),MONTH($A4819)+IF(AND(IFERROR(N(INDEX(Übersicht!$M$15:$M$22,MATCH($B4819,Übersicht!$A$15:$A$22,0))),0)&gt;1,DAY($A4819)&gt;=IFERROR(N(INDEX(Übersicht!$M$15:$M$22,MATCH($B4819,Übersicht!$A$15:$A$22,0))),0)),1,0),1))</f>
        <v/>
      </c>
    </row>
    <row r="4820">
      <c r="A4820" s="92" t="n"/>
      <c r="B4820" s="55" t="n"/>
      <c r="C4820" s="55" t="n"/>
      <c r="D4820" s="55" t="n"/>
      <c r="E4820" s="93" t="n"/>
      <c r="F4820" s="94" t="n"/>
      <c r="G4820" s="94" t="n"/>
      <c r="H4820" s="94" t="n"/>
      <c r="I4820" s="94" t="n"/>
      <c r="J4820" s="55" t="n"/>
      <c r="K4820" s="95" t="n"/>
      <c r="L4820" s="116">
        <f>IF($A4820="","",DATE(YEAR($A4820),MONTH($A4820)+IF(AND(IFERROR(N(INDEX(Übersicht!$M$15:$M$22,MATCH($B4820,Übersicht!$A$15:$A$22,0))),0)&gt;1,DAY($A4820)&gt;=IFERROR(N(INDEX(Übersicht!$M$15:$M$22,MATCH($B4820,Übersicht!$A$15:$A$22,0))),0)),1,0),1))</f>
        <v/>
      </c>
    </row>
    <row r="4821">
      <c r="A4821" s="92" t="n"/>
      <c r="B4821" s="55" t="n"/>
      <c r="C4821" s="55" t="n"/>
      <c r="D4821" s="55" t="n"/>
      <c r="E4821" s="93" t="n"/>
      <c r="F4821" s="94" t="n"/>
      <c r="G4821" s="94" t="n"/>
      <c r="H4821" s="94" t="n"/>
      <c r="I4821" s="94" t="n"/>
      <c r="J4821" s="55" t="n"/>
      <c r="K4821" s="95" t="n"/>
      <c r="L4821" s="116">
        <f>IF($A4821="","",DATE(YEAR($A4821),MONTH($A4821)+IF(AND(IFERROR(N(INDEX(Übersicht!$M$15:$M$22,MATCH($B4821,Übersicht!$A$15:$A$22,0))),0)&gt;1,DAY($A4821)&gt;=IFERROR(N(INDEX(Übersicht!$M$15:$M$22,MATCH($B4821,Übersicht!$A$15:$A$22,0))),0)),1,0),1))</f>
        <v/>
      </c>
    </row>
    <row r="4822">
      <c r="A4822" s="92" t="n"/>
      <c r="B4822" s="55" t="n"/>
      <c r="C4822" s="55" t="n"/>
      <c r="D4822" s="55" t="n"/>
      <c r="E4822" s="93" t="n"/>
      <c r="F4822" s="94" t="n"/>
      <c r="G4822" s="94" t="n"/>
      <c r="H4822" s="94" t="n"/>
      <c r="I4822" s="94" t="n"/>
      <c r="J4822" s="55" t="n"/>
      <c r="K4822" s="95" t="n"/>
      <c r="L4822" s="116">
        <f>IF($A4822="","",DATE(YEAR($A4822),MONTH($A4822)+IF(AND(IFERROR(N(INDEX(Übersicht!$M$15:$M$22,MATCH($B4822,Übersicht!$A$15:$A$22,0))),0)&gt;1,DAY($A4822)&gt;=IFERROR(N(INDEX(Übersicht!$M$15:$M$22,MATCH($B4822,Übersicht!$A$15:$A$22,0))),0)),1,0),1))</f>
        <v/>
      </c>
    </row>
    <row r="4823">
      <c r="A4823" s="92" t="n"/>
      <c r="B4823" s="55" t="n"/>
      <c r="C4823" s="55" t="n"/>
      <c r="D4823" s="55" t="n"/>
      <c r="E4823" s="93" t="n"/>
      <c r="F4823" s="94" t="n"/>
      <c r="G4823" s="94" t="n"/>
      <c r="H4823" s="94" t="n"/>
      <c r="I4823" s="94" t="n"/>
      <c r="J4823" s="55" t="n"/>
      <c r="K4823" s="95" t="n"/>
      <c r="L4823" s="116">
        <f>IF($A4823="","",DATE(YEAR($A4823),MONTH($A4823)+IF(AND(IFERROR(N(INDEX(Übersicht!$M$15:$M$22,MATCH($B4823,Übersicht!$A$15:$A$22,0))),0)&gt;1,DAY($A4823)&gt;=IFERROR(N(INDEX(Übersicht!$M$15:$M$22,MATCH($B4823,Übersicht!$A$15:$A$22,0))),0)),1,0),1))</f>
        <v/>
      </c>
    </row>
    <row r="4824">
      <c r="A4824" s="92" t="n"/>
      <c r="B4824" s="55" t="n"/>
      <c r="C4824" s="55" t="n"/>
      <c r="D4824" s="55" t="n"/>
      <c r="E4824" s="93" t="n"/>
      <c r="F4824" s="94" t="n"/>
      <c r="G4824" s="94" t="n"/>
      <c r="H4824" s="94" t="n"/>
      <c r="I4824" s="94" t="n"/>
      <c r="J4824" s="55" t="n"/>
      <c r="K4824" s="95" t="n"/>
      <c r="L4824" s="116">
        <f>IF($A4824="","",DATE(YEAR($A4824),MONTH($A4824)+IF(AND(IFERROR(N(INDEX(Übersicht!$M$15:$M$22,MATCH($B4824,Übersicht!$A$15:$A$22,0))),0)&gt;1,DAY($A4824)&gt;=IFERROR(N(INDEX(Übersicht!$M$15:$M$22,MATCH($B4824,Übersicht!$A$15:$A$22,0))),0)),1,0),1))</f>
        <v/>
      </c>
    </row>
    <row r="4825">
      <c r="A4825" s="92" t="n"/>
      <c r="B4825" s="55" t="n"/>
      <c r="C4825" s="55" t="n"/>
      <c r="D4825" s="55" t="n"/>
      <c r="E4825" s="93" t="n"/>
      <c r="F4825" s="94" t="n"/>
      <c r="G4825" s="94" t="n"/>
      <c r="H4825" s="94" t="n"/>
      <c r="I4825" s="94" t="n"/>
      <c r="J4825" s="55" t="n"/>
      <c r="K4825" s="95" t="n"/>
      <c r="L4825" s="116">
        <f>IF($A4825="","",DATE(YEAR($A4825),MONTH($A4825)+IF(AND(IFERROR(N(INDEX(Übersicht!$M$15:$M$22,MATCH($B4825,Übersicht!$A$15:$A$22,0))),0)&gt;1,DAY($A4825)&gt;=IFERROR(N(INDEX(Übersicht!$M$15:$M$22,MATCH($B4825,Übersicht!$A$15:$A$22,0))),0)),1,0),1))</f>
        <v/>
      </c>
    </row>
    <row r="4826">
      <c r="A4826" s="92" t="n"/>
      <c r="B4826" s="55" t="n"/>
      <c r="C4826" s="55" t="n"/>
      <c r="D4826" s="55" t="n"/>
      <c r="E4826" s="93" t="n"/>
      <c r="F4826" s="94" t="n"/>
      <c r="G4826" s="94" t="n"/>
      <c r="H4826" s="94" t="n"/>
      <c r="I4826" s="94" t="n"/>
      <c r="J4826" s="55" t="n"/>
      <c r="K4826" s="95" t="n"/>
      <c r="L4826" s="116">
        <f>IF($A4826="","",DATE(YEAR($A4826),MONTH($A4826)+IF(AND(IFERROR(N(INDEX(Übersicht!$M$15:$M$22,MATCH($B4826,Übersicht!$A$15:$A$22,0))),0)&gt;1,DAY($A4826)&gt;=IFERROR(N(INDEX(Übersicht!$M$15:$M$22,MATCH($B4826,Übersicht!$A$15:$A$22,0))),0)),1,0),1))</f>
        <v/>
      </c>
    </row>
    <row r="4827">
      <c r="A4827" s="92" t="n"/>
      <c r="B4827" s="55" t="n"/>
      <c r="C4827" s="55" t="n"/>
      <c r="D4827" s="55" t="n"/>
      <c r="E4827" s="93" t="n"/>
      <c r="F4827" s="94" t="n"/>
      <c r="G4827" s="94" t="n"/>
      <c r="H4827" s="94" t="n"/>
      <c r="I4827" s="94" t="n"/>
      <c r="J4827" s="55" t="n"/>
      <c r="K4827" s="95" t="n"/>
      <c r="L4827" s="116">
        <f>IF($A4827="","",DATE(YEAR($A4827),MONTH($A4827)+IF(AND(IFERROR(N(INDEX(Übersicht!$M$15:$M$22,MATCH($B4827,Übersicht!$A$15:$A$22,0))),0)&gt;1,DAY($A4827)&gt;=IFERROR(N(INDEX(Übersicht!$M$15:$M$22,MATCH($B4827,Übersicht!$A$15:$A$22,0))),0)),1,0),1))</f>
        <v/>
      </c>
    </row>
    <row r="4828">
      <c r="A4828" s="92" t="n"/>
      <c r="B4828" s="55" t="n"/>
      <c r="C4828" s="55" t="n"/>
      <c r="D4828" s="55" t="n"/>
      <c r="E4828" s="93" t="n"/>
      <c r="F4828" s="94" t="n"/>
      <c r="G4828" s="94" t="n"/>
      <c r="H4828" s="94" t="n"/>
      <c r="I4828" s="94" t="n"/>
      <c r="J4828" s="55" t="n"/>
      <c r="K4828" s="95" t="n"/>
      <c r="L4828" s="116">
        <f>IF($A4828="","",DATE(YEAR($A4828),MONTH($A4828)+IF(AND(IFERROR(N(INDEX(Übersicht!$M$15:$M$22,MATCH($B4828,Übersicht!$A$15:$A$22,0))),0)&gt;1,DAY($A4828)&gt;=IFERROR(N(INDEX(Übersicht!$M$15:$M$22,MATCH($B4828,Übersicht!$A$15:$A$22,0))),0)),1,0),1))</f>
        <v/>
      </c>
    </row>
    <row r="4829">
      <c r="A4829" s="92" t="n"/>
      <c r="B4829" s="55" t="n"/>
      <c r="C4829" s="55" t="n"/>
      <c r="D4829" s="55" t="n"/>
      <c r="E4829" s="93" t="n"/>
      <c r="F4829" s="94" t="n"/>
      <c r="G4829" s="94" t="n"/>
      <c r="H4829" s="94" t="n"/>
      <c r="I4829" s="94" t="n"/>
      <c r="J4829" s="55" t="n"/>
      <c r="K4829" s="95" t="n"/>
      <c r="L4829" s="116">
        <f>IF($A4829="","",DATE(YEAR($A4829),MONTH($A4829)+IF(AND(IFERROR(N(INDEX(Übersicht!$M$15:$M$22,MATCH($B4829,Übersicht!$A$15:$A$22,0))),0)&gt;1,DAY($A4829)&gt;=IFERROR(N(INDEX(Übersicht!$M$15:$M$22,MATCH($B4829,Übersicht!$A$15:$A$22,0))),0)),1,0),1))</f>
        <v/>
      </c>
    </row>
    <row r="4830">
      <c r="A4830" s="92" t="n"/>
      <c r="B4830" s="55" t="n"/>
      <c r="C4830" s="55" t="n"/>
      <c r="D4830" s="55" t="n"/>
      <c r="E4830" s="93" t="n"/>
      <c r="F4830" s="94" t="n"/>
      <c r="G4830" s="94" t="n"/>
      <c r="H4830" s="94" t="n"/>
      <c r="I4830" s="94" t="n"/>
      <c r="J4830" s="55" t="n"/>
      <c r="K4830" s="95" t="n"/>
      <c r="L4830" s="116">
        <f>IF($A4830="","",DATE(YEAR($A4830),MONTH($A4830)+IF(AND(IFERROR(N(INDEX(Übersicht!$M$15:$M$22,MATCH($B4830,Übersicht!$A$15:$A$22,0))),0)&gt;1,DAY($A4830)&gt;=IFERROR(N(INDEX(Übersicht!$M$15:$M$22,MATCH($B4830,Übersicht!$A$15:$A$22,0))),0)),1,0),1))</f>
        <v/>
      </c>
    </row>
    <row r="4831">
      <c r="A4831" s="92" t="n"/>
      <c r="B4831" s="55" t="n"/>
      <c r="C4831" s="55" t="n"/>
      <c r="D4831" s="55" t="n"/>
      <c r="E4831" s="93" t="n"/>
      <c r="F4831" s="94" t="n"/>
      <c r="G4831" s="94" t="n"/>
      <c r="H4831" s="94" t="n"/>
      <c r="I4831" s="94" t="n"/>
      <c r="J4831" s="55" t="n"/>
      <c r="K4831" s="95" t="n"/>
      <c r="L4831" s="116">
        <f>IF($A4831="","",DATE(YEAR($A4831),MONTH($A4831)+IF(AND(IFERROR(N(INDEX(Übersicht!$M$15:$M$22,MATCH($B4831,Übersicht!$A$15:$A$22,0))),0)&gt;1,DAY($A4831)&gt;=IFERROR(N(INDEX(Übersicht!$M$15:$M$22,MATCH($B4831,Übersicht!$A$15:$A$22,0))),0)),1,0),1))</f>
        <v/>
      </c>
    </row>
    <row r="4832">
      <c r="A4832" s="92" t="n"/>
      <c r="B4832" s="55" t="n"/>
      <c r="C4832" s="55" t="n"/>
      <c r="D4832" s="55" t="n"/>
      <c r="E4832" s="93" t="n"/>
      <c r="F4832" s="94" t="n"/>
      <c r="G4832" s="94" t="n"/>
      <c r="H4832" s="94" t="n"/>
      <c r="I4832" s="94" t="n"/>
      <c r="J4832" s="55" t="n"/>
      <c r="K4832" s="95" t="n"/>
      <c r="L4832" s="116">
        <f>IF($A4832="","",DATE(YEAR($A4832),MONTH($A4832)+IF(AND(IFERROR(N(INDEX(Übersicht!$M$15:$M$22,MATCH($B4832,Übersicht!$A$15:$A$22,0))),0)&gt;1,DAY($A4832)&gt;=IFERROR(N(INDEX(Übersicht!$M$15:$M$22,MATCH($B4832,Übersicht!$A$15:$A$22,0))),0)),1,0),1))</f>
        <v/>
      </c>
    </row>
    <row r="4833">
      <c r="A4833" s="92" t="n"/>
      <c r="B4833" s="55" t="n"/>
      <c r="C4833" s="55" t="n"/>
      <c r="D4833" s="55" t="n"/>
      <c r="E4833" s="93" t="n"/>
      <c r="F4833" s="94" t="n"/>
      <c r="G4833" s="94" t="n"/>
      <c r="H4833" s="94" t="n"/>
      <c r="I4833" s="94" t="n"/>
      <c r="J4833" s="55" t="n"/>
      <c r="K4833" s="95" t="n"/>
      <c r="L4833" s="116">
        <f>IF($A4833="","",DATE(YEAR($A4833),MONTH($A4833)+IF(AND(IFERROR(N(INDEX(Übersicht!$M$15:$M$22,MATCH($B4833,Übersicht!$A$15:$A$22,0))),0)&gt;1,DAY($A4833)&gt;=IFERROR(N(INDEX(Übersicht!$M$15:$M$22,MATCH($B4833,Übersicht!$A$15:$A$22,0))),0)),1,0),1))</f>
        <v/>
      </c>
    </row>
    <row r="4834">
      <c r="A4834" s="92" t="n"/>
      <c r="B4834" s="55" t="n"/>
      <c r="C4834" s="55" t="n"/>
      <c r="D4834" s="55" t="n"/>
      <c r="E4834" s="93" t="n"/>
      <c r="F4834" s="94" t="n"/>
      <c r="G4834" s="94" t="n"/>
      <c r="H4834" s="94" t="n"/>
      <c r="I4834" s="94" t="n"/>
      <c r="J4834" s="55" t="n"/>
      <c r="K4834" s="95" t="n"/>
      <c r="L4834" s="116">
        <f>IF($A4834="","",DATE(YEAR($A4834),MONTH($A4834)+IF(AND(IFERROR(N(INDEX(Übersicht!$M$15:$M$22,MATCH($B4834,Übersicht!$A$15:$A$22,0))),0)&gt;1,DAY($A4834)&gt;=IFERROR(N(INDEX(Übersicht!$M$15:$M$22,MATCH($B4834,Übersicht!$A$15:$A$22,0))),0)),1,0),1))</f>
        <v/>
      </c>
    </row>
    <row r="4835">
      <c r="A4835" s="92" t="n"/>
      <c r="B4835" s="55" t="n"/>
      <c r="C4835" s="55" t="n"/>
      <c r="D4835" s="55" t="n"/>
      <c r="E4835" s="93" t="n"/>
      <c r="F4835" s="94" t="n"/>
      <c r="G4835" s="94" t="n"/>
      <c r="H4835" s="94" t="n"/>
      <c r="I4835" s="94" t="n"/>
      <c r="J4835" s="55" t="n"/>
      <c r="K4835" s="95" t="n"/>
      <c r="L4835" s="116">
        <f>IF($A4835="","",DATE(YEAR($A4835),MONTH($A4835)+IF(AND(IFERROR(N(INDEX(Übersicht!$M$15:$M$22,MATCH($B4835,Übersicht!$A$15:$A$22,0))),0)&gt;1,DAY($A4835)&gt;=IFERROR(N(INDEX(Übersicht!$M$15:$M$22,MATCH($B4835,Übersicht!$A$15:$A$22,0))),0)),1,0),1))</f>
        <v/>
      </c>
    </row>
    <row r="4836">
      <c r="A4836" s="92" t="n"/>
      <c r="B4836" s="55" t="n"/>
      <c r="C4836" s="55" t="n"/>
      <c r="D4836" s="55" t="n"/>
      <c r="E4836" s="93" t="n"/>
      <c r="F4836" s="94" t="n"/>
      <c r="G4836" s="94" t="n"/>
      <c r="H4836" s="94" t="n"/>
      <c r="I4836" s="94" t="n"/>
      <c r="J4836" s="55" t="n"/>
      <c r="K4836" s="95" t="n"/>
      <c r="L4836" s="116">
        <f>IF($A4836="","",DATE(YEAR($A4836),MONTH($A4836)+IF(AND(IFERROR(N(INDEX(Übersicht!$M$15:$M$22,MATCH($B4836,Übersicht!$A$15:$A$22,0))),0)&gt;1,DAY($A4836)&gt;=IFERROR(N(INDEX(Übersicht!$M$15:$M$22,MATCH($B4836,Übersicht!$A$15:$A$22,0))),0)),1,0),1))</f>
        <v/>
      </c>
    </row>
    <row r="4837">
      <c r="A4837" s="92" t="n"/>
      <c r="B4837" s="55" t="n"/>
      <c r="C4837" s="55" t="n"/>
      <c r="D4837" s="55" t="n"/>
      <c r="E4837" s="93" t="n"/>
      <c r="F4837" s="94" t="n"/>
      <c r="G4837" s="94" t="n"/>
      <c r="H4837" s="94" t="n"/>
      <c r="I4837" s="94" t="n"/>
      <c r="J4837" s="55" t="n"/>
      <c r="K4837" s="95" t="n"/>
      <c r="L4837" s="116">
        <f>IF($A4837="","",DATE(YEAR($A4837),MONTH($A4837)+IF(AND(IFERROR(N(INDEX(Übersicht!$M$15:$M$22,MATCH($B4837,Übersicht!$A$15:$A$22,0))),0)&gt;1,DAY($A4837)&gt;=IFERROR(N(INDEX(Übersicht!$M$15:$M$22,MATCH($B4837,Übersicht!$A$15:$A$22,0))),0)),1,0),1))</f>
        <v/>
      </c>
    </row>
    <row r="4838">
      <c r="A4838" s="92" t="n"/>
      <c r="B4838" s="55" t="n"/>
      <c r="C4838" s="55" t="n"/>
      <c r="D4838" s="55" t="n"/>
      <c r="E4838" s="93" t="n"/>
      <c r="F4838" s="94" t="n"/>
      <c r="G4838" s="94" t="n"/>
      <c r="H4838" s="94" t="n"/>
      <c r="I4838" s="94" t="n"/>
      <c r="J4838" s="55" t="n"/>
      <c r="K4838" s="95" t="n"/>
      <c r="L4838" s="116">
        <f>IF($A4838="","",DATE(YEAR($A4838),MONTH($A4838)+IF(AND(IFERROR(N(INDEX(Übersicht!$M$15:$M$22,MATCH($B4838,Übersicht!$A$15:$A$22,0))),0)&gt;1,DAY($A4838)&gt;=IFERROR(N(INDEX(Übersicht!$M$15:$M$22,MATCH($B4838,Übersicht!$A$15:$A$22,0))),0)),1,0),1))</f>
        <v/>
      </c>
    </row>
    <row r="4839">
      <c r="A4839" s="92" t="n"/>
      <c r="B4839" s="55" t="n"/>
      <c r="C4839" s="55" t="n"/>
      <c r="D4839" s="55" t="n"/>
      <c r="E4839" s="93" t="n"/>
      <c r="F4839" s="94" t="n"/>
      <c r="G4839" s="94" t="n"/>
      <c r="H4839" s="94" t="n"/>
      <c r="I4839" s="94" t="n"/>
      <c r="J4839" s="55" t="n"/>
      <c r="K4839" s="95" t="n"/>
      <c r="L4839" s="116">
        <f>IF($A4839="","",DATE(YEAR($A4839),MONTH($A4839)+IF(AND(IFERROR(N(INDEX(Übersicht!$M$15:$M$22,MATCH($B4839,Übersicht!$A$15:$A$22,0))),0)&gt;1,DAY($A4839)&gt;=IFERROR(N(INDEX(Übersicht!$M$15:$M$22,MATCH($B4839,Übersicht!$A$15:$A$22,0))),0)),1,0),1))</f>
        <v/>
      </c>
    </row>
    <row r="4840">
      <c r="A4840" s="92" t="n"/>
      <c r="B4840" s="55" t="n"/>
      <c r="C4840" s="55" t="n"/>
      <c r="D4840" s="55" t="n"/>
      <c r="E4840" s="93" t="n"/>
      <c r="F4840" s="94" t="n"/>
      <c r="G4840" s="94" t="n"/>
      <c r="H4840" s="94" t="n"/>
      <c r="I4840" s="94" t="n"/>
      <c r="J4840" s="55" t="n"/>
      <c r="K4840" s="95" t="n"/>
      <c r="L4840" s="116">
        <f>IF($A4840="","",DATE(YEAR($A4840),MONTH($A4840)+IF(AND(IFERROR(N(INDEX(Übersicht!$M$15:$M$22,MATCH($B4840,Übersicht!$A$15:$A$22,0))),0)&gt;1,DAY($A4840)&gt;=IFERROR(N(INDEX(Übersicht!$M$15:$M$22,MATCH($B4840,Übersicht!$A$15:$A$22,0))),0)),1,0),1))</f>
        <v/>
      </c>
    </row>
    <row r="4841">
      <c r="A4841" s="92" t="n"/>
      <c r="B4841" s="55" t="n"/>
      <c r="C4841" s="55" t="n"/>
      <c r="D4841" s="55" t="n"/>
      <c r="E4841" s="93" t="n"/>
      <c r="F4841" s="94" t="n"/>
      <c r="G4841" s="94" t="n"/>
      <c r="H4841" s="94" t="n"/>
      <c r="I4841" s="94" t="n"/>
      <c r="J4841" s="55" t="n"/>
      <c r="K4841" s="95" t="n"/>
      <c r="L4841" s="116">
        <f>IF($A4841="","",DATE(YEAR($A4841),MONTH($A4841)+IF(AND(IFERROR(N(INDEX(Übersicht!$M$15:$M$22,MATCH($B4841,Übersicht!$A$15:$A$22,0))),0)&gt;1,DAY($A4841)&gt;=IFERROR(N(INDEX(Übersicht!$M$15:$M$22,MATCH($B4841,Übersicht!$A$15:$A$22,0))),0)),1,0),1))</f>
        <v/>
      </c>
    </row>
    <row r="4842">
      <c r="A4842" s="92" t="n"/>
      <c r="B4842" s="55" t="n"/>
      <c r="C4842" s="55" t="n"/>
      <c r="D4842" s="55" t="n"/>
      <c r="E4842" s="93" t="n"/>
      <c r="F4842" s="94" t="n"/>
      <c r="G4842" s="94" t="n"/>
      <c r="H4842" s="94" t="n"/>
      <c r="I4842" s="94" t="n"/>
      <c r="J4842" s="55" t="n"/>
      <c r="K4842" s="95" t="n"/>
      <c r="L4842" s="116">
        <f>IF($A4842="","",DATE(YEAR($A4842),MONTH($A4842)+IF(AND(IFERROR(N(INDEX(Übersicht!$M$15:$M$22,MATCH($B4842,Übersicht!$A$15:$A$22,0))),0)&gt;1,DAY($A4842)&gt;=IFERROR(N(INDEX(Übersicht!$M$15:$M$22,MATCH($B4842,Übersicht!$A$15:$A$22,0))),0)),1,0),1))</f>
        <v/>
      </c>
    </row>
    <row r="4843">
      <c r="A4843" s="92" t="n"/>
      <c r="B4843" s="55" t="n"/>
      <c r="C4843" s="55" t="n"/>
      <c r="D4843" s="55" t="n"/>
      <c r="E4843" s="93" t="n"/>
      <c r="F4843" s="94" t="n"/>
      <c r="G4843" s="94" t="n"/>
      <c r="H4843" s="94" t="n"/>
      <c r="I4843" s="94" t="n"/>
      <c r="J4843" s="55" t="n"/>
      <c r="K4843" s="95" t="n"/>
      <c r="L4843" s="116">
        <f>IF($A4843="","",DATE(YEAR($A4843),MONTH($A4843)+IF(AND(IFERROR(N(INDEX(Übersicht!$M$15:$M$22,MATCH($B4843,Übersicht!$A$15:$A$22,0))),0)&gt;1,DAY($A4843)&gt;=IFERROR(N(INDEX(Übersicht!$M$15:$M$22,MATCH($B4843,Übersicht!$A$15:$A$22,0))),0)),1,0),1))</f>
        <v/>
      </c>
    </row>
    <row r="4844">
      <c r="A4844" s="92" t="n"/>
      <c r="B4844" s="55" t="n"/>
      <c r="C4844" s="55" t="n"/>
      <c r="D4844" s="55" t="n"/>
      <c r="E4844" s="93" t="n"/>
      <c r="F4844" s="94" t="n"/>
      <c r="G4844" s="94" t="n"/>
      <c r="H4844" s="94" t="n"/>
      <c r="I4844" s="94" t="n"/>
      <c r="J4844" s="55" t="n"/>
      <c r="K4844" s="95" t="n"/>
      <c r="L4844" s="116">
        <f>IF($A4844="","",DATE(YEAR($A4844),MONTH($A4844)+IF(AND(IFERROR(N(INDEX(Übersicht!$M$15:$M$22,MATCH($B4844,Übersicht!$A$15:$A$22,0))),0)&gt;1,DAY($A4844)&gt;=IFERROR(N(INDEX(Übersicht!$M$15:$M$22,MATCH($B4844,Übersicht!$A$15:$A$22,0))),0)),1,0),1))</f>
        <v/>
      </c>
    </row>
    <row r="4845">
      <c r="A4845" s="92" t="n"/>
      <c r="B4845" s="55" t="n"/>
      <c r="C4845" s="55" t="n"/>
      <c r="D4845" s="55" t="n"/>
      <c r="E4845" s="93" t="n"/>
      <c r="F4845" s="94" t="n"/>
      <c r="G4845" s="94" t="n"/>
      <c r="H4845" s="94" t="n"/>
      <c r="I4845" s="94" t="n"/>
      <c r="J4845" s="55" t="n"/>
      <c r="K4845" s="95" t="n"/>
      <c r="L4845" s="116">
        <f>IF($A4845="","",DATE(YEAR($A4845),MONTH($A4845)+IF(AND(IFERROR(N(INDEX(Übersicht!$M$15:$M$22,MATCH($B4845,Übersicht!$A$15:$A$22,0))),0)&gt;1,DAY($A4845)&gt;=IFERROR(N(INDEX(Übersicht!$M$15:$M$22,MATCH($B4845,Übersicht!$A$15:$A$22,0))),0)),1,0),1))</f>
        <v/>
      </c>
    </row>
    <row r="4846">
      <c r="A4846" s="92" t="n"/>
      <c r="B4846" s="55" t="n"/>
      <c r="C4846" s="55" t="n"/>
      <c r="D4846" s="55" t="n"/>
      <c r="E4846" s="93" t="n"/>
      <c r="F4846" s="94" t="n"/>
      <c r="G4846" s="94" t="n"/>
      <c r="H4846" s="94" t="n"/>
      <c r="I4846" s="94" t="n"/>
      <c r="J4846" s="55" t="n"/>
      <c r="K4846" s="95" t="n"/>
      <c r="L4846" s="116">
        <f>IF($A4846="","",DATE(YEAR($A4846),MONTH($A4846)+IF(AND(IFERROR(N(INDEX(Übersicht!$M$15:$M$22,MATCH($B4846,Übersicht!$A$15:$A$22,0))),0)&gt;1,DAY($A4846)&gt;=IFERROR(N(INDEX(Übersicht!$M$15:$M$22,MATCH($B4846,Übersicht!$A$15:$A$22,0))),0)),1,0),1))</f>
        <v/>
      </c>
    </row>
    <row r="4847">
      <c r="A4847" s="92" t="n"/>
      <c r="B4847" s="55" t="n"/>
      <c r="C4847" s="55" t="n"/>
      <c r="D4847" s="55" t="n"/>
      <c r="E4847" s="93" t="n"/>
      <c r="F4847" s="94" t="n"/>
      <c r="G4847" s="94" t="n"/>
      <c r="H4847" s="94" t="n"/>
      <c r="I4847" s="94" t="n"/>
      <c r="J4847" s="55" t="n"/>
      <c r="K4847" s="95" t="n"/>
      <c r="L4847" s="116">
        <f>IF($A4847="","",DATE(YEAR($A4847),MONTH($A4847)+IF(AND(IFERROR(N(INDEX(Übersicht!$M$15:$M$22,MATCH($B4847,Übersicht!$A$15:$A$22,0))),0)&gt;1,DAY($A4847)&gt;=IFERROR(N(INDEX(Übersicht!$M$15:$M$22,MATCH($B4847,Übersicht!$A$15:$A$22,0))),0)),1,0),1))</f>
        <v/>
      </c>
    </row>
    <row r="4848">
      <c r="A4848" s="92" t="n"/>
      <c r="B4848" s="55" t="n"/>
      <c r="C4848" s="55" t="n"/>
      <c r="D4848" s="55" t="n"/>
      <c r="E4848" s="93" t="n"/>
      <c r="F4848" s="94" t="n"/>
      <c r="G4848" s="94" t="n"/>
      <c r="H4848" s="94" t="n"/>
      <c r="I4848" s="94" t="n"/>
      <c r="J4848" s="55" t="n"/>
      <c r="K4848" s="95" t="n"/>
      <c r="L4848" s="116">
        <f>IF($A4848="","",DATE(YEAR($A4848),MONTH($A4848)+IF(AND(IFERROR(N(INDEX(Übersicht!$M$15:$M$22,MATCH($B4848,Übersicht!$A$15:$A$22,0))),0)&gt;1,DAY($A4848)&gt;=IFERROR(N(INDEX(Übersicht!$M$15:$M$22,MATCH($B4848,Übersicht!$A$15:$A$22,0))),0)),1,0),1))</f>
        <v/>
      </c>
    </row>
    <row r="4849">
      <c r="A4849" s="92" t="n"/>
      <c r="B4849" s="55" t="n"/>
      <c r="C4849" s="55" t="n"/>
      <c r="D4849" s="55" t="n"/>
      <c r="E4849" s="93" t="n"/>
      <c r="F4849" s="94" t="n"/>
      <c r="G4849" s="94" t="n"/>
      <c r="H4849" s="94" t="n"/>
      <c r="I4849" s="94" t="n"/>
      <c r="J4849" s="55" t="n"/>
      <c r="K4849" s="95" t="n"/>
      <c r="L4849" s="116">
        <f>IF($A4849="","",DATE(YEAR($A4849),MONTH($A4849)+IF(AND(IFERROR(N(INDEX(Übersicht!$M$15:$M$22,MATCH($B4849,Übersicht!$A$15:$A$22,0))),0)&gt;1,DAY($A4849)&gt;=IFERROR(N(INDEX(Übersicht!$M$15:$M$22,MATCH($B4849,Übersicht!$A$15:$A$22,0))),0)),1,0),1))</f>
        <v/>
      </c>
    </row>
    <row r="4850">
      <c r="A4850" s="92" t="n"/>
      <c r="B4850" s="55" t="n"/>
      <c r="C4850" s="55" t="n"/>
      <c r="D4850" s="55" t="n"/>
      <c r="E4850" s="93" t="n"/>
      <c r="F4850" s="94" t="n"/>
      <c r="G4850" s="94" t="n"/>
      <c r="H4850" s="94" t="n"/>
      <c r="I4850" s="94" t="n"/>
      <c r="J4850" s="55" t="n"/>
      <c r="K4850" s="95" t="n"/>
      <c r="L4850" s="116">
        <f>IF($A4850="","",DATE(YEAR($A4850),MONTH($A4850)+IF(AND(IFERROR(N(INDEX(Übersicht!$M$15:$M$22,MATCH($B4850,Übersicht!$A$15:$A$22,0))),0)&gt;1,DAY($A4850)&gt;=IFERROR(N(INDEX(Übersicht!$M$15:$M$22,MATCH($B4850,Übersicht!$A$15:$A$22,0))),0)),1,0),1))</f>
        <v/>
      </c>
    </row>
    <row r="4851">
      <c r="A4851" s="92" t="n"/>
      <c r="B4851" s="55" t="n"/>
      <c r="C4851" s="55" t="n"/>
      <c r="D4851" s="55" t="n"/>
      <c r="E4851" s="93" t="n"/>
      <c r="F4851" s="94" t="n"/>
      <c r="G4851" s="94" t="n"/>
      <c r="H4851" s="94" t="n"/>
      <c r="I4851" s="94" t="n"/>
      <c r="J4851" s="55" t="n"/>
      <c r="K4851" s="95" t="n"/>
      <c r="L4851" s="116">
        <f>IF($A4851="","",DATE(YEAR($A4851),MONTH($A4851)+IF(AND(IFERROR(N(INDEX(Übersicht!$M$15:$M$22,MATCH($B4851,Übersicht!$A$15:$A$22,0))),0)&gt;1,DAY($A4851)&gt;=IFERROR(N(INDEX(Übersicht!$M$15:$M$22,MATCH($B4851,Übersicht!$A$15:$A$22,0))),0)),1,0),1))</f>
        <v/>
      </c>
    </row>
    <row r="4852">
      <c r="A4852" s="92" t="n"/>
      <c r="B4852" s="55" t="n"/>
      <c r="C4852" s="55" t="n"/>
      <c r="D4852" s="55" t="n"/>
      <c r="E4852" s="93" t="n"/>
      <c r="F4852" s="94" t="n"/>
      <c r="G4852" s="94" t="n"/>
      <c r="H4852" s="94" t="n"/>
      <c r="I4852" s="94" t="n"/>
      <c r="J4852" s="55" t="n"/>
      <c r="K4852" s="95" t="n"/>
      <c r="L4852" s="116">
        <f>IF($A4852="","",DATE(YEAR($A4852),MONTH($A4852)+IF(AND(IFERROR(N(INDEX(Übersicht!$M$15:$M$22,MATCH($B4852,Übersicht!$A$15:$A$22,0))),0)&gt;1,DAY($A4852)&gt;=IFERROR(N(INDEX(Übersicht!$M$15:$M$22,MATCH($B4852,Übersicht!$A$15:$A$22,0))),0)),1,0),1))</f>
        <v/>
      </c>
    </row>
    <row r="4853">
      <c r="A4853" s="92" t="n"/>
      <c r="B4853" s="55" t="n"/>
      <c r="C4853" s="55" t="n"/>
      <c r="D4853" s="55" t="n"/>
      <c r="E4853" s="93" t="n"/>
      <c r="F4853" s="94" t="n"/>
      <c r="G4853" s="94" t="n"/>
      <c r="H4853" s="94" t="n"/>
      <c r="I4853" s="94" t="n"/>
      <c r="J4853" s="55" t="n"/>
      <c r="K4853" s="95" t="n"/>
      <c r="L4853" s="116">
        <f>IF($A4853="","",DATE(YEAR($A4853),MONTH($A4853)+IF(AND(IFERROR(N(INDEX(Übersicht!$M$15:$M$22,MATCH($B4853,Übersicht!$A$15:$A$22,0))),0)&gt;1,DAY($A4853)&gt;=IFERROR(N(INDEX(Übersicht!$M$15:$M$22,MATCH($B4853,Übersicht!$A$15:$A$22,0))),0)),1,0),1))</f>
        <v/>
      </c>
    </row>
    <row r="4854">
      <c r="A4854" s="92" t="n"/>
      <c r="B4854" s="55" t="n"/>
      <c r="C4854" s="55" t="n"/>
      <c r="D4854" s="55" t="n"/>
      <c r="E4854" s="93" t="n"/>
      <c r="F4854" s="94" t="n"/>
      <c r="G4854" s="94" t="n"/>
      <c r="H4854" s="94" t="n"/>
      <c r="I4854" s="94" t="n"/>
      <c r="J4854" s="55" t="n"/>
      <c r="K4854" s="95" t="n"/>
      <c r="L4854" s="116">
        <f>IF($A4854="","",DATE(YEAR($A4854),MONTH($A4854)+IF(AND(IFERROR(N(INDEX(Übersicht!$M$15:$M$22,MATCH($B4854,Übersicht!$A$15:$A$22,0))),0)&gt;1,DAY($A4854)&gt;=IFERROR(N(INDEX(Übersicht!$M$15:$M$22,MATCH($B4854,Übersicht!$A$15:$A$22,0))),0)),1,0),1))</f>
        <v/>
      </c>
    </row>
    <row r="4855">
      <c r="A4855" s="92" t="n"/>
      <c r="B4855" s="55" t="n"/>
      <c r="C4855" s="55" t="n"/>
      <c r="D4855" s="55" t="n"/>
      <c r="E4855" s="93" t="n"/>
      <c r="F4855" s="94" t="n"/>
      <c r="G4855" s="94" t="n"/>
      <c r="H4855" s="94" t="n"/>
      <c r="I4855" s="94" t="n"/>
      <c r="J4855" s="55" t="n"/>
      <c r="K4855" s="95" t="n"/>
      <c r="L4855" s="116">
        <f>IF($A4855="","",DATE(YEAR($A4855),MONTH($A4855)+IF(AND(IFERROR(N(INDEX(Übersicht!$M$15:$M$22,MATCH($B4855,Übersicht!$A$15:$A$22,0))),0)&gt;1,DAY($A4855)&gt;=IFERROR(N(INDEX(Übersicht!$M$15:$M$22,MATCH($B4855,Übersicht!$A$15:$A$22,0))),0)),1,0),1))</f>
        <v/>
      </c>
    </row>
    <row r="4856">
      <c r="A4856" s="92" t="n"/>
      <c r="B4856" s="55" t="n"/>
      <c r="C4856" s="55" t="n"/>
      <c r="D4856" s="55" t="n"/>
      <c r="E4856" s="93" t="n"/>
      <c r="F4856" s="94" t="n"/>
      <c r="G4856" s="94" t="n"/>
      <c r="H4856" s="94" t="n"/>
      <c r="I4856" s="94" t="n"/>
      <c r="J4856" s="55" t="n"/>
      <c r="K4856" s="95" t="n"/>
      <c r="L4856" s="116">
        <f>IF($A4856="","",DATE(YEAR($A4856),MONTH($A4856)+IF(AND(IFERROR(N(INDEX(Übersicht!$M$15:$M$22,MATCH($B4856,Übersicht!$A$15:$A$22,0))),0)&gt;1,DAY($A4856)&gt;=IFERROR(N(INDEX(Übersicht!$M$15:$M$22,MATCH($B4856,Übersicht!$A$15:$A$22,0))),0)),1,0),1))</f>
        <v/>
      </c>
    </row>
    <row r="4857">
      <c r="A4857" s="92" t="n"/>
      <c r="B4857" s="55" t="n"/>
      <c r="C4857" s="55" t="n"/>
      <c r="D4857" s="55" t="n"/>
      <c r="E4857" s="93" t="n"/>
      <c r="F4857" s="94" t="n"/>
      <c r="G4857" s="94" t="n"/>
      <c r="H4857" s="94" t="n"/>
      <c r="I4857" s="94" t="n"/>
      <c r="J4857" s="55" t="n"/>
      <c r="K4857" s="95" t="n"/>
      <c r="L4857" s="116">
        <f>IF($A4857="","",DATE(YEAR($A4857),MONTH($A4857)+IF(AND(IFERROR(N(INDEX(Übersicht!$M$15:$M$22,MATCH($B4857,Übersicht!$A$15:$A$22,0))),0)&gt;1,DAY($A4857)&gt;=IFERROR(N(INDEX(Übersicht!$M$15:$M$22,MATCH($B4857,Übersicht!$A$15:$A$22,0))),0)),1,0),1))</f>
        <v/>
      </c>
    </row>
    <row r="4858">
      <c r="A4858" s="92" t="n"/>
      <c r="B4858" s="55" t="n"/>
      <c r="C4858" s="55" t="n"/>
      <c r="D4858" s="55" t="n"/>
      <c r="E4858" s="93" t="n"/>
      <c r="F4858" s="94" t="n"/>
      <c r="G4858" s="94" t="n"/>
      <c r="H4858" s="94" t="n"/>
      <c r="I4858" s="94" t="n"/>
      <c r="J4858" s="55" t="n"/>
      <c r="K4858" s="95" t="n"/>
      <c r="L4858" s="116">
        <f>IF($A4858="","",DATE(YEAR($A4858),MONTH($A4858)+IF(AND(IFERROR(N(INDEX(Übersicht!$M$15:$M$22,MATCH($B4858,Übersicht!$A$15:$A$22,0))),0)&gt;1,DAY($A4858)&gt;=IFERROR(N(INDEX(Übersicht!$M$15:$M$22,MATCH($B4858,Übersicht!$A$15:$A$22,0))),0)),1,0),1))</f>
        <v/>
      </c>
    </row>
    <row r="4859">
      <c r="A4859" s="92" t="n"/>
      <c r="B4859" s="55" t="n"/>
      <c r="C4859" s="55" t="n"/>
      <c r="D4859" s="55" t="n"/>
      <c r="E4859" s="93" t="n"/>
      <c r="F4859" s="94" t="n"/>
      <c r="G4859" s="94" t="n"/>
      <c r="H4859" s="94" t="n"/>
      <c r="I4859" s="94" t="n"/>
      <c r="J4859" s="55" t="n"/>
      <c r="K4859" s="95" t="n"/>
      <c r="L4859" s="116">
        <f>IF($A4859="","",DATE(YEAR($A4859),MONTH($A4859)+IF(AND(IFERROR(N(INDEX(Übersicht!$M$15:$M$22,MATCH($B4859,Übersicht!$A$15:$A$22,0))),0)&gt;1,DAY($A4859)&gt;=IFERROR(N(INDEX(Übersicht!$M$15:$M$22,MATCH($B4859,Übersicht!$A$15:$A$22,0))),0)),1,0),1))</f>
        <v/>
      </c>
    </row>
    <row r="4860">
      <c r="A4860" s="92" t="n"/>
      <c r="B4860" s="55" t="n"/>
      <c r="C4860" s="55" t="n"/>
      <c r="D4860" s="55" t="n"/>
      <c r="E4860" s="93" t="n"/>
      <c r="F4860" s="94" t="n"/>
      <c r="G4860" s="94" t="n"/>
      <c r="H4860" s="94" t="n"/>
      <c r="I4860" s="94" t="n"/>
      <c r="J4860" s="55" t="n"/>
      <c r="K4860" s="95" t="n"/>
      <c r="L4860" s="116">
        <f>IF($A4860="","",DATE(YEAR($A4860),MONTH($A4860)+IF(AND(IFERROR(N(INDEX(Übersicht!$M$15:$M$22,MATCH($B4860,Übersicht!$A$15:$A$22,0))),0)&gt;1,DAY($A4860)&gt;=IFERROR(N(INDEX(Übersicht!$M$15:$M$22,MATCH($B4860,Übersicht!$A$15:$A$22,0))),0)),1,0),1))</f>
        <v/>
      </c>
    </row>
    <row r="4861">
      <c r="A4861" s="92" t="n"/>
      <c r="B4861" s="55" t="n"/>
      <c r="C4861" s="55" t="n"/>
      <c r="D4861" s="55" t="n"/>
      <c r="E4861" s="93" t="n"/>
      <c r="F4861" s="94" t="n"/>
      <c r="G4861" s="94" t="n"/>
      <c r="H4861" s="94" t="n"/>
      <c r="I4861" s="94" t="n"/>
      <c r="J4861" s="55" t="n"/>
      <c r="K4861" s="95" t="n"/>
      <c r="L4861" s="116">
        <f>IF($A4861="","",DATE(YEAR($A4861),MONTH($A4861)+IF(AND(IFERROR(N(INDEX(Übersicht!$M$15:$M$22,MATCH($B4861,Übersicht!$A$15:$A$22,0))),0)&gt;1,DAY($A4861)&gt;=IFERROR(N(INDEX(Übersicht!$M$15:$M$22,MATCH($B4861,Übersicht!$A$15:$A$22,0))),0)),1,0),1))</f>
        <v/>
      </c>
    </row>
    <row r="4862">
      <c r="A4862" s="92" t="n"/>
      <c r="B4862" s="55" t="n"/>
      <c r="C4862" s="55" t="n"/>
      <c r="D4862" s="55" t="n"/>
      <c r="E4862" s="93" t="n"/>
      <c r="F4862" s="94" t="n"/>
      <c r="G4862" s="94" t="n"/>
      <c r="H4862" s="94" t="n"/>
      <c r="I4862" s="94" t="n"/>
      <c r="J4862" s="55" t="n"/>
      <c r="K4862" s="95" t="n"/>
      <c r="L4862" s="116">
        <f>IF($A4862="","",DATE(YEAR($A4862),MONTH($A4862)+IF(AND(IFERROR(N(INDEX(Übersicht!$M$15:$M$22,MATCH($B4862,Übersicht!$A$15:$A$22,0))),0)&gt;1,DAY($A4862)&gt;=IFERROR(N(INDEX(Übersicht!$M$15:$M$22,MATCH($B4862,Übersicht!$A$15:$A$22,0))),0)),1,0),1))</f>
        <v/>
      </c>
    </row>
    <row r="4863">
      <c r="A4863" s="92" t="n"/>
      <c r="B4863" s="55" t="n"/>
      <c r="C4863" s="55" t="n"/>
      <c r="D4863" s="55" t="n"/>
      <c r="E4863" s="93" t="n"/>
      <c r="F4863" s="94" t="n"/>
      <c r="G4863" s="94" t="n"/>
      <c r="H4863" s="94" t="n"/>
      <c r="I4863" s="94" t="n"/>
      <c r="J4863" s="55" t="n"/>
      <c r="K4863" s="95" t="n"/>
      <c r="L4863" s="116">
        <f>IF($A4863="","",DATE(YEAR($A4863),MONTH($A4863)+IF(AND(IFERROR(N(INDEX(Übersicht!$M$15:$M$22,MATCH($B4863,Übersicht!$A$15:$A$22,0))),0)&gt;1,DAY($A4863)&gt;=IFERROR(N(INDEX(Übersicht!$M$15:$M$22,MATCH($B4863,Übersicht!$A$15:$A$22,0))),0)),1,0),1))</f>
        <v/>
      </c>
    </row>
    <row r="4864">
      <c r="A4864" s="92" t="n"/>
      <c r="B4864" s="55" t="n"/>
      <c r="C4864" s="55" t="n"/>
      <c r="D4864" s="55" t="n"/>
      <c r="E4864" s="93" t="n"/>
      <c r="F4864" s="94" t="n"/>
      <c r="G4864" s="94" t="n"/>
      <c r="H4864" s="94" t="n"/>
      <c r="I4864" s="94" t="n"/>
      <c r="J4864" s="55" t="n"/>
      <c r="K4864" s="95" t="n"/>
      <c r="L4864" s="116">
        <f>IF($A4864="","",DATE(YEAR($A4864),MONTH($A4864)+IF(AND(IFERROR(N(INDEX(Übersicht!$M$15:$M$22,MATCH($B4864,Übersicht!$A$15:$A$22,0))),0)&gt;1,DAY($A4864)&gt;=IFERROR(N(INDEX(Übersicht!$M$15:$M$22,MATCH($B4864,Übersicht!$A$15:$A$22,0))),0)),1,0),1))</f>
        <v/>
      </c>
    </row>
    <row r="4865">
      <c r="A4865" s="92" t="n"/>
      <c r="B4865" s="55" t="n"/>
      <c r="C4865" s="55" t="n"/>
      <c r="D4865" s="55" t="n"/>
      <c r="E4865" s="93" t="n"/>
      <c r="F4865" s="94" t="n"/>
      <c r="G4865" s="94" t="n"/>
      <c r="H4865" s="94" t="n"/>
      <c r="I4865" s="94" t="n"/>
      <c r="J4865" s="55" t="n"/>
      <c r="K4865" s="95" t="n"/>
      <c r="L4865" s="116">
        <f>IF($A4865="","",DATE(YEAR($A4865),MONTH($A4865)+IF(AND(IFERROR(N(INDEX(Übersicht!$M$15:$M$22,MATCH($B4865,Übersicht!$A$15:$A$22,0))),0)&gt;1,DAY($A4865)&gt;=IFERROR(N(INDEX(Übersicht!$M$15:$M$22,MATCH($B4865,Übersicht!$A$15:$A$22,0))),0)),1,0),1))</f>
        <v/>
      </c>
    </row>
    <row r="4866">
      <c r="A4866" s="92" t="n"/>
      <c r="B4866" s="55" t="n"/>
      <c r="C4866" s="55" t="n"/>
      <c r="D4866" s="55" t="n"/>
      <c r="E4866" s="93" t="n"/>
      <c r="F4866" s="94" t="n"/>
      <c r="G4866" s="94" t="n"/>
      <c r="H4866" s="94" t="n"/>
      <c r="I4866" s="94" t="n"/>
      <c r="J4866" s="55" t="n"/>
      <c r="K4866" s="95" t="n"/>
      <c r="L4866" s="116">
        <f>IF($A4866="","",DATE(YEAR($A4866),MONTH($A4866)+IF(AND(IFERROR(N(INDEX(Übersicht!$M$15:$M$22,MATCH($B4866,Übersicht!$A$15:$A$22,0))),0)&gt;1,DAY($A4866)&gt;=IFERROR(N(INDEX(Übersicht!$M$15:$M$22,MATCH($B4866,Übersicht!$A$15:$A$22,0))),0)),1,0),1))</f>
        <v/>
      </c>
    </row>
    <row r="4867">
      <c r="A4867" s="92" t="n"/>
      <c r="B4867" s="55" t="n"/>
      <c r="C4867" s="55" t="n"/>
      <c r="D4867" s="55" t="n"/>
      <c r="E4867" s="93" t="n"/>
      <c r="F4867" s="94" t="n"/>
      <c r="G4867" s="94" t="n"/>
      <c r="H4867" s="94" t="n"/>
      <c r="I4867" s="94" t="n"/>
      <c r="J4867" s="55" t="n"/>
      <c r="K4867" s="95" t="n"/>
      <c r="L4867" s="116">
        <f>IF($A4867="","",DATE(YEAR($A4867),MONTH($A4867)+IF(AND(IFERROR(N(INDEX(Übersicht!$M$15:$M$22,MATCH($B4867,Übersicht!$A$15:$A$22,0))),0)&gt;1,DAY($A4867)&gt;=IFERROR(N(INDEX(Übersicht!$M$15:$M$22,MATCH($B4867,Übersicht!$A$15:$A$22,0))),0)),1,0),1))</f>
        <v/>
      </c>
    </row>
    <row r="4868">
      <c r="A4868" s="92" t="n"/>
      <c r="B4868" s="55" t="n"/>
      <c r="C4868" s="55" t="n"/>
      <c r="D4868" s="55" t="n"/>
      <c r="E4868" s="93" t="n"/>
      <c r="F4868" s="94" t="n"/>
      <c r="G4868" s="94" t="n"/>
      <c r="H4868" s="94" t="n"/>
      <c r="I4868" s="94" t="n"/>
      <c r="J4868" s="55" t="n"/>
      <c r="K4868" s="95" t="n"/>
      <c r="L4868" s="116">
        <f>IF($A4868="","",DATE(YEAR($A4868),MONTH($A4868)+IF(AND(IFERROR(N(INDEX(Übersicht!$M$15:$M$22,MATCH($B4868,Übersicht!$A$15:$A$22,0))),0)&gt;1,DAY($A4868)&gt;=IFERROR(N(INDEX(Übersicht!$M$15:$M$22,MATCH($B4868,Übersicht!$A$15:$A$22,0))),0)),1,0),1))</f>
        <v/>
      </c>
    </row>
    <row r="4869">
      <c r="A4869" s="92" t="n"/>
      <c r="B4869" s="55" t="n"/>
      <c r="C4869" s="55" t="n"/>
      <c r="D4869" s="55" t="n"/>
      <c r="E4869" s="93" t="n"/>
      <c r="F4869" s="94" t="n"/>
      <c r="G4869" s="94" t="n"/>
      <c r="H4869" s="94" t="n"/>
      <c r="I4869" s="94" t="n"/>
      <c r="J4869" s="55" t="n"/>
      <c r="K4869" s="95" t="n"/>
      <c r="L4869" s="116">
        <f>IF($A4869="","",DATE(YEAR($A4869),MONTH($A4869)+IF(AND(IFERROR(N(INDEX(Übersicht!$M$15:$M$22,MATCH($B4869,Übersicht!$A$15:$A$22,0))),0)&gt;1,DAY($A4869)&gt;=IFERROR(N(INDEX(Übersicht!$M$15:$M$22,MATCH($B4869,Übersicht!$A$15:$A$22,0))),0)),1,0),1))</f>
        <v/>
      </c>
    </row>
    <row r="4870">
      <c r="A4870" s="92" t="n"/>
      <c r="B4870" s="55" t="n"/>
      <c r="C4870" s="55" t="n"/>
      <c r="D4870" s="55" t="n"/>
      <c r="E4870" s="93" t="n"/>
      <c r="F4870" s="94" t="n"/>
      <c r="G4870" s="94" t="n"/>
      <c r="H4870" s="94" t="n"/>
      <c r="I4870" s="94" t="n"/>
      <c r="J4870" s="55" t="n"/>
      <c r="K4870" s="95" t="n"/>
      <c r="L4870" s="116">
        <f>IF($A4870="","",DATE(YEAR($A4870),MONTH($A4870)+IF(AND(IFERROR(N(INDEX(Übersicht!$M$15:$M$22,MATCH($B4870,Übersicht!$A$15:$A$22,0))),0)&gt;1,DAY($A4870)&gt;=IFERROR(N(INDEX(Übersicht!$M$15:$M$22,MATCH($B4870,Übersicht!$A$15:$A$22,0))),0)),1,0),1))</f>
        <v/>
      </c>
    </row>
    <row r="4871">
      <c r="A4871" s="92" t="n"/>
      <c r="B4871" s="55" t="n"/>
      <c r="C4871" s="55" t="n"/>
      <c r="D4871" s="55" t="n"/>
      <c r="E4871" s="93" t="n"/>
      <c r="F4871" s="94" t="n"/>
      <c r="G4871" s="94" t="n"/>
      <c r="H4871" s="94" t="n"/>
      <c r="I4871" s="94" t="n"/>
      <c r="J4871" s="55" t="n"/>
      <c r="K4871" s="95" t="n"/>
      <c r="L4871" s="116">
        <f>IF($A4871="","",DATE(YEAR($A4871),MONTH($A4871)+IF(AND(IFERROR(N(INDEX(Übersicht!$M$15:$M$22,MATCH($B4871,Übersicht!$A$15:$A$22,0))),0)&gt;1,DAY($A4871)&gt;=IFERROR(N(INDEX(Übersicht!$M$15:$M$22,MATCH($B4871,Übersicht!$A$15:$A$22,0))),0)),1,0),1))</f>
        <v/>
      </c>
    </row>
    <row r="4872">
      <c r="A4872" s="92" t="n"/>
      <c r="B4872" s="55" t="n"/>
      <c r="C4872" s="55" t="n"/>
      <c r="D4872" s="55" t="n"/>
      <c r="E4872" s="93" t="n"/>
      <c r="F4872" s="94" t="n"/>
      <c r="G4872" s="94" t="n"/>
      <c r="H4872" s="94" t="n"/>
      <c r="I4872" s="94" t="n"/>
      <c r="J4872" s="55" t="n"/>
      <c r="K4872" s="95" t="n"/>
      <c r="L4872" s="116">
        <f>IF($A4872="","",DATE(YEAR($A4872),MONTH($A4872)+IF(AND(IFERROR(N(INDEX(Übersicht!$M$15:$M$22,MATCH($B4872,Übersicht!$A$15:$A$22,0))),0)&gt;1,DAY($A4872)&gt;=IFERROR(N(INDEX(Übersicht!$M$15:$M$22,MATCH($B4872,Übersicht!$A$15:$A$22,0))),0)),1,0),1))</f>
        <v/>
      </c>
    </row>
    <row r="4873">
      <c r="A4873" s="92" t="n"/>
      <c r="B4873" s="55" t="n"/>
      <c r="C4873" s="55" t="n"/>
      <c r="D4873" s="55" t="n"/>
      <c r="E4873" s="93" t="n"/>
      <c r="F4873" s="94" t="n"/>
      <c r="G4873" s="94" t="n"/>
      <c r="H4873" s="94" t="n"/>
      <c r="I4873" s="94" t="n"/>
      <c r="J4873" s="55" t="n"/>
      <c r="K4873" s="95" t="n"/>
      <c r="L4873" s="116">
        <f>IF($A4873="","",DATE(YEAR($A4873),MONTH($A4873)+IF(AND(IFERROR(N(INDEX(Übersicht!$M$15:$M$22,MATCH($B4873,Übersicht!$A$15:$A$22,0))),0)&gt;1,DAY($A4873)&gt;=IFERROR(N(INDEX(Übersicht!$M$15:$M$22,MATCH($B4873,Übersicht!$A$15:$A$22,0))),0)),1,0),1))</f>
        <v/>
      </c>
    </row>
    <row r="4874">
      <c r="A4874" s="92" t="n"/>
      <c r="B4874" s="55" t="n"/>
      <c r="C4874" s="55" t="n"/>
      <c r="D4874" s="55" t="n"/>
      <c r="E4874" s="93" t="n"/>
      <c r="F4874" s="94" t="n"/>
      <c r="G4874" s="94" t="n"/>
      <c r="H4874" s="94" t="n"/>
      <c r="I4874" s="94" t="n"/>
      <c r="J4874" s="55" t="n"/>
      <c r="K4874" s="95" t="n"/>
      <c r="L4874" s="116">
        <f>IF($A4874="","",DATE(YEAR($A4874),MONTH($A4874)+IF(AND(IFERROR(N(INDEX(Übersicht!$M$15:$M$22,MATCH($B4874,Übersicht!$A$15:$A$22,0))),0)&gt;1,DAY($A4874)&gt;=IFERROR(N(INDEX(Übersicht!$M$15:$M$22,MATCH($B4874,Übersicht!$A$15:$A$22,0))),0)),1,0),1))</f>
        <v/>
      </c>
    </row>
    <row r="4875">
      <c r="A4875" s="92" t="n"/>
      <c r="B4875" s="55" t="n"/>
      <c r="C4875" s="55" t="n"/>
      <c r="D4875" s="55" t="n"/>
      <c r="E4875" s="93" t="n"/>
      <c r="F4875" s="94" t="n"/>
      <c r="G4875" s="94" t="n"/>
      <c r="H4875" s="94" t="n"/>
      <c r="I4875" s="94" t="n"/>
      <c r="J4875" s="55" t="n"/>
      <c r="K4875" s="95" t="n"/>
      <c r="L4875" s="116">
        <f>IF($A4875="","",DATE(YEAR($A4875),MONTH($A4875)+IF(AND(IFERROR(N(INDEX(Übersicht!$M$15:$M$22,MATCH($B4875,Übersicht!$A$15:$A$22,0))),0)&gt;1,DAY($A4875)&gt;=IFERROR(N(INDEX(Übersicht!$M$15:$M$22,MATCH($B4875,Übersicht!$A$15:$A$22,0))),0)),1,0),1))</f>
        <v/>
      </c>
    </row>
    <row r="4876">
      <c r="A4876" s="92" t="n"/>
      <c r="B4876" s="55" t="n"/>
      <c r="C4876" s="55" t="n"/>
      <c r="D4876" s="55" t="n"/>
      <c r="E4876" s="93" t="n"/>
      <c r="F4876" s="94" t="n"/>
      <c r="G4876" s="94" t="n"/>
      <c r="H4876" s="94" t="n"/>
      <c r="I4876" s="94" t="n"/>
      <c r="J4876" s="55" t="n"/>
      <c r="K4876" s="95" t="n"/>
      <c r="L4876" s="116">
        <f>IF($A4876="","",DATE(YEAR($A4876),MONTH($A4876)+IF(AND(IFERROR(N(INDEX(Übersicht!$M$15:$M$22,MATCH($B4876,Übersicht!$A$15:$A$22,0))),0)&gt;1,DAY($A4876)&gt;=IFERROR(N(INDEX(Übersicht!$M$15:$M$22,MATCH($B4876,Übersicht!$A$15:$A$22,0))),0)),1,0),1))</f>
        <v/>
      </c>
    </row>
    <row r="4877">
      <c r="A4877" s="92" t="n"/>
      <c r="B4877" s="55" t="n"/>
      <c r="C4877" s="55" t="n"/>
      <c r="D4877" s="55" t="n"/>
      <c r="E4877" s="93" t="n"/>
      <c r="F4877" s="94" t="n"/>
      <c r="G4877" s="94" t="n"/>
      <c r="H4877" s="94" t="n"/>
      <c r="I4877" s="94" t="n"/>
      <c r="J4877" s="55" t="n"/>
      <c r="K4877" s="95" t="n"/>
      <c r="L4877" s="116">
        <f>IF($A4877="","",DATE(YEAR($A4877),MONTH($A4877)+IF(AND(IFERROR(N(INDEX(Übersicht!$M$15:$M$22,MATCH($B4877,Übersicht!$A$15:$A$22,0))),0)&gt;1,DAY($A4877)&gt;=IFERROR(N(INDEX(Übersicht!$M$15:$M$22,MATCH($B4877,Übersicht!$A$15:$A$22,0))),0)),1,0),1))</f>
        <v/>
      </c>
    </row>
    <row r="4878">
      <c r="A4878" s="92" t="n"/>
      <c r="B4878" s="55" t="n"/>
      <c r="C4878" s="55" t="n"/>
      <c r="D4878" s="55" t="n"/>
      <c r="E4878" s="93" t="n"/>
      <c r="F4878" s="94" t="n"/>
      <c r="G4878" s="94" t="n"/>
      <c r="H4878" s="94" t="n"/>
      <c r="I4878" s="94" t="n"/>
      <c r="J4878" s="55" t="n"/>
      <c r="K4878" s="95" t="n"/>
      <c r="L4878" s="116">
        <f>IF($A4878="","",DATE(YEAR($A4878),MONTH($A4878)+IF(AND(IFERROR(N(INDEX(Übersicht!$M$15:$M$22,MATCH($B4878,Übersicht!$A$15:$A$22,0))),0)&gt;1,DAY($A4878)&gt;=IFERROR(N(INDEX(Übersicht!$M$15:$M$22,MATCH($B4878,Übersicht!$A$15:$A$22,0))),0)),1,0),1))</f>
        <v/>
      </c>
    </row>
    <row r="4879">
      <c r="A4879" s="92" t="n"/>
      <c r="B4879" s="55" t="n"/>
      <c r="C4879" s="55" t="n"/>
      <c r="D4879" s="55" t="n"/>
      <c r="E4879" s="93" t="n"/>
      <c r="F4879" s="94" t="n"/>
      <c r="G4879" s="94" t="n"/>
      <c r="H4879" s="94" t="n"/>
      <c r="I4879" s="94" t="n"/>
      <c r="J4879" s="55" t="n"/>
      <c r="K4879" s="95" t="n"/>
      <c r="L4879" s="116">
        <f>IF($A4879="","",DATE(YEAR($A4879),MONTH($A4879)+IF(AND(IFERROR(N(INDEX(Übersicht!$M$15:$M$22,MATCH($B4879,Übersicht!$A$15:$A$22,0))),0)&gt;1,DAY($A4879)&gt;=IFERROR(N(INDEX(Übersicht!$M$15:$M$22,MATCH($B4879,Übersicht!$A$15:$A$22,0))),0)),1,0),1))</f>
        <v/>
      </c>
    </row>
    <row r="4880">
      <c r="A4880" s="92" t="n"/>
      <c r="B4880" s="55" t="n"/>
      <c r="C4880" s="55" t="n"/>
      <c r="D4880" s="55" t="n"/>
      <c r="E4880" s="93" t="n"/>
      <c r="F4880" s="94" t="n"/>
      <c r="G4880" s="94" t="n"/>
      <c r="H4880" s="94" t="n"/>
      <c r="I4880" s="94" t="n"/>
      <c r="J4880" s="55" t="n"/>
      <c r="K4880" s="95" t="n"/>
      <c r="L4880" s="116">
        <f>IF($A4880="","",DATE(YEAR($A4880),MONTH($A4880)+IF(AND(IFERROR(N(INDEX(Übersicht!$M$15:$M$22,MATCH($B4880,Übersicht!$A$15:$A$22,0))),0)&gt;1,DAY($A4880)&gt;=IFERROR(N(INDEX(Übersicht!$M$15:$M$22,MATCH($B4880,Übersicht!$A$15:$A$22,0))),0)),1,0),1))</f>
        <v/>
      </c>
    </row>
    <row r="4881">
      <c r="A4881" s="92" t="n"/>
      <c r="B4881" s="55" t="n"/>
      <c r="C4881" s="55" t="n"/>
      <c r="D4881" s="55" t="n"/>
      <c r="E4881" s="93" t="n"/>
      <c r="F4881" s="94" t="n"/>
      <c r="G4881" s="94" t="n"/>
      <c r="H4881" s="94" t="n"/>
      <c r="I4881" s="94" t="n"/>
      <c r="J4881" s="55" t="n"/>
      <c r="K4881" s="95" t="n"/>
      <c r="L4881" s="116">
        <f>IF($A4881="","",DATE(YEAR($A4881),MONTH($A4881)+IF(AND(IFERROR(N(INDEX(Übersicht!$M$15:$M$22,MATCH($B4881,Übersicht!$A$15:$A$22,0))),0)&gt;1,DAY($A4881)&gt;=IFERROR(N(INDEX(Übersicht!$M$15:$M$22,MATCH($B4881,Übersicht!$A$15:$A$22,0))),0)),1,0),1))</f>
        <v/>
      </c>
    </row>
    <row r="4882">
      <c r="A4882" s="92" t="n"/>
      <c r="B4882" s="55" t="n"/>
      <c r="C4882" s="55" t="n"/>
      <c r="D4882" s="55" t="n"/>
      <c r="E4882" s="93" t="n"/>
      <c r="F4882" s="94" t="n"/>
      <c r="G4882" s="94" t="n"/>
      <c r="H4882" s="94" t="n"/>
      <c r="I4882" s="94" t="n"/>
      <c r="J4882" s="55" t="n"/>
      <c r="K4882" s="95" t="n"/>
      <c r="L4882" s="116">
        <f>IF($A4882="","",DATE(YEAR($A4882),MONTH($A4882)+IF(AND(IFERROR(N(INDEX(Übersicht!$M$15:$M$22,MATCH($B4882,Übersicht!$A$15:$A$22,0))),0)&gt;1,DAY($A4882)&gt;=IFERROR(N(INDEX(Übersicht!$M$15:$M$22,MATCH($B4882,Übersicht!$A$15:$A$22,0))),0)),1,0),1))</f>
        <v/>
      </c>
    </row>
    <row r="4883">
      <c r="A4883" s="92" t="n"/>
      <c r="B4883" s="55" t="n"/>
      <c r="C4883" s="55" t="n"/>
      <c r="D4883" s="55" t="n"/>
      <c r="E4883" s="93" t="n"/>
      <c r="F4883" s="94" t="n"/>
      <c r="G4883" s="94" t="n"/>
      <c r="H4883" s="94" t="n"/>
      <c r="I4883" s="94" t="n"/>
      <c r="J4883" s="55" t="n"/>
      <c r="K4883" s="95" t="n"/>
      <c r="L4883" s="116">
        <f>IF($A4883="","",DATE(YEAR($A4883),MONTH($A4883)+IF(AND(IFERROR(N(INDEX(Übersicht!$M$15:$M$22,MATCH($B4883,Übersicht!$A$15:$A$22,0))),0)&gt;1,DAY($A4883)&gt;=IFERROR(N(INDEX(Übersicht!$M$15:$M$22,MATCH($B4883,Übersicht!$A$15:$A$22,0))),0)),1,0),1))</f>
        <v/>
      </c>
    </row>
    <row r="4884">
      <c r="A4884" s="92" t="n"/>
      <c r="B4884" s="55" t="n"/>
      <c r="C4884" s="55" t="n"/>
      <c r="D4884" s="55" t="n"/>
      <c r="E4884" s="93" t="n"/>
      <c r="F4884" s="94" t="n"/>
      <c r="G4884" s="94" t="n"/>
      <c r="H4884" s="94" t="n"/>
      <c r="I4884" s="94" t="n"/>
      <c r="J4884" s="55" t="n"/>
      <c r="K4884" s="95" t="n"/>
      <c r="L4884" s="116">
        <f>IF($A4884="","",DATE(YEAR($A4884),MONTH($A4884)+IF(AND(IFERROR(N(INDEX(Übersicht!$M$15:$M$22,MATCH($B4884,Übersicht!$A$15:$A$22,0))),0)&gt;1,DAY($A4884)&gt;=IFERROR(N(INDEX(Übersicht!$M$15:$M$22,MATCH($B4884,Übersicht!$A$15:$A$22,0))),0)),1,0),1))</f>
        <v/>
      </c>
    </row>
    <row r="4885">
      <c r="A4885" s="92" t="n"/>
      <c r="B4885" s="55" t="n"/>
      <c r="C4885" s="55" t="n"/>
      <c r="D4885" s="55" t="n"/>
      <c r="E4885" s="93" t="n"/>
      <c r="F4885" s="94" t="n"/>
      <c r="G4885" s="94" t="n"/>
      <c r="H4885" s="94" t="n"/>
      <c r="I4885" s="94" t="n"/>
      <c r="J4885" s="55" t="n"/>
      <c r="K4885" s="95" t="n"/>
      <c r="L4885" s="116">
        <f>IF($A4885="","",DATE(YEAR($A4885),MONTH($A4885)+IF(AND(IFERROR(N(INDEX(Übersicht!$M$15:$M$22,MATCH($B4885,Übersicht!$A$15:$A$22,0))),0)&gt;1,DAY($A4885)&gt;=IFERROR(N(INDEX(Übersicht!$M$15:$M$22,MATCH($B4885,Übersicht!$A$15:$A$22,0))),0)),1,0),1))</f>
        <v/>
      </c>
    </row>
    <row r="4886">
      <c r="A4886" s="92" t="n"/>
      <c r="B4886" s="55" t="n"/>
      <c r="C4886" s="55" t="n"/>
      <c r="D4886" s="55" t="n"/>
      <c r="E4886" s="93" t="n"/>
      <c r="F4886" s="94" t="n"/>
      <c r="G4886" s="94" t="n"/>
      <c r="H4886" s="94" t="n"/>
      <c r="I4886" s="94" t="n"/>
      <c r="J4886" s="55" t="n"/>
      <c r="K4886" s="95" t="n"/>
      <c r="L4886" s="116">
        <f>IF($A4886="","",DATE(YEAR($A4886),MONTH($A4886)+IF(AND(IFERROR(N(INDEX(Übersicht!$M$15:$M$22,MATCH($B4886,Übersicht!$A$15:$A$22,0))),0)&gt;1,DAY($A4886)&gt;=IFERROR(N(INDEX(Übersicht!$M$15:$M$22,MATCH($B4886,Übersicht!$A$15:$A$22,0))),0)),1,0),1))</f>
        <v/>
      </c>
    </row>
    <row r="4887">
      <c r="A4887" s="92" t="n"/>
      <c r="B4887" s="55" t="n"/>
      <c r="C4887" s="55" t="n"/>
      <c r="D4887" s="55" t="n"/>
      <c r="E4887" s="93" t="n"/>
      <c r="F4887" s="94" t="n"/>
      <c r="G4887" s="94" t="n"/>
      <c r="H4887" s="94" t="n"/>
      <c r="I4887" s="94" t="n"/>
      <c r="J4887" s="55" t="n"/>
      <c r="K4887" s="95" t="n"/>
      <c r="L4887" s="116">
        <f>IF($A4887="","",DATE(YEAR($A4887),MONTH($A4887)+IF(AND(IFERROR(N(INDEX(Übersicht!$M$15:$M$22,MATCH($B4887,Übersicht!$A$15:$A$22,0))),0)&gt;1,DAY($A4887)&gt;=IFERROR(N(INDEX(Übersicht!$M$15:$M$22,MATCH($B4887,Übersicht!$A$15:$A$22,0))),0)),1,0),1))</f>
        <v/>
      </c>
    </row>
    <row r="4888">
      <c r="A4888" s="92" t="n"/>
      <c r="B4888" s="55" t="n"/>
      <c r="C4888" s="55" t="n"/>
      <c r="D4888" s="55" t="n"/>
      <c r="E4888" s="93" t="n"/>
      <c r="F4888" s="94" t="n"/>
      <c r="G4888" s="94" t="n"/>
      <c r="H4888" s="94" t="n"/>
      <c r="I4888" s="94" t="n"/>
      <c r="J4888" s="55" t="n"/>
      <c r="K4888" s="95" t="n"/>
      <c r="L4888" s="116">
        <f>IF($A4888="","",DATE(YEAR($A4888),MONTH($A4888)+IF(AND(IFERROR(N(INDEX(Übersicht!$M$15:$M$22,MATCH($B4888,Übersicht!$A$15:$A$22,0))),0)&gt;1,DAY($A4888)&gt;=IFERROR(N(INDEX(Übersicht!$M$15:$M$22,MATCH($B4888,Übersicht!$A$15:$A$22,0))),0)),1,0),1))</f>
        <v/>
      </c>
    </row>
    <row r="4889">
      <c r="A4889" s="92" t="n"/>
      <c r="B4889" s="55" t="n"/>
      <c r="C4889" s="55" t="n"/>
      <c r="D4889" s="55" t="n"/>
      <c r="E4889" s="93" t="n"/>
      <c r="F4889" s="94" t="n"/>
      <c r="G4889" s="94" t="n"/>
      <c r="H4889" s="94" t="n"/>
      <c r="I4889" s="94" t="n"/>
      <c r="J4889" s="55" t="n"/>
      <c r="K4889" s="95" t="n"/>
      <c r="L4889" s="116">
        <f>IF($A4889="","",DATE(YEAR($A4889),MONTH($A4889)+IF(AND(IFERROR(N(INDEX(Übersicht!$M$15:$M$22,MATCH($B4889,Übersicht!$A$15:$A$22,0))),0)&gt;1,DAY($A4889)&gt;=IFERROR(N(INDEX(Übersicht!$M$15:$M$22,MATCH($B4889,Übersicht!$A$15:$A$22,0))),0)),1,0),1))</f>
        <v/>
      </c>
    </row>
    <row r="4890">
      <c r="A4890" s="92" t="n"/>
      <c r="B4890" s="55" t="n"/>
      <c r="C4890" s="55" t="n"/>
      <c r="D4890" s="55" t="n"/>
      <c r="E4890" s="93" t="n"/>
      <c r="F4890" s="94" t="n"/>
      <c r="G4890" s="94" t="n"/>
      <c r="H4890" s="94" t="n"/>
      <c r="I4890" s="94" t="n"/>
      <c r="J4890" s="55" t="n"/>
      <c r="K4890" s="95" t="n"/>
      <c r="L4890" s="116">
        <f>IF($A4890="","",DATE(YEAR($A4890),MONTH($A4890)+IF(AND(IFERROR(N(INDEX(Übersicht!$M$15:$M$22,MATCH($B4890,Übersicht!$A$15:$A$22,0))),0)&gt;1,DAY($A4890)&gt;=IFERROR(N(INDEX(Übersicht!$M$15:$M$22,MATCH($B4890,Übersicht!$A$15:$A$22,0))),0)),1,0),1))</f>
        <v/>
      </c>
    </row>
    <row r="4891">
      <c r="A4891" s="92" t="n"/>
      <c r="B4891" s="55" t="n"/>
      <c r="C4891" s="55" t="n"/>
      <c r="D4891" s="55" t="n"/>
      <c r="E4891" s="93" t="n"/>
      <c r="F4891" s="94" t="n"/>
      <c r="G4891" s="94" t="n"/>
      <c r="H4891" s="94" t="n"/>
      <c r="I4891" s="94" t="n"/>
      <c r="J4891" s="55" t="n"/>
      <c r="K4891" s="95" t="n"/>
      <c r="L4891" s="116">
        <f>IF($A4891="","",DATE(YEAR($A4891),MONTH($A4891)+IF(AND(IFERROR(N(INDEX(Übersicht!$M$15:$M$22,MATCH($B4891,Übersicht!$A$15:$A$22,0))),0)&gt;1,DAY($A4891)&gt;=IFERROR(N(INDEX(Übersicht!$M$15:$M$22,MATCH($B4891,Übersicht!$A$15:$A$22,0))),0)),1,0),1))</f>
        <v/>
      </c>
    </row>
    <row r="4892">
      <c r="A4892" s="92" t="n"/>
      <c r="B4892" s="55" t="n"/>
      <c r="C4892" s="55" t="n"/>
      <c r="D4892" s="55" t="n"/>
      <c r="E4892" s="93" t="n"/>
      <c r="F4892" s="94" t="n"/>
      <c r="G4892" s="94" t="n"/>
      <c r="H4892" s="94" t="n"/>
      <c r="I4892" s="94" t="n"/>
      <c r="J4892" s="55" t="n"/>
      <c r="K4892" s="95" t="n"/>
      <c r="L4892" s="116">
        <f>IF($A4892="","",DATE(YEAR($A4892),MONTH($A4892)+IF(AND(IFERROR(N(INDEX(Übersicht!$M$15:$M$22,MATCH($B4892,Übersicht!$A$15:$A$22,0))),0)&gt;1,DAY($A4892)&gt;=IFERROR(N(INDEX(Übersicht!$M$15:$M$22,MATCH($B4892,Übersicht!$A$15:$A$22,0))),0)),1,0),1))</f>
        <v/>
      </c>
    </row>
    <row r="4893">
      <c r="A4893" s="92" t="n"/>
      <c r="B4893" s="55" t="n"/>
      <c r="C4893" s="55" t="n"/>
      <c r="D4893" s="55" t="n"/>
      <c r="E4893" s="93" t="n"/>
      <c r="F4893" s="94" t="n"/>
      <c r="G4893" s="94" t="n"/>
      <c r="H4893" s="94" t="n"/>
      <c r="I4893" s="94" t="n"/>
      <c r="J4893" s="55" t="n"/>
      <c r="K4893" s="95" t="n"/>
      <c r="L4893" s="116">
        <f>IF($A4893="","",DATE(YEAR($A4893),MONTH($A4893)+IF(AND(IFERROR(N(INDEX(Übersicht!$M$15:$M$22,MATCH($B4893,Übersicht!$A$15:$A$22,0))),0)&gt;1,DAY($A4893)&gt;=IFERROR(N(INDEX(Übersicht!$M$15:$M$22,MATCH($B4893,Übersicht!$A$15:$A$22,0))),0)),1,0),1))</f>
        <v/>
      </c>
    </row>
    <row r="4894">
      <c r="A4894" s="92" t="n"/>
      <c r="B4894" s="55" t="n"/>
      <c r="C4894" s="55" t="n"/>
      <c r="D4894" s="55" t="n"/>
      <c r="E4894" s="93" t="n"/>
      <c r="F4894" s="94" t="n"/>
      <c r="G4894" s="94" t="n"/>
      <c r="H4894" s="94" t="n"/>
      <c r="I4894" s="94" t="n"/>
      <c r="J4894" s="55" t="n"/>
      <c r="K4894" s="95" t="n"/>
      <c r="L4894" s="116">
        <f>IF($A4894="","",DATE(YEAR($A4894),MONTH($A4894)+IF(AND(IFERROR(N(INDEX(Übersicht!$M$15:$M$22,MATCH($B4894,Übersicht!$A$15:$A$22,0))),0)&gt;1,DAY($A4894)&gt;=IFERROR(N(INDEX(Übersicht!$M$15:$M$22,MATCH($B4894,Übersicht!$A$15:$A$22,0))),0)),1,0),1))</f>
        <v/>
      </c>
    </row>
    <row r="4895">
      <c r="A4895" s="92" t="n"/>
      <c r="B4895" s="55" t="n"/>
      <c r="C4895" s="55" t="n"/>
      <c r="D4895" s="55" t="n"/>
      <c r="E4895" s="93" t="n"/>
      <c r="F4895" s="94" t="n"/>
      <c r="G4895" s="94" t="n"/>
      <c r="H4895" s="94" t="n"/>
      <c r="I4895" s="94" t="n"/>
      <c r="J4895" s="55" t="n"/>
      <c r="K4895" s="95" t="n"/>
      <c r="L4895" s="116">
        <f>IF($A4895="","",DATE(YEAR($A4895),MONTH($A4895)+IF(AND(IFERROR(N(INDEX(Übersicht!$M$15:$M$22,MATCH($B4895,Übersicht!$A$15:$A$22,0))),0)&gt;1,DAY($A4895)&gt;=IFERROR(N(INDEX(Übersicht!$M$15:$M$22,MATCH($B4895,Übersicht!$A$15:$A$22,0))),0)),1,0),1))</f>
        <v/>
      </c>
    </row>
    <row r="4896">
      <c r="A4896" s="92" t="n"/>
      <c r="B4896" s="55" t="n"/>
      <c r="C4896" s="55" t="n"/>
      <c r="D4896" s="55" t="n"/>
      <c r="E4896" s="93" t="n"/>
      <c r="F4896" s="94" t="n"/>
      <c r="G4896" s="94" t="n"/>
      <c r="H4896" s="94" t="n"/>
      <c r="I4896" s="94" t="n"/>
      <c r="J4896" s="55" t="n"/>
      <c r="K4896" s="95" t="n"/>
      <c r="L4896" s="116">
        <f>IF($A4896="","",DATE(YEAR($A4896),MONTH($A4896)+IF(AND(IFERROR(N(INDEX(Übersicht!$M$15:$M$22,MATCH($B4896,Übersicht!$A$15:$A$22,0))),0)&gt;1,DAY($A4896)&gt;=IFERROR(N(INDEX(Übersicht!$M$15:$M$22,MATCH($B4896,Übersicht!$A$15:$A$22,0))),0)),1,0),1))</f>
        <v/>
      </c>
    </row>
    <row r="4897">
      <c r="A4897" s="92" t="n"/>
      <c r="B4897" s="55" t="n"/>
      <c r="C4897" s="55" t="n"/>
      <c r="D4897" s="55" t="n"/>
      <c r="E4897" s="93" t="n"/>
      <c r="F4897" s="94" t="n"/>
      <c r="G4897" s="94" t="n"/>
      <c r="H4897" s="94" t="n"/>
      <c r="I4897" s="94" t="n"/>
      <c r="J4897" s="55" t="n"/>
      <c r="K4897" s="95" t="n"/>
      <c r="L4897" s="116">
        <f>IF($A4897="","",DATE(YEAR($A4897),MONTH($A4897)+IF(AND(IFERROR(N(INDEX(Übersicht!$M$15:$M$22,MATCH($B4897,Übersicht!$A$15:$A$22,0))),0)&gt;1,DAY($A4897)&gt;=IFERROR(N(INDEX(Übersicht!$M$15:$M$22,MATCH($B4897,Übersicht!$A$15:$A$22,0))),0)),1,0),1))</f>
        <v/>
      </c>
    </row>
    <row r="4898">
      <c r="A4898" s="92" t="n"/>
      <c r="B4898" s="55" t="n"/>
      <c r="C4898" s="55" t="n"/>
      <c r="D4898" s="55" t="n"/>
      <c r="E4898" s="93" t="n"/>
      <c r="F4898" s="94" t="n"/>
      <c r="G4898" s="94" t="n"/>
      <c r="H4898" s="94" t="n"/>
      <c r="I4898" s="94" t="n"/>
      <c r="J4898" s="55" t="n"/>
      <c r="K4898" s="95" t="n"/>
      <c r="L4898" s="116">
        <f>IF($A4898="","",DATE(YEAR($A4898),MONTH($A4898)+IF(AND(IFERROR(N(INDEX(Übersicht!$M$15:$M$22,MATCH($B4898,Übersicht!$A$15:$A$22,0))),0)&gt;1,DAY($A4898)&gt;=IFERROR(N(INDEX(Übersicht!$M$15:$M$22,MATCH($B4898,Übersicht!$A$15:$A$22,0))),0)),1,0),1))</f>
        <v/>
      </c>
    </row>
    <row r="4899">
      <c r="A4899" s="92" t="n"/>
      <c r="B4899" s="55" t="n"/>
      <c r="C4899" s="55" t="n"/>
      <c r="D4899" s="55" t="n"/>
      <c r="E4899" s="93" t="n"/>
      <c r="F4899" s="94" t="n"/>
      <c r="G4899" s="94" t="n"/>
      <c r="H4899" s="94" t="n"/>
      <c r="I4899" s="94" t="n"/>
      <c r="J4899" s="55" t="n"/>
      <c r="K4899" s="95" t="n"/>
      <c r="L4899" s="116">
        <f>IF($A4899="","",DATE(YEAR($A4899),MONTH($A4899)+IF(AND(IFERROR(N(INDEX(Übersicht!$M$15:$M$22,MATCH($B4899,Übersicht!$A$15:$A$22,0))),0)&gt;1,DAY($A4899)&gt;=IFERROR(N(INDEX(Übersicht!$M$15:$M$22,MATCH($B4899,Übersicht!$A$15:$A$22,0))),0)),1,0),1))</f>
        <v/>
      </c>
    </row>
    <row r="4900">
      <c r="A4900" s="92" t="n"/>
      <c r="B4900" s="55" t="n"/>
      <c r="C4900" s="55" t="n"/>
      <c r="D4900" s="55" t="n"/>
      <c r="E4900" s="93" t="n"/>
      <c r="F4900" s="94" t="n"/>
      <c r="G4900" s="94" t="n"/>
      <c r="H4900" s="94" t="n"/>
      <c r="I4900" s="94" t="n"/>
      <c r="J4900" s="55" t="n"/>
      <c r="K4900" s="95" t="n"/>
      <c r="L4900" s="116">
        <f>IF($A4900="","",DATE(YEAR($A4900),MONTH($A4900)+IF(AND(IFERROR(N(INDEX(Übersicht!$M$15:$M$22,MATCH($B4900,Übersicht!$A$15:$A$22,0))),0)&gt;1,DAY($A4900)&gt;=IFERROR(N(INDEX(Übersicht!$M$15:$M$22,MATCH($B4900,Übersicht!$A$15:$A$22,0))),0)),1,0),1))</f>
        <v/>
      </c>
    </row>
    <row r="4901">
      <c r="A4901" s="92" t="n"/>
      <c r="B4901" s="55" t="n"/>
      <c r="C4901" s="55" t="n"/>
      <c r="D4901" s="55" t="n"/>
      <c r="E4901" s="93" t="n"/>
      <c r="F4901" s="94" t="n"/>
      <c r="G4901" s="94" t="n"/>
      <c r="H4901" s="94" t="n"/>
      <c r="I4901" s="94" t="n"/>
      <c r="J4901" s="55" t="n"/>
      <c r="K4901" s="95" t="n"/>
      <c r="L4901" s="116">
        <f>IF($A4901="","",DATE(YEAR($A4901),MONTH($A4901)+IF(AND(IFERROR(N(INDEX(Übersicht!$M$15:$M$22,MATCH($B4901,Übersicht!$A$15:$A$22,0))),0)&gt;1,DAY($A4901)&gt;=IFERROR(N(INDEX(Übersicht!$M$15:$M$22,MATCH($B4901,Übersicht!$A$15:$A$22,0))),0)),1,0),1))</f>
        <v/>
      </c>
    </row>
    <row r="4902">
      <c r="A4902" s="92" t="n"/>
      <c r="B4902" s="55" t="n"/>
      <c r="C4902" s="55" t="n"/>
      <c r="D4902" s="55" t="n"/>
      <c r="E4902" s="93" t="n"/>
      <c r="F4902" s="94" t="n"/>
      <c r="G4902" s="94" t="n"/>
      <c r="H4902" s="94" t="n"/>
      <c r="I4902" s="94" t="n"/>
      <c r="J4902" s="55" t="n"/>
      <c r="K4902" s="95" t="n"/>
      <c r="L4902" s="116">
        <f>IF($A4902="","",DATE(YEAR($A4902),MONTH($A4902)+IF(AND(IFERROR(N(INDEX(Übersicht!$M$15:$M$22,MATCH($B4902,Übersicht!$A$15:$A$22,0))),0)&gt;1,DAY($A4902)&gt;=IFERROR(N(INDEX(Übersicht!$M$15:$M$22,MATCH($B4902,Übersicht!$A$15:$A$22,0))),0)),1,0),1))</f>
        <v/>
      </c>
    </row>
    <row r="4903">
      <c r="A4903" s="92" t="n"/>
      <c r="B4903" s="55" t="n"/>
      <c r="C4903" s="55" t="n"/>
      <c r="D4903" s="55" t="n"/>
      <c r="E4903" s="93" t="n"/>
      <c r="F4903" s="94" t="n"/>
      <c r="G4903" s="94" t="n"/>
      <c r="H4903" s="94" t="n"/>
      <c r="I4903" s="94" t="n"/>
      <c r="J4903" s="55" t="n"/>
      <c r="K4903" s="95" t="n"/>
      <c r="L4903" s="116">
        <f>IF($A4903="","",DATE(YEAR($A4903),MONTH($A4903)+IF(AND(IFERROR(N(INDEX(Übersicht!$M$15:$M$22,MATCH($B4903,Übersicht!$A$15:$A$22,0))),0)&gt;1,DAY($A4903)&gt;=IFERROR(N(INDEX(Übersicht!$M$15:$M$22,MATCH($B4903,Übersicht!$A$15:$A$22,0))),0)),1,0),1))</f>
        <v/>
      </c>
    </row>
    <row r="4904">
      <c r="A4904" s="92" t="n"/>
      <c r="B4904" s="55" t="n"/>
      <c r="C4904" s="55" t="n"/>
      <c r="D4904" s="55" t="n"/>
      <c r="E4904" s="93" t="n"/>
      <c r="F4904" s="94" t="n"/>
      <c r="G4904" s="94" t="n"/>
      <c r="H4904" s="94" t="n"/>
      <c r="I4904" s="94" t="n"/>
      <c r="J4904" s="55" t="n"/>
      <c r="K4904" s="95" t="n"/>
      <c r="L4904" s="116">
        <f>IF($A4904="","",DATE(YEAR($A4904),MONTH($A4904)+IF(AND(IFERROR(N(INDEX(Übersicht!$M$15:$M$22,MATCH($B4904,Übersicht!$A$15:$A$22,0))),0)&gt;1,DAY($A4904)&gt;=IFERROR(N(INDEX(Übersicht!$M$15:$M$22,MATCH($B4904,Übersicht!$A$15:$A$22,0))),0)),1,0),1))</f>
        <v/>
      </c>
    </row>
    <row r="4905">
      <c r="A4905" s="92" t="n"/>
      <c r="B4905" s="55" t="n"/>
      <c r="C4905" s="55" t="n"/>
      <c r="D4905" s="55" t="n"/>
      <c r="E4905" s="93" t="n"/>
      <c r="F4905" s="94" t="n"/>
      <c r="G4905" s="94" t="n"/>
      <c r="H4905" s="94" t="n"/>
      <c r="I4905" s="94" t="n"/>
      <c r="J4905" s="55" t="n"/>
      <c r="K4905" s="95" t="n"/>
      <c r="L4905" s="116">
        <f>IF($A4905="","",DATE(YEAR($A4905),MONTH($A4905)+IF(AND(IFERROR(N(INDEX(Übersicht!$M$15:$M$22,MATCH($B4905,Übersicht!$A$15:$A$22,0))),0)&gt;1,DAY($A4905)&gt;=IFERROR(N(INDEX(Übersicht!$M$15:$M$22,MATCH($B4905,Übersicht!$A$15:$A$22,0))),0)),1,0),1))</f>
        <v/>
      </c>
    </row>
    <row r="4906">
      <c r="A4906" s="92" t="n"/>
      <c r="B4906" s="55" t="n"/>
      <c r="C4906" s="55" t="n"/>
      <c r="D4906" s="55" t="n"/>
      <c r="E4906" s="93" t="n"/>
      <c r="F4906" s="94" t="n"/>
      <c r="G4906" s="94" t="n"/>
      <c r="H4906" s="94" t="n"/>
      <c r="I4906" s="94" t="n"/>
      <c r="J4906" s="55" t="n"/>
      <c r="K4906" s="95" t="n"/>
      <c r="L4906" s="116">
        <f>IF($A4906="","",DATE(YEAR($A4906),MONTH($A4906)+IF(AND(IFERROR(N(INDEX(Übersicht!$M$15:$M$22,MATCH($B4906,Übersicht!$A$15:$A$22,0))),0)&gt;1,DAY($A4906)&gt;=IFERROR(N(INDEX(Übersicht!$M$15:$M$22,MATCH($B4906,Übersicht!$A$15:$A$22,0))),0)),1,0),1))</f>
        <v/>
      </c>
    </row>
    <row r="4907">
      <c r="A4907" s="92" t="n"/>
      <c r="B4907" s="55" t="n"/>
      <c r="C4907" s="55" t="n"/>
      <c r="D4907" s="55" t="n"/>
      <c r="E4907" s="93" t="n"/>
      <c r="F4907" s="94" t="n"/>
      <c r="G4907" s="94" t="n"/>
      <c r="H4907" s="94" t="n"/>
      <c r="I4907" s="94" t="n"/>
      <c r="J4907" s="55" t="n"/>
      <c r="K4907" s="95" t="n"/>
      <c r="L4907" s="116">
        <f>IF($A4907="","",DATE(YEAR($A4907),MONTH($A4907)+IF(AND(IFERROR(N(INDEX(Übersicht!$M$15:$M$22,MATCH($B4907,Übersicht!$A$15:$A$22,0))),0)&gt;1,DAY($A4907)&gt;=IFERROR(N(INDEX(Übersicht!$M$15:$M$22,MATCH($B4907,Übersicht!$A$15:$A$22,0))),0)),1,0),1))</f>
        <v/>
      </c>
    </row>
    <row r="4908">
      <c r="A4908" s="92" t="n"/>
      <c r="B4908" s="55" t="n"/>
      <c r="C4908" s="55" t="n"/>
      <c r="D4908" s="55" t="n"/>
      <c r="E4908" s="93" t="n"/>
      <c r="F4908" s="94" t="n"/>
      <c r="G4908" s="94" t="n"/>
      <c r="H4908" s="94" t="n"/>
      <c r="I4908" s="94" t="n"/>
      <c r="J4908" s="55" t="n"/>
      <c r="K4908" s="95" t="n"/>
      <c r="L4908" s="116">
        <f>IF($A4908="","",DATE(YEAR($A4908),MONTH($A4908)+IF(AND(IFERROR(N(INDEX(Übersicht!$M$15:$M$22,MATCH($B4908,Übersicht!$A$15:$A$22,0))),0)&gt;1,DAY($A4908)&gt;=IFERROR(N(INDEX(Übersicht!$M$15:$M$22,MATCH($B4908,Übersicht!$A$15:$A$22,0))),0)),1,0),1))</f>
        <v/>
      </c>
    </row>
    <row r="4909">
      <c r="A4909" s="92" t="n"/>
      <c r="B4909" s="55" t="n"/>
      <c r="C4909" s="55" t="n"/>
      <c r="D4909" s="55" t="n"/>
      <c r="E4909" s="93" t="n"/>
      <c r="F4909" s="94" t="n"/>
      <c r="G4909" s="94" t="n"/>
      <c r="H4909" s="94" t="n"/>
      <c r="I4909" s="94" t="n"/>
      <c r="J4909" s="55" t="n"/>
      <c r="K4909" s="95" t="n"/>
      <c r="L4909" s="116">
        <f>IF($A4909="","",DATE(YEAR($A4909),MONTH($A4909)+IF(AND(IFERROR(N(INDEX(Übersicht!$M$15:$M$22,MATCH($B4909,Übersicht!$A$15:$A$22,0))),0)&gt;1,DAY($A4909)&gt;=IFERROR(N(INDEX(Übersicht!$M$15:$M$22,MATCH($B4909,Übersicht!$A$15:$A$22,0))),0)),1,0),1))</f>
        <v/>
      </c>
    </row>
    <row r="4910">
      <c r="A4910" s="92" t="n"/>
      <c r="B4910" s="55" t="n"/>
      <c r="C4910" s="55" t="n"/>
      <c r="D4910" s="55" t="n"/>
      <c r="E4910" s="93" t="n"/>
      <c r="F4910" s="94" t="n"/>
      <c r="G4910" s="94" t="n"/>
      <c r="H4910" s="94" t="n"/>
      <c r="I4910" s="94" t="n"/>
      <c r="J4910" s="55" t="n"/>
      <c r="K4910" s="95" t="n"/>
      <c r="L4910" s="116">
        <f>IF($A4910="","",DATE(YEAR($A4910),MONTH($A4910)+IF(AND(IFERROR(N(INDEX(Übersicht!$M$15:$M$22,MATCH($B4910,Übersicht!$A$15:$A$22,0))),0)&gt;1,DAY($A4910)&gt;=IFERROR(N(INDEX(Übersicht!$M$15:$M$22,MATCH($B4910,Übersicht!$A$15:$A$22,0))),0)),1,0),1))</f>
        <v/>
      </c>
    </row>
    <row r="4911">
      <c r="A4911" s="92" t="n"/>
      <c r="B4911" s="55" t="n"/>
      <c r="C4911" s="55" t="n"/>
      <c r="D4911" s="55" t="n"/>
      <c r="E4911" s="93" t="n"/>
      <c r="F4911" s="94" t="n"/>
      <c r="G4911" s="94" t="n"/>
      <c r="H4911" s="94" t="n"/>
      <c r="I4911" s="94" t="n"/>
      <c r="J4911" s="55" t="n"/>
      <c r="K4911" s="95" t="n"/>
      <c r="L4911" s="116">
        <f>IF($A4911="","",DATE(YEAR($A4911),MONTH($A4911)+IF(AND(IFERROR(N(INDEX(Übersicht!$M$15:$M$22,MATCH($B4911,Übersicht!$A$15:$A$22,0))),0)&gt;1,DAY($A4911)&gt;=IFERROR(N(INDEX(Übersicht!$M$15:$M$22,MATCH($B4911,Übersicht!$A$15:$A$22,0))),0)),1,0),1))</f>
        <v/>
      </c>
    </row>
    <row r="4912">
      <c r="A4912" s="92" t="n"/>
      <c r="B4912" s="55" t="n"/>
      <c r="C4912" s="55" t="n"/>
      <c r="D4912" s="55" t="n"/>
      <c r="E4912" s="93" t="n"/>
      <c r="F4912" s="94" t="n"/>
      <c r="G4912" s="94" t="n"/>
      <c r="H4912" s="94" t="n"/>
      <c r="I4912" s="94" t="n"/>
      <c r="J4912" s="55" t="n"/>
      <c r="K4912" s="95" t="n"/>
      <c r="L4912" s="116">
        <f>IF($A4912="","",DATE(YEAR($A4912),MONTH($A4912)+IF(AND(IFERROR(N(INDEX(Übersicht!$M$15:$M$22,MATCH($B4912,Übersicht!$A$15:$A$22,0))),0)&gt;1,DAY($A4912)&gt;=IFERROR(N(INDEX(Übersicht!$M$15:$M$22,MATCH($B4912,Übersicht!$A$15:$A$22,0))),0)),1,0),1))</f>
        <v/>
      </c>
    </row>
    <row r="4913">
      <c r="A4913" s="92" t="n"/>
      <c r="B4913" s="55" t="n"/>
      <c r="C4913" s="55" t="n"/>
      <c r="D4913" s="55" t="n"/>
      <c r="E4913" s="93" t="n"/>
      <c r="F4913" s="94" t="n"/>
      <c r="G4913" s="94" t="n"/>
      <c r="H4913" s="94" t="n"/>
      <c r="I4913" s="94" t="n"/>
      <c r="J4913" s="55" t="n"/>
      <c r="K4913" s="95" t="n"/>
      <c r="L4913" s="116">
        <f>IF($A4913="","",DATE(YEAR($A4913),MONTH($A4913)+IF(AND(IFERROR(N(INDEX(Übersicht!$M$15:$M$22,MATCH($B4913,Übersicht!$A$15:$A$22,0))),0)&gt;1,DAY($A4913)&gt;=IFERROR(N(INDEX(Übersicht!$M$15:$M$22,MATCH($B4913,Übersicht!$A$15:$A$22,0))),0)),1,0),1))</f>
        <v/>
      </c>
    </row>
    <row r="4914">
      <c r="A4914" s="92" t="n"/>
      <c r="B4914" s="55" t="n"/>
      <c r="C4914" s="55" t="n"/>
      <c r="D4914" s="55" t="n"/>
      <c r="E4914" s="93" t="n"/>
      <c r="F4914" s="94" t="n"/>
      <c r="G4914" s="94" t="n"/>
      <c r="H4914" s="94" t="n"/>
      <c r="I4914" s="94" t="n"/>
      <c r="J4914" s="55" t="n"/>
      <c r="K4914" s="95" t="n"/>
      <c r="L4914" s="116">
        <f>IF($A4914="","",DATE(YEAR($A4914),MONTH($A4914)+IF(AND(IFERROR(N(INDEX(Übersicht!$M$15:$M$22,MATCH($B4914,Übersicht!$A$15:$A$22,0))),0)&gt;1,DAY($A4914)&gt;=IFERROR(N(INDEX(Übersicht!$M$15:$M$22,MATCH($B4914,Übersicht!$A$15:$A$22,0))),0)),1,0),1))</f>
        <v/>
      </c>
    </row>
    <row r="4915">
      <c r="A4915" s="92" t="n"/>
      <c r="B4915" s="55" t="n"/>
      <c r="C4915" s="55" t="n"/>
      <c r="D4915" s="55" t="n"/>
      <c r="E4915" s="93" t="n"/>
      <c r="F4915" s="94" t="n"/>
      <c r="G4915" s="94" t="n"/>
      <c r="H4915" s="94" t="n"/>
      <c r="I4915" s="94" t="n"/>
      <c r="J4915" s="55" t="n"/>
      <c r="K4915" s="95" t="n"/>
      <c r="L4915" s="116">
        <f>IF($A4915="","",DATE(YEAR($A4915),MONTH($A4915)+IF(AND(IFERROR(N(INDEX(Übersicht!$M$15:$M$22,MATCH($B4915,Übersicht!$A$15:$A$22,0))),0)&gt;1,DAY($A4915)&gt;=IFERROR(N(INDEX(Übersicht!$M$15:$M$22,MATCH($B4915,Übersicht!$A$15:$A$22,0))),0)),1,0),1))</f>
        <v/>
      </c>
    </row>
    <row r="4916">
      <c r="A4916" s="92" t="n"/>
      <c r="B4916" s="55" t="n"/>
      <c r="C4916" s="55" t="n"/>
      <c r="D4916" s="55" t="n"/>
      <c r="E4916" s="93" t="n"/>
      <c r="F4916" s="94" t="n"/>
      <c r="G4916" s="94" t="n"/>
      <c r="H4916" s="94" t="n"/>
      <c r="I4916" s="94" t="n"/>
      <c r="J4916" s="55" t="n"/>
      <c r="K4916" s="95" t="n"/>
      <c r="L4916" s="116">
        <f>IF($A4916="","",DATE(YEAR($A4916),MONTH($A4916)+IF(AND(IFERROR(N(INDEX(Übersicht!$M$15:$M$22,MATCH($B4916,Übersicht!$A$15:$A$22,0))),0)&gt;1,DAY($A4916)&gt;=IFERROR(N(INDEX(Übersicht!$M$15:$M$22,MATCH($B4916,Übersicht!$A$15:$A$22,0))),0)),1,0),1))</f>
        <v/>
      </c>
    </row>
    <row r="4917">
      <c r="A4917" s="92" t="n"/>
      <c r="B4917" s="55" t="n"/>
      <c r="C4917" s="55" t="n"/>
      <c r="D4917" s="55" t="n"/>
      <c r="E4917" s="93" t="n"/>
      <c r="F4917" s="94" t="n"/>
      <c r="G4917" s="94" t="n"/>
      <c r="H4917" s="94" t="n"/>
      <c r="I4917" s="94" t="n"/>
      <c r="J4917" s="55" t="n"/>
      <c r="K4917" s="95" t="n"/>
      <c r="L4917" s="116">
        <f>IF($A4917="","",DATE(YEAR($A4917),MONTH($A4917)+IF(AND(IFERROR(N(INDEX(Übersicht!$M$15:$M$22,MATCH($B4917,Übersicht!$A$15:$A$22,0))),0)&gt;1,DAY($A4917)&gt;=IFERROR(N(INDEX(Übersicht!$M$15:$M$22,MATCH($B4917,Übersicht!$A$15:$A$22,0))),0)),1,0),1))</f>
        <v/>
      </c>
    </row>
    <row r="4918">
      <c r="A4918" s="92" t="n"/>
      <c r="B4918" s="55" t="n"/>
      <c r="C4918" s="55" t="n"/>
      <c r="D4918" s="55" t="n"/>
      <c r="E4918" s="93" t="n"/>
      <c r="F4918" s="94" t="n"/>
      <c r="G4918" s="94" t="n"/>
      <c r="H4918" s="94" t="n"/>
      <c r="I4918" s="94" t="n"/>
      <c r="J4918" s="55" t="n"/>
      <c r="K4918" s="95" t="n"/>
      <c r="L4918" s="116">
        <f>IF($A4918="","",DATE(YEAR($A4918),MONTH($A4918)+IF(AND(IFERROR(N(INDEX(Übersicht!$M$15:$M$22,MATCH($B4918,Übersicht!$A$15:$A$22,0))),0)&gt;1,DAY($A4918)&gt;=IFERROR(N(INDEX(Übersicht!$M$15:$M$22,MATCH($B4918,Übersicht!$A$15:$A$22,0))),0)),1,0),1))</f>
        <v/>
      </c>
    </row>
    <row r="4919">
      <c r="A4919" s="92" t="n"/>
      <c r="B4919" s="55" t="n"/>
      <c r="C4919" s="55" t="n"/>
      <c r="D4919" s="55" t="n"/>
      <c r="E4919" s="93" t="n"/>
      <c r="F4919" s="94" t="n"/>
      <c r="G4919" s="94" t="n"/>
      <c r="H4919" s="94" t="n"/>
      <c r="I4919" s="94" t="n"/>
      <c r="J4919" s="55" t="n"/>
      <c r="K4919" s="95" t="n"/>
      <c r="L4919" s="116">
        <f>IF($A4919="","",DATE(YEAR($A4919),MONTH($A4919)+IF(AND(IFERROR(N(INDEX(Übersicht!$M$15:$M$22,MATCH($B4919,Übersicht!$A$15:$A$22,0))),0)&gt;1,DAY($A4919)&gt;=IFERROR(N(INDEX(Übersicht!$M$15:$M$22,MATCH($B4919,Übersicht!$A$15:$A$22,0))),0)),1,0),1))</f>
        <v/>
      </c>
    </row>
    <row r="4920">
      <c r="A4920" s="92" t="n"/>
      <c r="B4920" s="55" t="n"/>
      <c r="C4920" s="55" t="n"/>
      <c r="D4920" s="55" t="n"/>
      <c r="E4920" s="93" t="n"/>
      <c r="F4920" s="94" t="n"/>
      <c r="G4920" s="94" t="n"/>
      <c r="H4920" s="94" t="n"/>
      <c r="I4920" s="94" t="n"/>
      <c r="J4920" s="55" t="n"/>
      <c r="K4920" s="95" t="n"/>
      <c r="L4920" s="116">
        <f>IF($A4920="","",DATE(YEAR($A4920),MONTH($A4920)+IF(AND(IFERROR(N(INDEX(Übersicht!$M$15:$M$22,MATCH($B4920,Übersicht!$A$15:$A$22,0))),0)&gt;1,DAY($A4920)&gt;=IFERROR(N(INDEX(Übersicht!$M$15:$M$22,MATCH($B4920,Übersicht!$A$15:$A$22,0))),0)),1,0),1))</f>
        <v/>
      </c>
    </row>
    <row r="4921">
      <c r="A4921" s="92" t="n"/>
      <c r="B4921" s="55" t="n"/>
      <c r="C4921" s="55" t="n"/>
      <c r="D4921" s="55" t="n"/>
      <c r="E4921" s="93" t="n"/>
      <c r="F4921" s="94" t="n"/>
      <c r="G4921" s="94" t="n"/>
      <c r="H4921" s="94" t="n"/>
      <c r="I4921" s="94" t="n"/>
      <c r="J4921" s="55" t="n"/>
      <c r="K4921" s="95" t="n"/>
      <c r="L4921" s="116">
        <f>IF($A4921="","",DATE(YEAR($A4921),MONTH($A4921)+IF(AND(IFERROR(N(INDEX(Übersicht!$M$15:$M$22,MATCH($B4921,Übersicht!$A$15:$A$22,0))),0)&gt;1,DAY($A4921)&gt;=IFERROR(N(INDEX(Übersicht!$M$15:$M$22,MATCH($B4921,Übersicht!$A$15:$A$22,0))),0)),1,0),1))</f>
        <v/>
      </c>
    </row>
    <row r="4922">
      <c r="A4922" s="92" t="n"/>
      <c r="B4922" s="55" t="n"/>
      <c r="C4922" s="55" t="n"/>
      <c r="D4922" s="55" t="n"/>
      <c r="E4922" s="93" t="n"/>
      <c r="F4922" s="94" t="n"/>
      <c r="G4922" s="94" t="n"/>
      <c r="H4922" s="94" t="n"/>
      <c r="I4922" s="94" t="n"/>
      <c r="J4922" s="55" t="n"/>
      <c r="K4922" s="95" t="n"/>
      <c r="L4922" s="116">
        <f>IF($A4922="","",DATE(YEAR($A4922),MONTH($A4922)+IF(AND(IFERROR(N(INDEX(Übersicht!$M$15:$M$22,MATCH($B4922,Übersicht!$A$15:$A$22,0))),0)&gt;1,DAY($A4922)&gt;=IFERROR(N(INDEX(Übersicht!$M$15:$M$22,MATCH($B4922,Übersicht!$A$15:$A$22,0))),0)),1,0),1))</f>
        <v/>
      </c>
    </row>
    <row r="4923">
      <c r="A4923" s="92" t="n"/>
      <c r="B4923" s="55" t="n"/>
      <c r="C4923" s="55" t="n"/>
      <c r="D4923" s="55" t="n"/>
      <c r="E4923" s="93" t="n"/>
      <c r="F4923" s="94" t="n"/>
      <c r="G4923" s="94" t="n"/>
      <c r="H4923" s="94" t="n"/>
      <c r="I4923" s="94" t="n"/>
      <c r="J4923" s="55" t="n"/>
      <c r="K4923" s="95" t="n"/>
      <c r="L4923" s="116">
        <f>IF($A4923="","",DATE(YEAR($A4923),MONTH($A4923)+IF(AND(IFERROR(N(INDEX(Übersicht!$M$15:$M$22,MATCH($B4923,Übersicht!$A$15:$A$22,0))),0)&gt;1,DAY($A4923)&gt;=IFERROR(N(INDEX(Übersicht!$M$15:$M$22,MATCH($B4923,Übersicht!$A$15:$A$22,0))),0)),1,0),1))</f>
        <v/>
      </c>
    </row>
    <row r="4924">
      <c r="A4924" s="92" t="n"/>
      <c r="B4924" s="55" t="n"/>
      <c r="C4924" s="55" t="n"/>
      <c r="D4924" s="55" t="n"/>
      <c r="E4924" s="93" t="n"/>
      <c r="F4924" s="94" t="n"/>
      <c r="G4924" s="94" t="n"/>
      <c r="H4924" s="94" t="n"/>
      <c r="I4924" s="94" t="n"/>
      <c r="J4924" s="55" t="n"/>
      <c r="K4924" s="95" t="n"/>
      <c r="L4924" s="116">
        <f>IF($A4924="","",DATE(YEAR($A4924),MONTH($A4924)+IF(AND(IFERROR(N(INDEX(Übersicht!$M$15:$M$22,MATCH($B4924,Übersicht!$A$15:$A$22,0))),0)&gt;1,DAY($A4924)&gt;=IFERROR(N(INDEX(Übersicht!$M$15:$M$22,MATCH($B4924,Übersicht!$A$15:$A$22,0))),0)),1,0),1))</f>
        <v/>
      </c>
    </row>
    <row r="4925">
      <c r="A4925" s="92" t="n"/>
      <c r="B4925" s="55" t="n"/>
      <c r="C4925" s="55" t="n"/>
      <c r="D4925" s="55" t="n"/>
      <c r="E4925" s="93" t="n"/>
      <c r="F4925" s="94" t="n"/>
      <c r="G4925" s="94" t="n"/>
      <c r="H4925" s="94" t="n"/>
      <c r="I4925" s="94" t="n"/>
      <c r="J4925" s="55" t="n"/>
      <c r="K4925" s="95" t="n"/>
      <c r="L4925" s="116">
        <f>IF($A4925="","",DATE(YEAR($A4925),MONTH($A4925)+IF(AND(IFERROR(N(INDEX(Übersicht!$M$15:$M$22,MATCH($B4925,Übersicht!$A$15:$A$22,0))),0)&gt;1,DAY($A4925)&gt;=IFERROR(N(INDEX(Übersicht!$M$15:$M$22,MATCH($B4925,Übersicht!$A$15:$A$22,0))),0)),1,0),1))</f>
        <v/>
      </c>
    </row>
    <row r="4926">
      <c r="A4926" s="92" t="n"/>
      <c r="B4926" s="55" t="n"/>
      <c r="C4926" s="55" t="n"/>
      <c r="D4926" s="55" t="n"/>
      <c r="E4926" s="93" t="n"/>
      <c r="F4926" s="94" t="n"/>
      <c r="G4926" s="94" t="n"/>
      <c r="H4926" s="94" t="n"/>
      <c r="I4926" s="94" t="n"/>
      <c r="J4926" s="55" t="n"/>
      <c r="K4926" s="95" t="n"/>
      <c r="L4926" s="116">
        <f>IF($A4926="","",DATE(YEAR($A4926),MONTH($A4926)+IF(AND(IFERROR(N(INDEX(Übersicht!$M$15:$M$22,MATCH($B4926,Übersicht!$A$15:$A$22,0))),0)&gt;1,DAY($A4926)&gt;=IFERROR(N(INDEX(Übersicht!$M$15:$M$22,MATCH($B4926,Übersicht!$A$15:$A$22,0))),0)),1,0),1))</f>
        <v/>
      </c>
    </row>
    <row r="4927">
      <c r="A4927" s="92" t="n"/>
      <c r="B4927" s="55" t="n"/>
      <c r="C4927" s="55" t="n"/>
      <c r="D4927" s="55" t="n"/>
      <c r="E4927" s="93" t="n"/>
      <c r="F4927" s="94" t="n"/>
      <c r="G4927" s="94" t="n"/>
      <c r="H4927" s="94" t="n"/>
      <c r="I4927" s="94" t="n"/>
      <c r="J4927" s="55" t="n"/>
      <c r="K4927" s="95" t="n"/>
      <c r="L4927" s="116">
        <f>IF($A4927="","",DATE(YEAR($A4927),MONTH($A4927)+IF(AND(IFERROR(N(INDEX(Übersicht!$M$15:$M$22,MATCH($B4927,Übersicht!$A$15:$A$22,0))),0)&gt;1,DAY($A4927)&gt;=IFERROR(N(INDEX(Übersicht!$M$15:$M$22,MATCH($B4927,Übersicht!$A$15:$A$22,0))),0)),1,0),1))</f>
        <v/>
      </c>
    </row>
    <row r="4928">
      <c r="A4928" s="92" t="n"/>
      <c r="B4928" s="55" t="n"/>
      <c r="C4928" s="55" t="n"/>
      <c r="D4928" s="55" t="n"/>
      <c r="E4928" s="93" t="n"/>
      <c r="F4928" s="94" t="n"/>
      <c r="G4928" s="94" t="n"/>
      <c r="H4928" s="94" t="n"/>
      <c r="I4928" s="94" t="n"/>
      <c r="J4928" s="55" t="n"/>
      <c r="K4928" s="95" t="n"/>
      <c r="L4928" s="116">
        <f>IF($A4928="","",DATE(YEAR($A4928),MONTH($A4928)+IF(AND(IFERROR(N(INDEX(Übersicht!$M$15:$M$22,MATCH($B4928,Übersicht!$A$15:$A$22,0))),0)&gt;1,DAY($A4928)&gt;=IFERROR(N(INDEX(Übersicht!$M$15:$M$22,MATCH($B4928,Übersicht!$A$15:$A$22,0))),0)),1,0),1))</f>
        <v/>
      </c>
    </row>
    <row r="4929">
      <c r="A4929" s="92" t="n"/>
      <c r="B4929" s="55" t="n"/>
      <c r="C4929" s="55" t="n"/>
      <c r="D4929" s="55" t="n"/>
      <c r="E4929" s="93" t="n"/>
      <c r="F4929" s="94" t="n"/>
      <c r="G4929" s="94" t="n"/>
      <c r="H4929" s="94" t="n"/>
      <c r="I4929" s="94" t="n"/>
      <c r="J4929" s="55" t="n"/>
      <c r="K4929" s="95" t="n"/>
      <c r="L4929" s="116">
        <f>IF($A4929="","",DATE(YEAR($A4929),MONTH($A4929)+IF(AND(IFERROR(N(INDEX(Übersicht!$M$15:$M$22,MATCH($B4929,Übersicht!$A$15:$A$22,0))),0)&gt;1,DAY($A4929)&gt;=IFERROR(N(INDEX(Übersicht!$M$15:$M$22,MATCH($B4929,Übersicht!$A$15:$A$22,0))),0)),1,0),1))</f>
        <v/>
      </c>
    </row>
    <row r="4930">
      <c r="A4930" s="92" t="n"/>
      <c r="B4930" s="55" t="n"/>
      <c r="C4930" s="55" t="n"/>
      <c r="D4930" s="55" t="n"/>
      <c r="E4930" s="93" t="n"/>
      <c r="F4930" s="94" t="n"/>
      <c r="G4930" s="94" t="n"/>
      <c r="H4930" s="94" t="n"/>
      <c r="I4930" s="94" t="n"/>
      <c r="J4930" s="55" t="n"/>
      <c r="K4930" s="95" t="n"/>
      <c r="L4930" s="116">
        <f>IF($A4930="","",DATE(YEAR($A4930),MONTH($A4930)+IF(AND(IFERROR(N(INDEX(Übersicht!$M$15:$M$22,MATCH($B4930,Übersicht!$A$15:$A$22,0))),0)&gt;1,DAY($A4930)&gt;=IFERROR(N(INDEX(Übersicht!$M$15:$M$22,MATCH($B4930,Übersicht!$A$15:$A$22,0))),0)),1,0),1))</f>
        <v/>
      </c>
    </row>
    <row r="4931">
      <c r="A4931" s="92" t="n"/>
      <c r="B4931" s="55" t="n"/>
      <c r="C4931" s="55" t="n"/>
      <c r="D4931" s="55" t="n"/>
      <c r="E4931" s="93" t="n"/>
      <c r="F4931" s="94" t="n"/>
      <c r="G4931" s="94" t="n"/>
      <c r="H4931" s="94" t="n"/>
      <c r="I4931" s="94" t="n"/>
      <c r="J4931" s="55" t="n"/>
      <c r="K4931" s="95" t="n"/>
      <c r="L4931" s="116">
        <f>IF($A4931="","",DATE(YEAR($A4931),MONTH($A4931)+IF(AND(IFERROR(N(INDEX(Übersicht!$M$15:$M$22,MATCH($B4931,Übersicht!$A$15:$A$22,0))),0)&gt;1,DAY($A4931)&gt;=IFERROR(N(INDEX(Übersicht!$M$15:$M$22,MATCH($B4931,Übersicht!$A$15:$A$22,0))),0)),1,0),1))</f>
        <v/>
      </c>
    </row>
    <row r="4932">
      <c r="A4932" s="92" t="n"/>
      <c r="B4932" s="55" t="n"/>
      <c r="C4932" s="55" t="n"/>
      <c r="D4932" s="55" t="n"/>
      <c r="E4932" s="93" t="n"/>
      <c r="F4932" s="94" t="n"/>
      <c r="G4932" s="94" t="n"/>
      <c r="H4932" s="94" t="n"/>
      <c r="I4932" s="94" t="n"/>
      <c r="J4932" s="55" t="n"/>
      <c r="K4932" s="95" t="n"/>
      <c r="L4932" s="116">
        <f>IF($A4932="","",DATE(YEAR($A4932),MONTH($A4932)+IF(AND(IFERROR(N(INDEX(Übersicht!$M$15:$M$22,MATCH($B4932,Übersicht!$A$15:$A$22,0))),0)&gt;1,DAY($A4932)&gt;=IFERROR(N(INDEX(Übersicht!$M$15:$M$22,MATCH($B4932,Übersicht!$A$15:$A$22,0))),0)),1,0),1))</f>
        <v/>
      </c>
    </row>
    <row r="4933">
      <c r="A4933" s="92" t="n"/>
      <c r="B4933" s="55" t="n"/>
      <c r="C4933" s="55" t="n"/>
      <c r="D4933" s="55" t="n"/>
      <c r="E4933" s="93" t="n"/>
      <c r="F4933" s="94" t="n"/>
      <c r="G4933" s="94" t="n"/>
      <c r="H4933" s="94" t="n"/>
      <c r="I4933" s="94" t="n"/>
      <c r="J4933" s="55" t="n"/>
      <c r="K4933" s="95" t="n"/>
      <c r="L4933" s="116">
        <f>IF($A4933="","",DATE(YEAR($A4933),MONTH($A4933)+IF(AND(IFERROR(N(INDEX(Übersicht!$M$15:$M$22,MATCH($B4933,Übersicht!$A$15:$A$22,0))),0)&gt;1,DAY($A4933)&gt;=IFERROR(N(INDEX(Übersicht!$M$15:$M$22,MATCH($B4933,Übersicht!$A$15:$A$22,0))),0)),1,0),1))</f>
        <v/>
      </c>
    </row>
    <row r="4934">
      <c r="A4934" s="92" t="n"/>
      <c r="B4934" s="55" t="n"/>
      <c r="C4934" s="55" t="n"/>
      <c r="D4934" s="55" t="n"/>
      <c r="E4934" s="93" t="n"/>
      <c r="F4934" s="94" t="n"/>
      <c r="G4934" s="94" t="n"/>
      <c r="H4934" s="94" t="n"/>
      <c r="I4934" s="94" t="n"/>
      <c r="J4934" s="55" t="n"/>
      <c r="K4934" s="95" t="n"/>
      <c r="L4934" s="116">
        <f>IF($A4934="","",DATE(YEAR($A4934),MONTH($A4934)+IF(AND(IFERROR(N(INDEX(Übersicht!$M$15:$M$22,MATCH($B4934,Übersicht!$A$15:$A$22,0))),0)&gt;1,DAY($A4934)&gt;=IFERROR(N(INDEX(Übersicht!$M$15:$M$22,MATCH($B4934,Übersicht!$A$15:$A$22,0))),0)),1,0),1))</f>
        <v/>
      </c>
    </row>
    <row r="4935">
      <c r="A4935" s="92" t="n"/>
      <c r="B4935" s="55" t="n"/>
      <c r="C4935" s="55" t="n"/>
      <c r="D4935" s="55" t="n"/>
      <c r="E4935" s="93" t="n"/>
      <c r="F4935" s="94" t="n"/>
      <c r="G4935" s="94" t="n"/>
      <c r="H4935" s="94" t="n"/>
      <c r="I4935" s="94" t="n"/>
      <c r="J4935" s="55" t="n"/>
      <c r="K4935" s="95" t="n"/>
      <c r="L4935" s="116">
        <f>IF($A4935="","",DATE(YEAR($A4935),MONTH($A4935)+IF(AND(IFERROR(N(INDEX(Übersicht!$M$15:$M$22,MATCH($B4935,Übersicht!$A$15:$A$22,0))),0)&gt;1,DAY($A4935)&gt;=IFERROR(N(INDEX(Übersicht!$M$15:$M$22,MATCH($B4935,Übersicht!$A$15:$A$22,0))),0)),1,0),1))</f>
        <v/>
      </c>
    </row>
    <row r="4936">
      <c r="A4936" s="92" t="n"/>
      <c r="B4936" s="55" t="n"/>
      <c r="C4936" s="55" t="n"/>
      <c r="D4936" s="55" t="n"/>
      <c r="E4936" s="93" t="n"/>
      <c r="F4936" s="94" t="n"/>
      <c r="G4936" s="94" t="n"/>
      <c r="H4936" s="94" t="n"/>
      <c r="I4936" s="94" t="n"/>
      <c r="J4936" s="55" t="n"/>
      <c r="K4936" s="95" t="n"/>
      <c r="L4936" s="116">
        <f>IF($A4936="","",DATE(YEAR($A4936),MONTH($A4936)+IF(AND(IFERROR(N(INDEX(Übersicht!$M$15:$M$22,MATCH($B4936,Übersicht!$A$15:$A$22,0))),0)&gt;1,DAY($A4936)&gt;=IFERROR(N(INDEX(Übersicht!$M$15:$M$22,MATCH($B4936,Übersicht!$A$15:$A$22,0))),0)),1,0),1))</f>
        <v/>
      </c>
    </row>
    <row r="4937">
      <c r="A4937" s="92" t="n"/>
      <c r="B4937" s="55" t="n"/>
      <c r="C4937" s="55" t="n"/>
      <c r="D4937" s="55" t="n"/>
      <c r="E4937" s="93" t="n"/>
      <c r="F4937" s="94" t="n"/>
      <c r="G4937" s="94" t="n"/>
      <c r="H4937" s="94" t="n"/>
      <c r="I4937" s="94" t="n"/>
      <c r="J4937" s="55" t="n"/>
      <c r="K4937" s="95" t="n"/>
      <c r="L4937" s="116">
        <f>IF($A4937="","",DATE(YEAR($A4937),MONTH($A4937)+IF(AND(IFERROR(N(INDEX(Übersicht!$M$15:$M$22,MATCH($B4937,Übersicht!$A$15:$A$22,0))),0)&gt;1,DAY($A4937)&gt;=IFERROR(N(INDEX(Übersicht!$M$15:$M$22,MATCH($B4937,Übersicht!$A$15:$A$22,0))),0)),1,0),1))</f>
        <v/>
      </c>
    </row>
    <row r="4938">
      <c r="A4938" s="92" t="n"/>
      <c r="B4938" s="55" t="n"/>
      <c r="C4938" s="55" t="n"/>
      <c r="D4938" s="55" t="n"/>
      <c r="E4938" s="93" t="n"/>
      <c r="F4938" s="94" t="n"/>
      <c r="G4938" s="94" t="n"/>
      <c r="H4938" s="94" t="n"/>
      <c r="I4938" s="94" t="n"/>
      <c r="J4938" s="55" t="n"/>
      <c r="K4938" s="95" t="n"/>
      <c r="L4938" s="116">
        <f>IF($A4938="","",DATE(YEAR($A4938),MONTH($A4938)+IF(AND(IFERROR(N(INDEX(Übersicht!$M$15:$M$22,MATCH($B4938,Übersicht!$A$15:$A$22,0))),0)&gt;1,DAY($A4938)&gt;=IFERROR(N(INDEX(Übersicht!$M$15:$M$22,MATCH($B4938,Übersicht!$A$15:$A$22,0))),0)),1,0),1))</f>
        <v/>
      </c>
    </row>
    <row r="4939">
      <c r="A4939" s="92" t="n"/>
      <c r="B4939" s="55" t="n"/>
      <c r="C4939" s="55" t="n"/>
      <c r="D4939" s="55" t="n"/>
      <c r="E4939" s="93" t="n"/>
      <c r="F4939" s="94" t="n"/>
      <c r="G4939" s="94" t="n"/>
      <c r="H4939" s="94" t="n"/>
      <c r="I4939" s="94" t="n"/>
      <c r="J4939" s="55" t="n"/>
      <c r="K4939" s="95" t="n"/>
      <c r="L4939" s="116">
        <f>IF($A4939="","",DATE(YEAR($A4939),MONTH($A4939)+IF(AND(IFERROR(N(INDEX(Übersicht!$M$15:$M$22,MATCH($B4939,Übersicht!$A$15:$A$22,0))),0)&gt;1,DAY($A4939)&gt;=IFERROR(N(INDEX(Übersicht!$M$15:$M$22,MATCH($B4939,Übersicht!$A$15:$A$22,0))),0)),1,0),1))</f>
        <v/>
      </c>
    </row>
    <row r="4940">
      <c r="A4940" s="92" t="n"/>
      <c r="B4940" s="55" t="n"/>
      <c r="C4940" s="55" t="n"/>
      <c r="D4940" s="55" t="n"/>
      <c r="E4940" s="93" t="n"/>
      <c r="F4940" s="94" t="n"/>
      <c r="G4940" s="94" t="n"/>
      <c r="H4940" s="94" t="n"/>
      <c r="I4940" s="94" t="n"/>
      <c r="J4940" s="55" t="n"/>
      <c r="K4940" s="95" t="n"/>
      <c r="L4940" s="116">
        <f>IF($A4940="","",DATE(YEAR($A4940),MONTH($A4940)+IF(AND(IFERROR(N(INDEX(Übersicht!$M$15:$M$22,MATCH($B4940,Übersicht!$A$15:$A$22,0))),0)&gt;1,DAY($A4940)&gt;=IFERROR(N(INDEX(Übersicht!$M$15:$M$22,MATCH($B4940,Übersicht!$A$15:$A$22,0))),0)),1,0),1))</f>
        <v/>
      </c>
    </row>
    <row r="4941">
      <c r="A4941" s="92" t="n"/>
      <c r="B4941" s="55" t="n"/>
      <c r="C4941" s="55" t="n"/>
      <c r="D4941" s="55" t="n"/>
      <c r="E4941" s="93" t="n"/>
      <c r="F4941" s="94" t="n"/>
      <c r="G4941" s="94" t="n"/>
      <c r="H4941" s="94" t="n"/>
      <c r="I4941" s="94" t="n"/>
      <c r="J4941" s="55" t="n"/>
      <c r="K4941" s="95" t="n"/>
      <c r="L4941" s="116">
        <f>IF($A4941="","",DATE(YEAR($A4941),MONTH($A4941)+IF(AND(IFERROR(N(INDEX(Übersicht!$M$15:$M$22,MATCH($B4941,Übersicht!$A$15:$A$22,0))),0)&gt;1,DAY($A4941)&gt;=IFERROR(N(INDEX(Übersicht!$M$15:$M$22,MATCH($B4941,Übersicht!$A$15:$A$22,0))),0)),1,0),1))</f>
        <v/>
      </c>
    </row>
    <row r="4942">
      <c r="A4942" s="92" t="n"/>
      <c r="B4942" s="55" t="n"/>
      <c r="C4942" s="55" t="n"/>
      <c r="D4942" s="55" t="n"/>
      <c r="E4942" s="93" t="n"/>
      <c r="F4942" s="94" t="n"/>
      <c r="G4942" s="94" t="n"/>
      <c r="H4942" s="94" t="n"/>
      <c r="I4942" s="94" t="n"/>
      <c r="J4942" s="55" t="n"/>
      <c r="K4942" s="95" t="n"/>
      <c r="L4942" s="116">
        <f>IF($A4942="","",DATE(YEAR($A4942),MONTH($A4942)+IF(AND(IFERROR(N(INDEX(Übersicht!$M$15:$M$22,MATCH($B4942,Übersicht!$A$15:$A$22,0))),0)&gt;1,DAY($A4942)&gt;=IFERROR(N(INDEX(Übersicht!$M$15:$M$22,MATCH($B4942,Übersicht!$A$15:$A$22,0))),0)),1,0),1))</f>
        <v/>
      </c>
    </row>
    <row r="4943">
      <c r="A4943" s="92" t="n"/>
      <c r="B4943" s="55" t="n"/>
      <c r="C4943" s="55" t="n"/>
      <c r="D4943" s="55" t="n"/>
      <c r="E4943" s="93" t="n"/>
      <c r="F4943" s="94" t="n"/>
      <c r="G4943" s="94" t="n"/>
      <c r="H4943" s="94" t="n"/>
      <c r="I4943" s="94" t="n"/>
      <c r="J4943" s="55" t="n"/>
      <c r="K4943" s="95" t="n"/>
      <c r="L4943" s="116">
        <f>IF($A4943="","",DATE(YEAR($A4943),MONTH($A4943)+IF(AND(IFERROR(N(INDEX(Übersicht!$M$15:$M$22,MATCH($B4943,Übersicht!$A$15:$A$22,0))),0)&gt;1,DAY($A4943)&gt;=IFERROR(N(INDEX(Übersicht!$M$15:$M$22,MATCH($B4943,Übersicht!$A$15:$A$22,0))),0)),1,0),1))</f>
        <v/>
      </c>
    </row>
    <row r="4944">
      <c r="A4944" s="92" t="n"/>
      <c r="B4944" s="55" t="n"/>
      <c r="C4944" s="55" t="n"/>
      <c r="D4944" s="55" t="n"/>
      <c r="E4944" s="93" t="n"/>
      <c r="F4944" s="94" t="n"/>
      <c r="G4944" s="94" t="n"/>
      <c r="H4944" s="94" t="n"/>
      <c r="I4944" s="94" t="n"/>
      <c r="J4944" s="55" t="n"/>
      <c r="K4944" s="95" t="n"/>
      <c r="L4944" s="116">
        <f>IF($A4944="","",DATE(YEAR($A4944),MONTH($A4944)+IF(AND(IFERROR(N(INDEX(Übersicht!$M$15:$M$22,MATCH($B4944,Übersicht!$A$15:$A$22,0))),0)&gt;1,DAY($A4944)&gt;=IFERROR(N(INDEX(Übersicht!$M$15:$M$22,MATCH($B4944,Übersicht!$A$15:$A$22,0))),0)),1,0),1))</f>
        <v/>
      </c>
    </row>
    <row r="4945">
      <c r="A4945" s="92" t="n"/>
      <c r="B4945" s="55" t="n"/>
      <c r="C4945" s="55" t="n"/>
      <c r="D4945" s="55" t="n"/>
      <c r="E4945" s="93" t="n"/>
      <c r="F4945" s="94" t="n"/>
      <c r="G4945" s="94" t="n"/>
      <c r="H4945" s="94" t="n"/>
      <c r="I4945" s="94" t="n"/>
      <c r="J4945" s="55" t="n"/>
      <c r="K4945" s="95" t="n"/>
      <c r="L4945" s="116">
        <f>IF($A4945="","",DATE(YEAR($A4945),MONTH($A4945)+IF(AND(IFERROR(N(INDEX(Übersicht!$M$15:$M$22,MATCH($B4945,Übersicht!$A$15:$A$22,0))),0)&gt;1,DAY($A4945)&gt;=IFERROR(N(INDEX(Übersicht!$M$15:$M$22,MATCH($B4945,Übersicht!$A$15:$A$22,0))),0)),1,0),1))</f>
        <v/>
      </c>
    </row>
    <row r="4946">
      <c r="A4946" s="92" t="n"/>
      <c r="B4946" s="55" t="n"/>
      <c r="C4946" s="55" t="n"/>
      <c r="D4946" s="55" t="n"/>
      <c r="E4946" s="93" t="n"/>
      <c r="F4946" s="94" t="n"/>
      <c r="G4946" s="94" t="n"/>
      <c r="H4946" s="94" t="n"/>
      <c r="I4946" s="94" t="n"/>
      <c r="J4946" s="55" t="n"/>
      <c r="K4946" s="95" t="n"/>
      <c r="L4946" s="116">
        <f>IF($A4946="","",DATE(YEAR($A4946),MONTH($A4946)+IF(AND(IFERROR(N(INDEX(Übersicht!$M$15:$M$22,MATCH($B4946,Übersicht!$A$15:$A$22,0))),0)&gt;1,DAY($A4946)&gt;=IFERROR(N(INDEX(Übersicht!$M$15:$M$22,MATCH($B4946,Übersicht!$A$15:$A$22,0))),0)),1,0),1))</f>
        <v/>
      </c>
    </row>
    <row r="4947">
      <c r="A4947" s="92" t="n"/>
      <c r="B4947" s="55" t="n"/>
      <c r="C4947" s="55" t="n"/>
      <c r="D4947" s="55" t="n"/>
      <c r="E4947" s="93" t="n"/>
      <c r="F4947" s="94" t="n"/>
      <c r="G4947" s="94" t="n"/>
      <c r="H4947" s="94" t="n"/>
      <c r="I4947" s="94" t="n"/>
      <c r="J4947" s="55" t="n"/>
      <c r="K4947" s="95" t="n"/>
      <c r="L4947" s="116">
        <f>IF($A4947="","",DATE(YEAR($A4947),MONTH($A4947)+IF(AND(IFERROR(N(INDEX(Übersicht!$M$15:$M$22,MATCH($B4947,Übersicht!$A$15:$A$22,0))),0)&gt;1,DAY($A4947)&gt;=IFERROR(N(INDEX(Übersicht!$M$15:$M$22,MATCH($B4947,Übersicht!$A$15:$A$22,0))),0)),1,0),1))</f>
        <v/>
      </c>
    </row>
    <row r="4948">
      <c r="A4948" s="92" t="n"/>
      <c r="B4948" s="55" t="n"/>
      <c r="C4948" s="55" t="n"/>
      <c r="D4948" s="55" t="n"/>
      <c r="E4948" s="93" t="n"/>
      <c r="F4948" s="94" t="n"/>
      <c r="G4948" s="94" t="n"/>
      <c r="H4948" s="94" t="n"/>
      <c r="I4948" s="94" t="n"/>
      <c r="J4948" s="55" t="n"/>
      <c r="K4948" s="95" t="n"/>
      <c r="L4948" s="116">
        <f>IF($A4948="","",DATE(YEAR($A4948),MONTH($A4948)+IF(AND(IFERROR(N(INDEX(Übersicht!$M$15:$M$22,MATCH($B4948,Übersicht!$A$15:$A$22,0))),0)&gt;1,DAY($A4948)&gt;=IFERROR(N(INDEX(Übersicht!$M$15:$M$22,MATCH($B4948,Übersicht!$A$15:$A$22,0))),0)),1,0),1))</f>
        <v/>
      </c>
    </row>
    <row r="4949">
      <c r="A4949" s="92" t="n"/>
      <c r="B4949" s="55" t="n"/>
      <c r="C4949" s="55" t="n"/>
      <c r="D4949" s="55" t="n"/>
      <c r="E4949" s="93" t="n"/>
      <c r="F4949" s="94" t="n"/>
      <c r="G4949" s="94" t="n"/>
      <c r="H4949" s="94" t="n"/>
      <c r="I4949" s="94" t="n"/>
      <c r="J4949" s="55" t="n"/>
      <c r="K4949" s="95" t="n"/>
      <c r="L4949" s="116">
        <f>IF($A4949="","",DATE(YEAR($A4949),MONTH($A4949)+IF(AND(IFERROR(N(INDEX(Übersicht!$M$15:$M$22,MATCH($B4949,Übersicht!$A$15:$A$22,0))),0)&gt;1,DAY($A4949)&gt;=IFERROR(N(INDEX(Übersicht!$M$15:$M$22,MATCH($B4949,Übersicht!$A$15:$A$22,0))),0)),1,0),1))</f>
        <v/>
      </c>
    </row>
    <row r="4950">
      <c r="A4950" s="92" t="n"/>
      <c r="B4950" s="55" t="n"/>
      <c r="C4950" s="55" t="n"/>
      <c r="D4950" s="55" t="n"/>
      <c r="E4950" s="93" t="n"/>
      <c r="F4950" s="94" t="n"/>
      <c r="G4950" s="94" t="n"/>
      <c r="H4950" s="94" t="n"/>
      <c r="I4950" s="94" t="n"/>
      <c r="J4950" s="55" t="n"/>
      <c r="K4950" s="95" t="n"/>
      <c r="L4950" s="116">
        <f>IF($A4950="","",DATE(YEAR($A4950),MONTH($A4950)+IF(AND(IFERROR(N(INDEX(Übersicht!$M$15:$M$22,MATCH($B4950,Übersicht!$A$15:$A$22,0))),0)&gt;1,DAY($A4950)&gt;=IFERROR(N(INDEX(Übersicht!$M$15:$M$22,MATCH($B4950,Übersicht!$A$15:$A$22,0))),0)),1,0),1))</f>
        <v/>
      </c>
    </row>
    <row r="4951">
      <c r="A4951" s="92" t="n"/>
      <c r="B4951" s="55" t="n"/>
      <c r="C4951" s="55" t="n"/>
      <c r="D4951" s="55" t="n"/>
      <c r="E4951" s="93" t="n"/>
      <c r="F4951" s="94" t="n"/>
      <c r="G4951" s="94" t="n"/>
      <c r="H4951" s="94" t="n"/>
      <c r="I4951" s="94" t="n"/>
      <c r="J4951" s="55" t="n"/>
      <c r="K4951" s="95" t="n"/>
      <c r="L4951" s="116">
        <f>IF($A4951="","",DATE(YEAR($A4951),MONTH($A4951)+IF(AND(IFERROR(N(INDEX(Übersicht!$M$15:$M$22,MATCH($B4951,Übersicht!$A$15:$A$22,0))),0)&gt;1,DAY($A4951)&gt;=IFERROR(N(INDEX(Übersicht!$M$15:$M$22,MATCH($B4951,Übersicht!$A$15:$A$22,0))),0)),1,0),1))</f>
        <v/>
      </c>
    </row>
    <row r="4952">
      <c r="A4952" s="92" t="n"/>
      <c r="B4952" s="55" t="n"/>
      <c r="C4952" s="55" t="n"/>
      <c r="D4952" s="55" t="n"/>
      <c r="E4952" s="93" t="n"/>
      <c r="F4952" s="94" t="n"/>
      <c r="G4952" s="94" t="n"/>
      <c r="H4952" s="94" t="n"/>
      <c r="I4952" s="94" t="n"/>
      <c r="J4952" s="55" t="n"/>
      <c r="K4952" s="95" t="n"/>
      <c r="L4952" s="116">
        <f>IF($A4952="","",DATE(YEAR($A4952),MONTH($A4952)+IF(AND(IFERROR(N(INDEX(Übersicht!$M$15:$M$22,MATCH($B4952,Übersicht!$A$15:$A$22,0))),0)&gt;1,DAY($A4952)&gt;=IFERROR(N(INDEX(Übersicht!$M$15:$M$22,MATCH($B4952,Übersicht!$A$15:$A$22,0))),0)),1,0),1))</f>
        <v/>
      </c>
    </row>
    <row r="4953">
      <c r="A4953" s="92" t="n"/>
      <c r="B4953" s="55" t="n"/>
      <c r="C4953" s="55" t="n"/>
      <c r="D4953" s="55" t="n"/>
      <c r="E4953" s="93" t="n"/>
      <c r="F4953" s="94" t="n"/>
      <c r="G4953" s="94" t="n"/>
      <c r="H4953" s="94" t="n"/>
      <c r="I4953" s="94" t="n"/>
      <c r="J4953" s="55" t="n"/>
      <c r="K4953" s="95" t="n"/>
      <c r="L4953" s="116">
        <f>IF($A4953="","",DATE(YEAR($A4953),MONTH($A4953)+IF(AND(IFERROR(N(INDEX(Übersicht!$M$15:$M$22,MATCH($B4953,Übersicht!$A$15:$A$22,0))),0)&gt;1,DAY($A4953)&gt;=IFERROR(N(INDEX(Übersicht!$M$15:$M$22,MATCH($B4953,Übersicht!$A$15:$A$22,0))),0)),1,0),1))</f>
        <v/>
      </c>
    </row>
    <row r="4954">
      <c r="A4954" s="92" t="n"/>
      <c r="B4954" s="55" t="n"/>
      <c r="C4954" s="55" t="n"/>
      <c r="D4954" s="55" t="n"/>
      <c r="E4954" s="93" t="n"/>
      <c r="F4954" s="94" t="n"/>
      <c r="G4954" s="94" t="n"/>
      <c r="H4954" s="94" t="n"/>
      <c r="I4954" s="94" t="n"/>
      <c r="J4954" s="55" t="n"/>
      <c r="K4954" s="95" t="n"/>
      <c r="L4954" s="116">
        <f>IF($A4954="","",DATE(YEAR($A4954),MONTH($A4954)+IF(AND(IFERROR(N(INDEX(Übersicht!$M$15:$M$22,MATCH($B4954,Übersicht!$A$15:$A$22,0))),0)&gt;1,DAY($A4954)&gt;=IFERROR(N(INDEX(Übersicht!$M$15:$M$22,MATCH($B4954,Übersicht!$A$15:$A$22,0))),0)),1,0),1))</f>
        <v/>
      </c>
    </row>
    <row r="4955">
      <c r="A4955" s="92" t="n"/>
      <c r="B4955" s="55" t="n"/>
      <c r="C4955" s="55" t="n"/>
      <c r="D4955" s="55" t="n"/>
      <c r="E4955" s="93" t="n"/>
      <c r="F4955" s="94" t="n"/>
      <c r="G4955" s="94" t="n"/>
      <c r="H4955" s="94" t="n"/>
      <c r="I4955" s="94" t="n"/>
      <c r="J4955" s="55" t="n"/>
      <c r="K4955" s="95" t="n"/>
      <c r="L4955" s="116">
        <f>IF($A4955="","",DATE(YEAR($A4955),MONTH($A4955)+IF(AND(IFERROR(N(INDEX(Übersicht!$M$15:$M$22,MATCH($B4955,Übersicht!$A$15:$A$22,0))),0)&gt;1,DAY($A4955)&gt;=IFERROR(N(INDEX(Übersicht!$M$15:$M$22,MATCH($B4955,Übersicht!$A$15:$A$22,0))),0)),1,0),1))</f>
        <v/>
      </c>
    </row>
    <row r="4956">
      <c r="A4956" s="92" t="n"/>
      <c r="B4956" s="55" t="n"/>
      <c r="C4956" s="55" t="n"/>
      <c r="D4956" s="55" t="n"/>
      <c r="E4956" s="93" t="n"/>
      <c r="F4956" s="94" t="n"/>
      <c r="G4956" s="94" t="n"/>
      <c r="H4956" s="94" t="n"/>
      <c r="I4956" s="94" t="n"/>
      <c r="J4956" s="55" t="n"/>
      <c r="K4956" s="95" t="n"/>
      <c r="L4956" s="116">
        <f>IF($A4956="","",DATE(YEAR($A4956),MONTH($A4956)+IF(AND(IFERROR(N(INDEX(Übersicht!$M$15:$M$22,MATCH($B4956,Übersicht!$A$15:$A$22,0))),0)&gt;1,DAY($A4956)&gt;=IFERROR(N(INDEX(Übersicht!$M$15:$M$22,MATCH($B4956,Übersicht!$A$15:$A$22,0))),0)),1,0),1))</f>
        <v/>
      </c>
    </row>
    <row r="4957">
      <c r="A4957" s="92" t="n"/>
      <c r="B4957" s="55" t="n"/>
      <c r="C4957" s="55" t="n"/>
      <c r="D4957" s="55" t="n"/>
      <c r="E4957" s="93" t="n"/>
      <c r="F4957" s="94" t="n"/>
      <c r="G4957" s="94" t="n"/>
      <c r="H4957" s="94" t="n"/>
      <c r="I4957" s="94" t="n"/>
      <c r="J4957" s="55" t="n"/>
      <c r="K4957" s="95" t="n"/>
      <c r="L4957" s="116">
        <f>IF($A4957="","",DATE(YEAR($A4957),MONTH($A4957)+IF(AND(IFERROR(N(INDEX(Übersicht!$M$15:$M$22,MATCH($B4957,Übersicht!$A$15:$A$22,0))),0)&gt;1,DAY($A4957)&gt;=IFERROR(N(INDEX(Übersicht!$M$15:$M$22,MATCH($B4957,Übersicht!$A$15:$A$22,0))),0)),1,0),1))</f>
        <v/>
      </c>
    </row>
    <row r="4958">
      <c r="A4958" s="92" t="n"/>
      <c r="B4958" s="55" t="n"/>
      <c r="C4958" s="55" t="n"/>
      <c r="D4958" s="55" t="n"/>
      <c r="E4958" s="93" t="n"/>
      <c r="F4958" s="94" t="n"/>
      <c r="G4958" s="94" t="n"/>
      <c r="H4958" s="94" t="n"/>
      <c r="I4958" s="94" t="n"/>
      <c r="J4958" s="55" t="n"/>
      <c r="K4958" s="95" t="n"/>
      <c r="L4958" s="116">
        <f>IF($A4958="","",DATE(YEAR($A4958),MONTH($A4958)+IF(AND(IFERROR(N(INDEX(Übersicht!$M$15:$M$22,MATCH($B4958,Übersicht!$A$15:$A$22,0))),0)&gt;1,DAY($A4958)&gt;=IFERROR(N(INDEX(Übersicht!$M$15:$M$22,MATCH($B4958,Übersicht!$A$15:$A$22,0))),0)),1,0),1))</f>
        <v/>
      </c>
    </row>
    <row r="4959">
      <c r="A4959" s="92" t="n"/>
      <c r="B4959" s="55" t="n"/>
      <c r="C4959" s="55" t="n"/>
      <c r="D4959" s="55" t="n"/>
      <c r="E4959" s="93" t="n"/>
      <c r="F4959" s="94" t="n"/>
      <c r="G4959" s="94" t="n"/>
      <c r="H4959" s="94" t="n"/>
      <c r="I4959" s="94" t="n"/>
      <c r="J4959" s="55" t="n"/>
      <c r="K4959" s="95" t="n"/>
      <c r="L4959" s="116">
        <f>IF($A4959="","",DATE(YEAR($A4959),MONTH($A4959)+IF(AND(IFERROR(N(INDEX(Übersicht!$M$15:$M$22,MATCH($B4959,Übersicht!$A$15:$A$22,0))),0)&gt;1,DAY($A4959)&gt;=IFERROR(N(INDEX(Übersicht!$M$15:$M$22,MATCH($B4959,Übersicht!$A$15:$A$22,0))),0)),1,0),1))</f>
        <v/>
      </c>
    </row>
    <row r="4960">
      <c r="A4960" s="92" t="n"/>
      <c r="B4960" s="55" t="n"/>
      <c r="C4960" s="55" t="n"/>
      <c r="D4960" s="55" t="n"/>
      <c r="E4960" s="93" t="n"/>
      <c r="F4960" s="94" t="n"/>
      <c r="G4960" s="94" t="n"/>
      <c r="H4960" s="94" t="n"/>
      <c r="I4960" s="94" t="n"/>
      <c r="J4960" s="55" t="n"/>
      <c r="K4960" s="95" t="n"/>
      <c r="L4960" s="116">
        <f>IF($A4960="","",DATE(YEAR($A4960),MONTH($A4960)+IF(AND(IFERROR(N(INDEX(Übersicht!$M$15:$M$22,MATCH($B4960,Übersicht!$A$15:$A$22,0))),0)&gt;1,DAY($A4960)&gt;=IFERROR(N(INDEX(Übersicht!$M$15:$M$22,MATCH($B4960,Übersicht!$A$15:$A$22,0))),0)),1,0),1))</f>
        <v/>
      </c>
    </row>
    <row r="4961">
      <c r="A4961" s="92" t="n"/>
      <c r="B4961" s="55" t="n"/>
      <c r="C4961" s="55" t="n"/>
      <c r="D4961" s="55" t="n"/>
      <c r="E4961" s="93" t="n"/>
      <c r="F4961" s="94" t="n"/>
      <c r="G4961" s="94" t="n"/>
      <c r="H4961" s="94" t="n"/>
      <c r="I4961" s="94" t="n"/>
      <c r="J4961" s="55" t="n"/>
      <c r="K4961" s="95" t="n"/>
      <c r="L4961" s="116">
        <f>IF($A4961="","",DATE(YEAR($A4961),MONTH($A4961)+IF(AND(IFERROR(N(INDEX(Übersicht!$M$15:$M$22,MATCH($B4961,Übersicht!$A$15:$A$22,0))),0)&gt;1,DAY($A4961)&gt;=IFERROR(N(INDEX(Übersicht!$M$15:$M$22,MATCH($B4961,Übersicht!$A$15:$A$22,0))),0)),1,0),1))</f>
        <v/>
      </c>
    </row>
    <row r="4962">
      <c r="A4962" s="92" t="n"/>
      <c r="B4962" s="55" t="n"/>
      <c r="C4962" s="55" t="n"/>
      <c r="D4962" s="55" t="n"/>
      <c r="E4962" s="93" t="n"/>
      <c r="F4962" s="94" t="n"/>
      <c r="G4962" s="94" t="n"/>
      <c r="H4962" s="94" t="n"/>
      <c r="I4962" s="94" t="n"/>
      <c r="J4962" s="55" t="n"/>
      <c r="K4962" s="95" t="n"/>
      <c r="L4962" s="116">
        <f>IF($A4962="","",DATE(YEAR($A4962),MONTH($A4962)+IF(AND(IFERROR(N(INDEX(Übersicht!$M$15:$M$22,MATCH($B4962,Übersicht!$A$15:$A$22,0))),0)&gt;1,DAY($A4962)&gt;=IFERROR(N(INDEX(Übersicht!$M$15:$M$22,MATCH($B4962,Übersicht!$A$15:$A$22,0))),0)),1,0),1))</f>
        <v/>
      </c>
    </row>
    <row r="4963">
      <c r="A4963" s="92" t="n"/>
      <c r="B4963" s="55" t="n"/>
      <c r="C4963" s="55" t="n"/>
      <c r="D4963" s="55" t="n"/>
      <c r="E4963" s="93" t="n"/>
      <c r="F4963" s="94" t="n"/>
      <c r="G4963" s="94" t="n"/>
      <c r="H4963" s="94" t="n"/>
      <c r="I4963" s="94" t="n"/>
      <c r="J4963" s="55" t="n"/>
      <c r="K4963" s="95" t="n"/>
      <c r="L4963" s="116">
        <f>IF($A4963="","",DATE(YEAR($A4963),MONTH($A4963)+IF(AND(IFERROR(N(INDEX(Übersicht!$M$15:$M$22,MATCH($B4963,Übersicht!$A$15:$A$22,0))),0)&gt;1,DAY($A4963)&gt;=IFERROR(N(INDEX(Übersicht!$M$15:$M$22,MATCH($B4963,Übersicht!$A$15:$A$22,0))),0)),1,0),1))</f>
        <v/>
      </c>
    </row>
    <row r="4964">
      <c r="A4964" s="92" t="n"/>
      <c r="B4964" s="55" t="n"/>
      <c r="C4964" s="55" t="n"/>
      <c r="D4964" s="55" t="n"/>
      <c r="E4964" s="93" t="n"/>
      <c r="F4964" s="94" t="n"/>
      <c r="G4964" s="94" t="n"/>
      <c r="H4964" s="94" t="n"/>
      <c r="I4964" s="94" t="n"/>
      <c r="J4964" s="55" t="n"/>
      <c r="K4964" s="95" t="n"/>
      <c r="L4964" s="116">
        <f>IF($A4964="","",DATE(YEAR($A4964),MONTH($A4964)+IF(AND(IFERROR(N(INDEX(Übersicht!$M$15:$M$22,MATCH($B4964,Übersicht!$A$15:$A$22,0))),0)&gt;1,DAY($A4964)&gt;=IFERROR(N(INDEX(Übersicht!$M$15:$M$22,MATCH($B4964,Übersicht!$A$15:$A$22,0))),0)),1,0),1))</f>
        <v/>
      </c>
    </row>
    <row r="4965">
      <c r="A4965" s="92" t="n"/>
      <c r="B4965" s="55" t="n"/>
      <c r="C4965" s="55" t="n"/>
      <c r="D4965" s="55" t="n"/>
      <c r="E4965" s="93" t="n"/>
      <c r="F4965" s="94" t="n"/>
      <c r="G4965" s="94" t="n"/>
      <c r="H4965" s="94" t="n"/>
      <c r="I4965" s="94" t="n"/>
      <c r="J4965" s="55" t="n"/>
      <c r="K4965" s="95" t="n"/>
      <c r="L4965" s="116">
        <f>IF($A4965="","",DATE(YEAR($A4965),MONTH($A4965)+IF(AND(IFERROR(N(INDEX(Übersicht!$M$15:$M$22,MATCH($B4965,Übersicht!$A$15:$A$22,0))),0)&gt;1,DAY($A4965)&gt;=IFERROR(N(INDEX(Übersicht!$M$15:$M$22,MATCH($B4965,Übersicht!$A$15:$A$22,0))),0)),1,0),1))</f>
        <v/>
      </c>
    </row>
    <row r="4966">
      <c r="A4966" s="92" t="n"/>
      <c r="B4966" s="55" t="n"/>
      <c r="C4966" s="55" t="n"/>
      <c r="D4966" s="55" t="n"/>
      <c r="E4966" s="93" t="n"/>
      <c r="F4966" s="94" t="n"/>
      <c r="G4966" s="94" t="n"/>
      <c r="H4966" s="94" t="n"/>
      <c r="I4966" s="94" t="n"/>
      <c r="J4966" s="55" t="n"/>
      <c r="K4966" s="95" t="n"/>
      <c r="L4966" s="116">
        <f>IF($A4966="","",DATE(YEAR($A4966),MONTH($A4966)+IF(AND(IFERROR(N(INDEX(Übersicht!$M$15:$M$22,MATCH($B4966,Übersicht!$A$15:$A$22,0))),0)&gt;1,DAY($A4966)&gt;=IFERROR(N(INDEX(Übersicht!$M$15:$M$22,MATCH($B4966,Übersicht!$A$15:$A$22,0))),0)),1,0),1))</f>
        <v/>
      </c>
    </row>
    <row r="4967">
      <c r="A4967" s="92" t="n"/>
      <c r="B4967" s="55" t="n"/>
      <c r="C4967" s="55" t="n"/>
      <c r="D4967" s="55" t="n"/>
      <c r="E4967" s="93" t="n"/>
      <c r="F4967" s="94" t="n"/>
      <c r="G4967" s="94" t="n"/>
      <c r="H4967" s="94" t="n"/>
      <c r="I4967" s="94" t="n"/>
      <c r="J4967" s="55" t="n"/>
      <c r="K4967" s="95" t="n"/>
      <c r="L4967" s="116">
        <f>IF($A4967="","",DATE(YEAR($A4967),MONTH($A4967)+IF(AND(IFERROR(N(INDEX(Übersicht!$M$15:$M$22,MATCH($B4967,Übersicht!$A$15:$A$22,0))),0)&gt;1,DAY($A4967)&gt;=IFERROR(N(INDEX(Übersicht!$M$15:$M$22,MATCH($B4967,Übersicht!$A$15:$A$22,0))),0)),1,0),1))</f>
        <v/>
      </c>
    </row>
    <row r="4968">
      <c r="A4968" s="92" t="n"/>
      <c r="B4968" s="55" t="n"/>
      <c r="C4968" s="55" t="n"/>
      <c r="D4968" s="55" t="n"/>
      <c r="E4968" s="93" t="n"/>
      <c r="F4968" s="94" t="n"/>
      <c r="G4968" s="94" t="n"/>
      <c r="H4968" s="94" t="n"/>
      <c r="I4968" s="94" t="n"/>
      <c r="J4968" s="55" t="n"/>
      <c r="K4968" s="95" t="n"/>
      <c r="L4968" s="116">
        <f>IF($A4968="","",DATE(YEAR($A4968),MONTH($A4968)+IF(AND(IFERROR(N(INDEX(Übersicht!$M$15:$M$22,MATCH($B4968,Übersicht!$A$15:$A$22,0))),0)&gt;1,DAY($A4968)&gt;=IFERROR(N(INDEX(Übersicht!$M$15:$M$22,MATCH($B4968,Übersicht!$A$15:$A$22,0))),0)),1,0),1))</f>
        <v/>
      </c>
    </row>
    <row r="4969">
      <c r="A4969" s="92" t="n"/>
      <c r="B4969" s="55" t="n"/>
      <c r="C4969" s="55" t="n"/>
      <c r="D4969" s="55" t="n"/>
      <c r="E4969" s="93" t="n"/>
      <c r="F4969" s="94" t="n"/>
      <c r="G4969" s="94" t="n"/>
      <c r="H4969" s="94" t="n"/>
      <c r="I4969" s="94" t="n"/>
      <c r="J4969" s="55" t="n"/>
      <c r="K4969" s="95" t="n"/>
      <c r="L4969" s="116">
        <f>IF($A4969="","",DATE(YEAR($A4969),MONTH($A4969)+IF(AND(IFERROR(N(INDEX(Übersicht!$M$15:$M$22,MATCH($B4969,Übersicht!$A$15:$A$22,0))),0)&gt;1,DAY($A4969)&gt;=IFERROR(N(INDEX(Übersicht!$M$15:$M$22,MATCH($B4969,Übersicht!$A$15:$A$22,0))),0)),1,0),1))</f>
        <v/>
      </c>
    </row>
    <row r="4970">
      <c r="A4970" s="92" t="n"/>
      <c r="B4970" s="55" t="n"/>
      <c r="C4970" s="55" t="n"/>
      <c r="D4970" s="55" t="n"/>
      <c r="E4970" s="93" t="n"/>
      <c r="F4970" s="94" t="n"/>
      <c r="G4970" s="94" t="n"/>
      <c r="H4970" s="94" t="n"/>
      <c r="I4970" s="94" t="n"/>
      <c r="J4970" s="55" t="n"/>
      <c r="K4970" s="95" t="n"/>
      <c r="L4970" s="116">
        <f>IF($A4970="","",DATE(YEAR($A4970),MONTH($A4970)+IF(AND(IFERROR(N(INDEX(Übersicht!$M$15:$M$22,MATCH($B4970,Übersicht!$A$15:$A$22,0))),0)&gt;1,DAY($A4970)&gt;=IFERROR(N(INDEX(Übersicht!$M$15:$M$22,MATCH($B4970,Übersicht!$A$15:$A$22,0))),0)),1,0),1))</f>
        <v/>
      </c>
    </row>
    <row r="4971">
      <c r="A4971" s="92" t="n"/>
      <c r="B4971" s="55" t="n"/>
      <c r="C4971" s="55" t="n"/>
      <c r="D4971" s="55" t="n"/>
      <c r="E4971" s="93" t="n"/>
      <c r="F4971" s="94" t="n"/>
      <c r="G4971" s="94" t="n"/>
      <c r="H4971" s="94" t="n"/>
      <c r="I4971" s="94" t="n"/>
      <c r="J4971" s="55" t="n"/>
      <c r="K4971" s="95" t="n"/>
      <c r="L4971" s="116">
        <f>IF($A4971="","",DATE(YEAR($A4971),MONTH($A4971)+IF(AND(IFERROR(N(INDEX(Übersicht!$M$15:$M$22,MATCH($B4971,Übersicht!$A$15:$A$22,0))),0)&gt;1,DAY($A4971)&gt;=IFERROR(N(INDEX(Übersicht!$M$15:$M$22,MATCH($B4971,Übersicht!$A$15:$A$22,0))),0)),1,0),1))</f>
        <v/>
      </c>
    </row>
    <row r="4972">
      <c r="A4972" s="92" t="n"/>
      <c r="B4972" s="55" t="n"/>
      <c r="C4972" s="55" t="n"/>
      <c r="D4972" s="55" t="n"/>
      <c r="E4972" s="93" t="n"/>
      <c r="F4972" s="94" t="n"/>
      <c r="G4972" s="94" t="n"/>
      <c r="H4972" s="94" t="n"/>
      <c r="I4972" s="94" t="n"/>
      <c r="J4972" s="55" t="n"/>
      <c r="K4972" s="95" t="n"/>
      <c r="L4972" s="116">
        <f>IF($A4972="","",DATE(YEAR($A4972),MONTH($A4972)+IF(AND(IFERROR(N(INDEX(Übersicht!$M$15:$M$22,MATCH($B4972,Übersicht!$A$15:$A$22,0))),0)&gt;1,DAY($A4972)&gt;=IFERROR(N(INDEX(Übersicht!$M$15:$M$22,MATCH($B4972,Übersicht!$A$15:$A$22,0))),0)),1,0),1))</f>
        <v/>
      </c>
    </row>
    <row r="4973">
      <c r="A4973" s="92" t="n"/>
      <c r="B4973" s="55" t="n"/>
      <c r="C4973" s="55" t="n"/>
      <c r="D4973" s="55" t="n"/>
      <c r="E4973" s="93" t="n"/>
      <c r="F4973" s="94" t="n"/>
      <c r="G4973" s="94" t="n"/>
      <c r="H4973" s="94" t="n"/>
      <c r="I4973" s="94" t="n"/>
      <c r="J4973" s="55" t="n"/>
      <c r="K4973" s="95" t="n"/>
      <c r="L4973" s="116">
        <f>IF($A4973="","",DATE(YEAR($A4973),MONTH($A4973)+IF(AND(IFERROR(N(INDEX(Übersicht!$M$15:$M$22,MATCH($B4973,Übersicht!$A$15:$A$22,0))),0)&gt;1,DAY($A4973)&gt;=IFERROR(N(INDEX(Übersicht!$M$15:$M$22,MATCH($B4973,Übersicht!$A$15:$A$22,0))),0)),1,0),1))</f>
        <v/>
      </c>
    </row>
    <row r="4974">
      <c r="A4974" s="92" t="n"/>
      <c r="B4974" s="55" t="n"/>
      <c r="C4974" s="55" t="n"/>
      <c r="D4974" s="55" t="n"/>
      <c r="E4974" s="93" t="n"/>
      <c r="F4974" s="94" t="n"/>
      <c r="G4974" s="94" t="n"/>
      <c r="H4974" s="94" t="n"/>
      <c r="I4974" s="94" t="n"/>
      <c r="J4974" s="55" t="n"/>
      <c r="K4974" s="95" t="n"/>
      <c r="L4974" s="116">
        <f>IF($A4974="","",DATE(YEAR($A4974),MONTH($A4974)+IF(AND(IFERROR(N(INDEX(Übersicht!$M$15:$M$22,MATCH($B4974,Übersicht!$A$15:$A$22,0))),0)&gt;1,DAY($A4974)&gt;=IFERROR(N(INDEX(Übersicht!$M$15:$M$22,MATCH($B4974,Übersicht!$A$15:$A$22,0))),0)),1,0),1))</f>
        <v/>
      </c>
    </row>
    <row r="4975">
      <c r="A4975" s="92" t="n"/>
      <c r="B4975" s="55" t="n"/>
      <c r="C4975" s="55" t="n"/>
      <c r="D4975" s="55" t="n"/>
      <c r="E4975" s="93" t="n"/>
      <c r="F4975" s="94" t="n"/>
      <c r="G4975" s="94" t="n"/>
      <c r="H4975" s="94" t="n"/>
      <c r="I4975" s="94" t="n"/>
      <c r="J4975" s="55" t="n"/>
      <c r="K4975" s="95" t="n"/>
      <c r="L4975" s="116">
        <f>IF($A4975="","",DATE(YEAR($A4975),MONTH($A4975)+IF(AND(IFERROR(N(INDEX(Übersicht!$M$15:$M$22,MATCH($B4975,Übersicht!$A$15:$A$22,0))),0)&gt;1,DAY($A4975)&gt;=IFERROR(N(INDEX(Übersicht!$M$15:$M$22,MATCH($B4975,Übersicht!$A$15:$A$22,0))),0)),1,0),1))</f>
        <v/>
      </c>
    </row>
    <row r="4976">
      <c r="A4976" s="92" t="n"/>
      <c r="B4976" s="55" t="n"/>
      <c r="C4976" s="55" t="n"/>
      <c r="D4976" s="55" t="n"/>
      <c r="E4976" s="93" t="n"/>
      <c r="F4976" s="94" t="n"/>
      <c r="G4976" s="94" t="n"/>
      <c r="H4976" s="94" t="n"/>
      <c r="I4976" s="94" t="n"/>
      <c r="J4976" s="55" t="n"/>
      <c r="K4976" s="95" t="n"/>
      <c r="L4976" s="116">
        <f>IF($A4976="","",DATE(YEAR($A4976),MONTH($A4976)+IF(AND(IFERROR(N(INDEX(Übersicht!$M$15:$M$22,MATCH($B4976,Übersicht!$A$15:$A$22,0))),0)&gt;1,DAY($A4976)&gt;=IFERROR(N(INDEX(Übersicht!$M$15:$M$22,MATCH($B4976,Übersicht!$A$15:$A$22,0))),0)),1,0),1))</f>
        <v/>
      </c>
    </row>
    <row r="4977">
      <c r="A4977" s="92" t="n"/>
      <c r="B4977" s="55" t="n"/>
      <c r="C4977" s="55" t="n"/>
      <c r="D4977" s="55" t="n"/>
      <c r="E4977" s="93" t="n"/>
      <c r="F4977" s="94" t="n"/>
      <c r="G4977" s="94" t="n"/>
      <c r="H4977" s="94" t="n"/>
      <c r="I4977" s="94" t="n"/>
      <c r="J4977" s="55" t="n"/>
      <c r="K4977" s="95" t="n"/>
      <c r="L4977" s="116">
        <f>IF($A4977="","",DATE(YEAR($A4977),MONTH($A4977)+IF(AND(IFERROR(N(INDEX(Übersicht!$M$15:$M$22,MATCH($B4977,Übersicht!$A$15:$A$22,0))),0)&gt;1,DAY($A4977)&gt;=IFERROR(N(INDEX(Übersicht!$M$15:$M$22,MATCH($B4977,Übersicht!$A$15:$A$22,0))),0)),1,0),1))</f>
        <v/>
      </c>
    </row>
    <row r="4978">
      <c r="A4978" s="92" t="n"/>
      <c r="B4978" s="55" t="n"/>
      <c r="C4978" s="55" t="n"/>
      <c r="D4978" s="55" t="n"/>
      <c r="E4978" s="93" t="n"/>
      <c r="F4978" s="94" t="n"/>
      <c r="G4978" s="94" t="n"/>
      <c r="H4978" s="94" t="n"/>
      <c r="I4978" s="94" t="n"/>
      <c r="J4978" s="55" t="n"/>
      <c r="K4978" s="95" t="n"/>
      <c r="L4978" s="116">
        <f>IF($A4978="","",DATE(YEAR($A4978),MONTH($A4978)+IF(AND(IFERROR(N(INDEX(Übersicht!$M$15:$M$22,MATCH($B4978,Übersicht!$A$15:$A$22,0))),0)&gt;1,DAY($A4978)&gt;=IFERROR(N(INDEX(Übersicht!$M$15:$M$22,MATCH($B4978,Übersicht!$A$15:$A$22,0))),0)),1,0),1))</f>
        <v/>
      </c>
    </row>
    <row r="4979">
      <c r="A4979" s="92" t="n"/>
      <c r="B4979" s="55" t="n"/>
      <c r="C4979" s="55" t="n"/>
      <c r="D4979" s="55" t="n"/>
      <c r="E4979" s="93" t="n"/>
      <c r="F4979" s="94" t="n"/>
      <c r="G4979" s="94" t="n"/>
      <c r="H4979" s="94" t="n"/>
      <c r="I4979" s="94" t="n"/>
      <c r="J4979" s="55" t="n"/>
      <c r="K4979" s="95" t="n"/>
      <c r="L4979" s="116">
        <f>IF($A4979="","",DATE(YEAR($A4979),MONTH($A4979)+IF(AND(IFERROR(N(INDEX(Übersicht!$M$15:$M$22,MATCH($B4979,Übersicht!$A$15:$A$22,0))),0)&gt;1,DAY($A4979)&gt;=IFERROR(N(INDEX(Übersicht!$M$15:$M$22,MATCH($B4979,Übersicht!$A$15:$A$22,0))),0)),1,0),1))</f>
        <v/>
      </c>
    </row>
    <row r="4980">
      <c r="A4980" s="92" t="n"/>
      <c r="B4980" s="55" t="n"/>
      <c r="C4980" s="55" t="n"/>
      <c r="D4980" s="55" t="n"/>
      <c r="E4980" s="93" t="n"/>
      <c r="F4980" s="94" t="n"/>
      <c r="G4980" s="94" t="n"/>
      <c r="H4980" s="94" t="n"/>
      <c r="I4980" s="94" t="n"/>
      <c r="J4980" s="55" t="n"/>
      <c r="K4980" s="95" t="n"/>
      <c r="L4980" s="116">
        <f>IF($A4980="","",DATE(YEAR($A4980),MONTH($A4980)+IF(AND(IFERROR(N(INDEX(Übersicht!$M$15:$M$22,MATCH($B4980,Übersicht!$A$15:$A$22,0))),0)&gt;1,DAY($A4980)&gt;=IFERROR(N(INDEX(Übersicht!$M$15:$M$22,MATCH($B4980,Übersicht!$A$15:$A$22,0))),0)),1,0),1))</f>
        <v/>
      </c>
    </row>
    <row r="4981">
      <c r="A4981" s="92" t="n"/>
      <c r="B4981" s="55" t="n"/>
      <c r="C4981" s="55" t="n"/>
      <c r="D4981" s="55" t="n"/>
      <c r="E4981" s="93" t="n"/>
      <c r="F4981" s="94" t="n"/>
      <c r="G4981" s="94" t="n"/>
      <c r="H4981" s="94" t="n"/>
      <c r="I4981" s="94" t="n"/>
      <c r="J4981" s="55" t="n"/>
      <c r="K4981" s="95" t="n"/>
      <c r="L4981" s="116">
        <f>IF($A4981="","",DATE(YEAR($A4981),MONTH($A4981)+IF(AND(IFERROR(N(INDEX(Übersicht!$M$15:$M$22,MATCH($B4981,Übersicht!$A$15:$A$22,0))),0)&gt;1,DAY($A4981)&gt;=IFERROR(N(INDEX(Übersicht!$M$15:$M$22,MATCH($B4981,Übersicht!$A$15:$A$22,0))),0)),1,0),1))</f>
        <v/>
      </c>
    </row>
    <row r="4982">
      <c r="A4982" s="92" t="n"/>
      <c r="B4982" s="55" t="n"/>
      <c r="C4982" s="55" t="n"/>
      <c r="D4982" s="55" t="n"/>
      <c r="E4982" s="93" t="n"/>
      <c r="F4982" s="94" t="n"/>
      <c r="G4982" s="94" t="n"/>
      <c r="H4982" s="94" t="n"/>
      <c r="I4982" s="94" t="n"/>
      <c r="J4982" s="55" t="n"/>
      <c r="K4982" s="95" t="n"/>
      <c r="L4982" s="116">
        <f>IF($A4982="","",DATE(YEAR($A4982),MONTH($A4982)+IF(AND(IFERROR(N(INDEX(Übersicht!$M$15:$M$22,MATCH($B4982,Übersicht!$A$15:$A$22,0))),0)&gt;1,DAY($A4982)&gt;=IFERROR(N(INDEX(Übersicht!$M$15:$M$22,MATCH($B4982,Übersicht!$A$15:$A$22,0))),0)),1,0),1))</f>
        <v/>
      </c>
    </row>
    <row r="4983">
      <c r="A4983" s="92" t="n"/>
      <c r="B4983" s="55" t="n"/>
      <c r="C4983" s="55" t="n"/>
      <c r="D4983" s="55" t="n"/>
      <c r="E4983" s="93" t="n"/>
      <c r="F4983" s="94" t="n"/>
      <c r="G4983" s="94" t="n"/>
      <c r="H4983" s="94" t="n"/>
      <c r="I4983" s="94" t="n"/>
      <c r="J4983" s="55" t="n"/>
      <c r="K4983" s="95" t="n"/>
      <c r="L4983" s="116">
        <f>IF($A4983="","",DATE(YEAR($A4983),MONTH($A4983)+IF(AND(IFERROR(N(INDEX(Übersicht!$M$15:$M$22,MATCH($B4983,Übersicht!$A$15:$A$22,0))),0)&gt;1,DAY($A4983)&gt;=IFERROR(N(INDEX(Übersicht!$M$15:$M$22,MATCH($B4983,Übersicht!$A$15:$A$22,0))),0)),1,0),1))</f>
        <v/>
      </c>
    </row>
    <row r="4984">
      <c r="A4984" s="92" t="n"/>
      <c r="B4984" s="55" t="n"/>
      <c r="C4984" s="55" t="n"/>
      <c r="D4984" s="55" t="n"/>
      <c r="E4984" s="93" t="n"/>
      <c r="F4984" s="94" t="n"/>
      <c r="G4984" s="94" t="n"/>
      <c r="H4984" s="94" t="n"/>
      <c r="I4984" s="94" t="n"/>
      <c r="J4984" s="55" t="n"/>
      <c r="K4984" s="95" t="n"/>
      <c r="L4984" s="116">
        <f>IF($A4984="","",DATE(YEAR($A4984),MONTH($A4984)+IF(AND(IFERROR(N(INDEX(Übersicht!$M$15:$M$22,MATCH($B4984,Übersicht!$A$15:$A$22,0))),0)&gt;1,DAY($A4984)&gt;=IFERROR(N(INDEX(Übersicht!$M$15:$M$22,MATCH($B4984,Übersicht!$A$15:$A$22,0))),0)),1,0),1))</f>
        <v/>
      </c>
    </row>
    <row r="4985">
      <c r="A4985" s="92" t="n"/>
      <c r="B4985" s="55" t="n"/>
      <c r="C4985" s="55" t="n"/>
      <c r="D4985" s="55" t="n"/>
      <c r="E4985" s="93" t="n"/>
      <c r="F4985" s="94" t="n"/>
      <c r="G4985" s="94" t="n"/>
      <c r="H4985" s="94" t="n"/>
      <c r="I4985" s="94" t="n"/>
      <c r="J4985" s="55" t="n"/>
      <c r="K4985" s="95" t="n"/>
      <c r="L4985" s="116">
        <f>IF($A4985="","",DATE(YEAR($A4985),MONTH($A4985)+IF(AND(IFERROR(N(INDEX(Übersicht!$M$15:$M$22,MATCH($B4985,Übersicht!$A$15:$A$22,0))),0)&gt;1,DAY($A4985)&gt;=IFERROR(N(INDEX(Übersicht!$M$15:$M$22,MATCH($B4985,Übersicht!$A$15:$A$22,0))),0)),1,0),1))</f>
        <v/>
      </c>
    </row>
    <row r="4986">
      <c r="A4986" s="92" t="n"/>
      <c r="B4986" s="55" t="n"/>
      <c r="C4986" s="55" t="n"/>
      <c r="D4986" s="55" t="n"/>
      <c r="E4986" s="93" t="n"/>
      <c r="F4986" s="94" t="n"/>
      <c r="G4986" s="94" t="n"/>
      <c r="H4986" s="94" t="n"/>
      <c r="I4986" s="94" t="n"/>
      <c r="J4986" s="55" t="n"/>
      <c r="K4986" s="95" t="n"/>
      <c r="L4986" s="116">
        <f>IF($A4986="","",DATE(YEAR($A4986),MONTH($A4986)+IF(AND(IFERROR(N(INDEX(Übersicht!$M$15:$M$22,MATCH($B4986,Übersicht!$A$15:$A$22,0))),0)&gt;1,DAY($A4986)&gt;=IFERROR(N(INDEX(Übersicht!$M$15:$M$22,MATCH($B4986,Übersicht!$A$15:$A$22,0))),0)),1,0),1))</f>
        <v/>
      </c>
    </row>
    <row r="4987">
      <c r="A4987" s="92" t="n"/>
      <c r="B4987" s="55" t="n"/>
      <c r="C4987" s="55" t="n"/>
      <c r="D4987" s="55" t="n"/>
      <c r="E4987" s="93" t="n"/>
      <c r="F4987" s="94" t="n"/>
      <c r="G4987" s="94" t="n"/>
      <c r="H4987" s="94" t="n"/>
      <c r="I4987" s="94" t="n"/>
      <c r="J4987" s="55" t="n"/>
      <c r="K4987" s="95" t="n"/>
      <c r="L4987" s="116">
        <f>IF($A4987="","",DATE(YEAR($A4987),MONTH($A4987)+IF(AND(IFERROR(N(INDEX(Übersicht!$M$15:$M$22,MATCH($B4987,Übersicht!$A$15:$A$22,0))),0)&gt;1,DAY($A4987)&gt;=IFERROR(N(INDEX(Übersicht!$M$15:$M$22,MATCH($B4987,Übersicht!$A$15:$A$22,0))),0)),1,0),1))</f>
        <v/>
      </c>
    </row>
    <row r="4988">
      <c r="A4988" s="92" t="n"/>
      <c r="B4988" s="55" t="n"/>
      <c r="C4988" s="55" t="n"/>
      <c r="D4988" s="55" t="n"/>
      <c r="E4988" s="93" t="n"/>
      <c r="F4988" s="94" t="n"/>
      <c r="G4988" s="94" t="n"/>
      <c r="H4988" s="94" t="n"/>
      <c r="I4988" s="94" t="n"/>
      <c r="J4988" s="55" t="n"/>
      <c r="K4988" s="95" t="n"/>
      <c r="L4988" s="116">
        <f>IF($A4988="","",DATE(YEAR($A4988),MONTH($A4988)+IF(AND(IFERROR(N(INDEX(Übersicht!$M$15:$M$22,MATCH($B4988,Übersicht!$A$15:$A$22,0))),0)&gt;1,DAY($A4988)&gt;=IFERROR(N(INDEX(Übersicht!$M$15:$M$22,MATCH($B4988,Übersicht!$A$15:$A$22,0))),0)),1,0),1))</f>
        <v/>
      </c>
    </row>
    <row r="4989">
      <c r="A4989" s="92" t="n"/>
      <c r="B4989" s="55" t="n"/>
      <c r="C4989" s="55" t="n"/>
      <c r="D4989" s="55" t="n"/>
      <c r="E4989" s="93" t="n"/>
      <c r="F4989" s="94" t="n"/>
      <c r="G4989" s="94" t="n"/>
      <c r="H4989" s="94" t="n"/>
      <c r="I4989" s="94" t="n"/>
      <c r="J4989" s="55" t="n"/>
      <c r="K4989" s="95" t="n"/>
      <c r="L4989" s="116">
        <f>IF($A4989="","",DATE(YEAR($A4989),MONTH($A4989)+IF(AND(IFERROR(N(INDEX(Übersicht!$M$15:$M$22,MATCH($B4989,Übersicht!$A$15:$A$22,0))),0)&gt;1,DAY($A4989)&gt;=IFERROR(N(INDEX(Übersicht!$M$15:$M$22,MATCH($B4989,Übersicht!$A$15:$A$22,0))),0)),1,0),1))</f>
        <v/>
      </c>
    </row>
    <row r="4990">
      <c r="A4990" s="92" t="n"/>
      <c r="B4990" s="55" t="n"/>
      <c r="C4990" s="55" t="n"/>
      <c r="D4990" s="55" t="n"/>
      <c r="E4990" s="93" t="n"/>
      <c r="F4990" s="94" t="n"/>
      <c r="G4990" s="94" t="n"/>
      <c r="H4990" s="94" t="n"/>
      <c r="I4990" s="94" t="n"/>
      <c r="J4990" s="55" t="n"/>
      <c r="K4990" s="95" t="n"/>
      <c r="L4990" s="116">
        <f>IF($A4990="","",DATE(YEAR($A4990),MONTH($A4990)+IF(AND(IFERROR(N(INDEX(Übersicht!$M$15:$M$22,MATCH($B4990,Übersicht!$A$15:$A$22,0))),0)&gt;1,DAY($A4990)&gt;=IFERROR(N(INDEX(Übersicht!$M$15:$M$22,MATCH($B4990,Übersicht!$A$15:$A$22,0))),0)),1,0),1))</f>
        <v/>
      </c>
    </row>
    <row r="4991">
      <c r="A4991" s="92" t="n"/>
      <c r="B4991" s="55" t="n"/>
      <c r="C4991" s="55" t="n"/>
      <c r="D4991" s="55" t="n"/>
      <c r="E4991" s="93" t="n"/>
      <c r="F4991" s="94" t="n"/>
      <c r="G4991" s="94" t="n"/>
      <c r="H4991" s="94" t="n"/>
      <c r="I4991" s="94" t="n"/>
      <c r="J4991" s="55" t="n"/>
      <c r="K4991" s="95" t="n"/>
      <c r="L4991" s="116">
        <f>IF($A4991="","",DATE(YEAR($A4991),MONTH($A4991)+IF(AND(IFERROR(N(INDEX(Übersicht!$M$15:$M$22,MATCH($B4991,Übersicht!$A$15:$A$22,0))),0)&gt;1,DAY($A4991)&gt;=IFERROR(N(INDEX(Übersicht!$M$15:$M$22,MATCH($B4991,Übersicht!$A$15:$A$22,0))),0)),1,0),1))</f>
        <v/>
      </c>
    </row>
    <row r="4992">
      <c r="A4992" s="92" t="n"/>
      <c r="B4992" s="55" t="n"/>
      <c r="C4992" s="55" t="n"/>
      <c r="D4992" s="55" t="n"/>
      <c r="E4992" s="93" t="n"/>
      <c r="F4992" s="94" t="n"/>
      <c r="G4992" s="94" t="n"/>
      <c r="H4992" s="94" t="n"/>
      <c r="I4992" s="94" t="n"/>
      <c r="J4992" s="55" t="n"/>
      <c r="K4992" s="95" t="n"/>
      <c r="L4992" s="116">
        <f>IF($A4992="","",DATE(YEAR($A4992),MONTH($A4992)+IF(AND(IFERROR(N(INDEX(Übersicht!$M$15:$M$22,MATCH($B4992,Übersicht!$A$15:$A$22,0))),0)&gt;1,DAY($A4992)&gt;=IFERROR(N(INDEX(Übersicht!$M$15:$M$22,MATCH($B4992,Übersicht!$A$15:$A$22,0))),0)),1,0),1))</f>
        <v/>
      </c>
    </row>
    <row r="4993">
      <c r="A4993" s="92" t="n"/>
      <c r="B4993" s="55" t="n"/>
      <c r="C4993" s="55" t="n"/>
      <c r="D4993" s="55" t="n"/>
      <c r="E4993" s="93" t="n"/>
      <c r="F4993" s="94" t="n"/>
      <c r="G4993" s="94" t="n"/>
      <c r="H4993" s="94" t="n"/>
      <c r="I4993" s="94" t="n"/>
      <c r="J4993" s="55" t="n"/>
      <c r="K4993" s="95" t="n"/>
      <c r="L4993" s="116">
        <f>IF($A4993="","",DATE(YEAR($A4993),MONTH($A4993)+IF(AND(IFERROR(N(INDEX(Übersicht!$M$15:$M$22,MATCH($B4993,Übersicht!$A$15:$A$22,0))),0)&gt;1,DAY($A4993)&gt;=IFERROR(N(INDEX(Übersicht!$M$15:$M$22,MATCH($B4993,Übersicht!$A$15:$A$22,0))),0)),1,0),1))</f>
        <v/>
      </c>
    </row>
    <row r="4994">
      <c r="A4994" s="92" t="n"/>
      <c r="B4994" s="55" t="n"/>
      <c r="C4994" s="55" t="n"/>
      <c r="D4994" s="55" t="n"/>
      <c r="E4994" s="93" t="n"/>
      <c r="F4994" s="94" t="n"/>
      <c r="G4994" s="94" t="n"/>
      <c r="H4994" s="94" t="n"/>
      <c r="I4994" s="94" t="n"/>
      <c r="J4994" s="55" t="n"/>
      <c r="K4994" s="95" t="n"/>
      <c r="L4994" s="116">
        <f>IF($A4994="","",DATE(YEAR($A4994),MONTH($A4994)+IF(AND(IFERROR(N(INDEX(Übersicht!$M$15:$M$22,MATCH($B4994,Übersicht!$A$15:$A$22,0))),0)&gt;1,DAY($A4994)&gt;=IFERROR(N(INDEX(Übersicht!$M$15:$M$22,MATCH($B4994,Übersicht!$A$15:$A$22,0))),0)),1,0),1))</f>
        <v/>
      </c>
    </row>
    <row r="4995">
      <c r="A4995" s="92" t="n"/>
      <c r="B4995" s="55" t="n"/>
      <c r="C4995" s="55" t="n"/>
      <c r="D4995" s="55" t="n"/>
      <c r="E4995" s="93" t="n"/>
      <c r="F4995" s="94" t="n"/>
      <c r="G4995" s="94" t="n"/>
      <c r="H4995" s="94" t="n"/>
      <c r="I4995" s="94" t="n"/>
      <c r="J4995" s="55" t="n"/>
      <c r="K4995" s="95" t="n"/>
      <c r="L4995" s="116">
        <f>IF($A4995="","",DATE(YEAR($A4995),MONTH($A4995)+IF(AND(IFERROR(N(INDEX(Übersicht!$M$15:$M$22,MATCH($B4995,Übersicht!$A$15:$A$22,0))),0)&gt;1,DAY($A4995)&gt;=IFERROR(N(INDEX(Übersicht!$M$15:$M$22,MATCH($B4995,Übersicht!$A$15:$A$22,0))),0)),1,0),1))</f>
        <v/>
      </c>
    </row>
    <row r="4996">
      <c r="A4996" s="92" t="n"/>
      <c r="B4996" s="55" t="n"/>
      <c r="C4996" s="55" t="n"/>
      <c r="D4996" s="55" t="n"/>
      <c r="E4996" s="93" t="n"/>
      <c r="F4996" s="94" t="n"/>
      <c r="G4996" s="94" t="n"/>
      <c r="H4996" s="94" t="n"/>
      <c r="I4996" s="94" t="n"/>
      <c r="J4996" s="55" t="n"/>
      <c r="K4996" s="95" t="n"/>
      <c r="L4996" s="116">
        <f>IF($A4996="","",DATE(YEAR($A4996),MONTH($A4996)+IF(AND(IFERROR(N(INDEX(Übersicht!$M$15:$M$22,MATCH($B4996,Übersicht!$A$15:$A$22,0))),0)&gt;1,DAY($A4996)&gt;=IFERROR(N(INDEX(Übersicht!$M$15:$M$22,MATCH($B4996,Übersicht!$A$15:$A$22,0))),0)),1,0),1))</f>
        <v/>
      </c>
    </row>
    <row r="4997">
      <c r="A4997" s="92" t="n"/>
      <c r="B4997" s="55" t="n"/>
      <c r="C4997" s="55" t="n"/>
      <c r="D4997" s="55" t="n"/>
      <c r="E4997" s="93" t="n"/>
      <c r="F4997" s="94" t="n"/>
      <c r="G4997" s="94" t="n"/>
      <c r="H4997" s="94" t="n"/>
      <c r="I4997" s="94" t="n"/>
      <c r="J4997" s="55" t="n"/>
      <c r="K4997" s="95" t="n"/>
      <c r="L4997" s="116">
        <f>IF($A4997="","",DATE(YEAR($A4997),MONTH($A4997)+IF(AND(IFERROR(N(INDEX(Übersicht!$M$15:$M$22,MATCH($B4997,Übersicht!$A$15:$A$22,0))),0)&gt;1,DAY($A4997)&gt;=IFERROR(N(INDEX(Übersicht!$M$15:$M$22,MATCH($B4997,Übersicht!$A$15:$A$22,0))),0)),1,0),1))</f>
        <v/>
      </c>
    </row>
    <row r="4998">
      <c r="A4998" s="92" t="n"/>
      <c r="B4998" s="55" t="n"/>
      <c r="C4998" s="55" t="n"/>
      <c r="D4998" s="55" t="n"/>
      <c r="E4998" s="93" t="n"/>
      <c r="F4998" s="94" t="n"/>
      <c r="G4998" s="94" t="n"/>
      <c r="H4998" s="94" t="n"/>
      <c r="I4998" s="94" t="n"/>
      <c r="J4998" s="55" t="n"/>
      <c r="K4998" s="95" t="n"/>
      <c r="L4998" s="116">
        <f>IF($A4998="","",DATE(YEAR($A4998),MONTH($A4998)+IF(AND(IFERROR(N(INDEX(Übersicht!$M$15:$M$22,MATCH($B4998,Übersicht!$A$15:$A$22,0))),0)&gt;1,DAY($A4998)&gt;=IFERROR(N(INDEX(Übersicht!$M$15:$M$22,MATCH($B4998,Übersicht!$A$15:$A$22,0))),0)),1,0),1))</f>
        <v/>
      </c>
    </row>
    <row r="4999">
      <c r="A4999" s="92" t="n"/>
      <c r="B4999" s="55" t="n"/>
      <c r="C4999" s="55" t="n"/>
      <c r="D4999" s="55" t="n"/>
      <c r="E4999" s="93" t="n"/>
      <c r="F4999" s="94" t="n"/>
      <c r="G4999" s="94" t="n"/>
      <c r="H4999" s="94" t="n"/>
      <c r="I4999" s="94" t="n"/>
      <c r="J4999" s="55" t="n"/>
      <c r="K4999" s="95" t="n"/>
      <c r="L4999" s="116">
        <f>IF($A4999="","",DATE(YEAR($A4999),MONTH($A4999)+IF(AND(IFERROR(N(INDEX(Übersicht!$M$15:$M$22,MATCH($B4999,Übersicht!$A$15:$A$22,0))),0)&gt;1,DAY($A4999)&gt;=IFERROR(N(INDEX(Übersicht!$M$15:$M$22,MATCH($B4999,Übersicht!$A$15:$A$22,0))),0)),1,0),1))</f>
        <v/>
      </c>
    </row>
    <row r="5000">
      <c r="A5000" s="92" t="n"/>
      <c r="B5000" s="55" t="n"/>
      <c r="C5000" s="55" t="n"/>
      <c r="D5000" s="55" t="n"/>
      <c r="E5000" s="93" t="n"/>
      <c r="F5000" s="94" t="n"/>
      <c r="G5000" s="94" t="n"/>
      <c r="H5000" s="94" t="n"/>
      <c r="I5000" s="94" t="n"/>
      <c r="J5000" s="55" t="n"/>
      <c r="K5000" s="95" t="n"/>
      <c r="L5000" s="116">
        <f>IF($A5000="","",DATE(YEAR($A5000),MONTH($A5000)+IF(AND(IFERROR(N(INDEX(Übersicht!$M$15:$M$22,MATCH($B5000,Übersicht!$A$15:$A$22,0))),0)&gt;1,DAY($A5000)&gt;=IFERROR(N(INDEX(Übersicht!$M$15:$M$22,MATCH($B5000,Übersicht!$A$15:$A$22,0))),0)),1,0),1))</f>
        <v/>
      </c>
    </row>
    <row r="5001">
      <c r="A5001" s="92" t="n"/>
      <c r="B5001" s="55" t="n"/>
      <c r="C5001" s="55" t="n"/>
      <c r="D5001" s="55" t="n"/>
      <c r="E5001" s="93" t="n"/>
      <c r="F5001" s="94" t="n"/>
      <c r="G5001" s="94" t="n"/>
      <c r="H5001" s="94" t="n"/>
      <c r="I5001" s="94" t="n"/>
      <c r="J5001" s="55" t="n"/>
      <c r="K5001" s="95" t="n"/>
      <c r="L5001" s="116">
        <f>IF($A5001="","",DATE(YEAR($A5001),MONTH($A5001)+IF(AND(IFERROR(N(INDEX(Übersicht!$M$15:$M$22,MATCH($B5001,Übersicht!$A$15:$A$22,0))),0)&gt;1,DAY($A5001)&gt;=IFERROR(N(INDEX(Übersicht!$M$15:$M$22,MATCH($B5001,Übersicht!$A$15:$A$22,0))),0)),1,0),1))</f>
        <v/>
      </c>
    </row>
    <row r="5002">
      <c r="A5002" s="92" t="n"/>
      <c r="B5002" s="55" t="n"/>
      <c r="C5002" s="55" t="n"/>
      <c r="D5002" s="55" t="n"/>
      <c r="E5002" s="93" t="n"/>
      <c r="F5002" s="94" t="n"/>
      <c r="G5002" s="94" t="n"/>
      <c r="H5002" s="94" t="n"/>
      <c r="I5002" s="94" t="n"/>
      <c r="J5002" s="55" t="n"/>
      <c r="K5002" s="95" t="n"/>
      <c r="L5002" s="116">
        <f>IF($A5002="","",DATE(YEAR($A5002),MONTH($A5002)+IF(AND(IFERROR(N(INDEX(Übersicht!$M$15:$M$22,MATCH($B5002,Übersicht!$A$15:$A$22,0))),0)&gt;1,DAY($A5002)&gt;=IFERROR(N(INDEX(Übersicht!$M$15:$M$22,MATCH($B5002,Übersicht!$A$15:$A$22,0))),0)),1,0),1))</f>
        <v/>
      </c>
    </row>
    <row r="5003">
      <c r="A5003" s="92" t="n"/>
      <c r="B5003" s="55" t="n"/>
      <c r="C5003" s="55" t="n"/>
      <c r="D5003" s="55" t="n"/>
      <c r="E5003" s="93" t="n"/>
      <c r="F5003" s="94" t="n"/>
      <c r="G5003" s="94" t="n"/>
      <c r="H5003" s="94" t="n"/>
      <c r="I5003" s="94" t="n"/>
      <c r="J5003" s="55" t="n"/>
      <c r="K5003" s="95" t="n"/>
      <c r="L5003" s="116">
        <f>IF($A5003="","",DATE(YEAR($A5003),MONTH($A5003)+IF(AND(IFERROR(N(INDEX(Übersicht!$M$15:$M$22,MATCH($B5003,Übersicht!$A$15:$A$22,0))),0)&gt;1,DAY($A5003)&gt;=IFERROR(N(INDEX(Übersicht!$M$15:$M$22,MATCH($B5003,Übersicht!$A$15:$A$22,0))),0)),1,0),1))</f>
        <v/>
      </c>
    </row>
    <row r="5004">
      <c r="A5004" s="92" t="n"/>
      <c r="B5004" s="55" t="n"/>
      <c r="C5004" s="55" t="n"/>
      <c r="D5004" s="55" t="n"/>
      <c r="E5004" s="93" t="n"/>
      <c r="F5004" s="94" t="n"/>
      <c r="G5004" s="94" t="n"/>
      <c r="H5004" s="94" t="n"/>
      <c r="I5004" s="94" t="n"/>
      <c r="J5004" s="55" t="n"/>
      <c r="K5004" s="95" t="n"/>
      <c r="L5004" s="116">
        <f>IF($A5004="","",DATE(YEAR($A5004),MONTH($A5004)+IF(AND(IFERROR(N(INDEX(Übersicht!$M$15:$M$22,MATCH($B5004,Übersicht!$A$15:$A$22,0))),0)&gt;1,DAY($A5004)&gt;=IFERROR(N(INDEX(Übersicht!$M$15:$M$22,MATCH($B5004,Übersicht!$A$15:$A$22,0))),0)),1,0),1))</f>
        <v/>
      </c>
    </row>
    <row r="5005">
      <c r="A5005" s="92" t="n"/>
      <c r="B5005" s="55" t="n"/>
      <c r="C5005" s="55" t="n"/>
      <c r="D5005" s="55" t="n"/>
      <c r="E5005" s="93" t="n"/>
      <c r="F5005" s="94" t="n"/>
      <c r="G5005" s="94" t="n"/>
      <c r="H5005" s="94" t="n"/>
      <c r="I5005" s="94" t="n"/>
      <c r="J5005" s="55" t="n"/>
      <c r="K5005" s="95" t="n"/>
      <c r="L5005" s="116">
        <f>IF($A5005="","",DATE(YEAR($A5005),MONTH($A5005)+IF(AND(IFERROR(N(INDEX(Übersicht!$M$15:$M$22,MATCH($B5005,Übersicht!$A$15:$A$22,0))),0)&gt;1,DAY($A5005)&gt;=IFERROR(N(INDEX(Übersicht!$M$15:$M$22,MATCH($B5005,Übersicht!$A$15:$A$22,0))),0)),1,0),1))</f>
        <v/>
      </c>
    </row>
  </sheetData>
  <autoFilter ref="A5:L10005"/>
  <mergeCells count="2">
    <mergeCell ref="D1:E1"/>
    <mergeCell ref="F1:G1"/>
  </mergeCells>
  <conditionalFormatting sqref="G6:G10005">
    <cfRule type="expression" priority="1" dxfId="15">
      <formula>AND($A6&lt;&gt;"",$H6="Ausgabe",$G6="")</formula>
    </cfRule>
  </conditionalFormatting>
  <conditionalFormatting sqref="A6:L10005">
    <cfRule type="expression" priority="2" dxfId="16">
      <formula>OR($H6="Umbuchung",$H6="Ignorieren")</formula>
    </cfRule>
  </conditionalFormatting>
  <conditionalFormatting sqref="E6:E10005">
    <cfRule type="expression" priority="3" dxfId="17">
      <formula>$H6="Einnahme"</formula>
    </cfRule>
  </conditionalFormatting>
  <dataValidations count="2">
    <dataValidation sqref="G6:G10005" showDropDown="0" showInputMessage="0" showErrorMessage="0" allowBlank="1" type="list">
      <formula1>Einstellungen!$A$5:$A$29</formula1>
    </dataValidation>
    <dataValidation sqref="H6:H10005" showDropDown="0" showInputMessage="0" showErrorMessage="0" allowBlank="1" type="list">
      <formula1>Einstellungen!$E$5:$E$9</formula1>
    </dataValidation>
  </dataValidations>
  <hyperlinks>
    <hyperlink xmlns:r="http://schemas.openxmlformats.org/officeDocument/2006/relationships" ref="D1" r:id="rId1"/>
    <hyperlink xmlns:r="http://schemas.openxmlformats.org/officeDocument/2006/relationships" ref="F1" r:id="rId2"/>
  </hyperlinks>
  <pageMargins left="0.75" right="0.75" top="1" bottom="1" header="0.5" footer="0.5"/>
  <pageSetup orientation="landscape" fitToHeight="0" fitToWidth="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Monat">
    <outlinePr summaryBelow="1" summaryRight="1"/>
    <pageSetUpPr/>
  </sheetPr>
  <dimension ref="A1:P52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3" customWidth="1" min="2" max="2"/>
    <col width="13" customWidth="1" min="3" max="3"/>
    <col width="13" customWidth="1" min="4" max="4"/>
    <col width="13" customWidth="1" min="5" max="5"/>
    <col width="13" customWidth="1" min="6" max="6"/>
    <col width="11" customWidth="1" min="7" max="7"/>
    <col width="11" customWidth="1" min="8" max="8"/>
    <col width="3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64" t="inlineStr">
        <is>
          <t>Monatsübersicht</t>
        </is>
      </c>
    </row>
    <row r="2">
      <c r="A2" s="65" t="inlineStr">
        <is>
          <t>Alles aus den importierten Buchungen. Jahr in B3 änderbar.</t>
        </is>
      </c>
    </row>
    <row r="3">
      <c r="A3" s="5" t="inlineStr">
        <is>
          <t>Jahr</t>
        </is>
      </c>
      <c r="B3" s="96">
        <f>YEAR(Übersicht!$B$7)</f>
        <v/>
      </c>
      <c r="C3" s="65" t="inlineStr">
        <is>
          <t>← Jahreszahl eintragen, um ein anderes Jahr zu sehen</t>
        </is>
      </c>
    </row>
    <row r="5" ht="30" customHeight="1">
      <c r="A5" s="73" t="inlineStr">
        <is>
          <t>Monat</t>
        </is>
      </c>
      <c r="B5" s="74" t="inlineStr">
        <is>
          <t>Einnahmen</t>
        </is>
      </c>
      <c r="C5" s="74" t="inlineStr">
        <is>
          <t>Fixkosten</t>
        </is>
      </c>
      <c r="D5" s="74" t="inlineStr">
        <is>
          <t>Variable Ausgaben</t>
        </is>
      </c>
      <c r="E5" s="74" t="inlineStr">
        <is>
          <t>Ausgaben gesamt</t>
        </is>
      </c>
      <c r="F5" s="74" t="inlineStr">
        <is>
          <t>Saldo</t>
        </is>
      </c>
      <c r="G5" s="74" t="inlineStr">
        <is>
          <t>Buchungen</t>
        </is>
      </c>
      <c r="H5" s="74" t="inlineStr">
        <is>
          <t>Ohne Kategorie</t>
        </is>
      </c>
    </row>
    <row r="6">
      <c r="A6" s="97">
        <f>DATE($B$3,1,1)</f>
        <v/>
      </c>
      <c r="B6" s="84">
        <f>SUMIFS(Buchungen!$E:$E,Buchungen!$H:$H,"Einnahme",Buchungen!$L:$L,$A6)</f>
        <v/>
      </c>
      <c r="C6" s="84">
        <f>-SUMIFS(Buchungen!$E:$E,Buchungen!$H:$H,"Fixkosten",Buchungen!$L:$L,$A6)</f>
        <v/>
      </c>
      <c r="D6" s="84">
        <f>-SUMIFS(Buchungen!$E:$E,Buchungen!$H:$H,"Ausgabe",Buchungen!$L:$L,$A6)</f>
        <v/>
      </c>
      <c r="E6" s="84">
        <f>C6+D6</f>
        <v/>
      </c>
      <c r="F6" s="80">
        <f>B6-E6</f>
        <v/>
      </c>
      <c r="G6" s="98">
        <f>COUNTIFS(Buchungen!$L:$L,$A6)</f>
        <v/>
      </c>
      <c r="H6" s="98">
        <f>COUNTIFS(Buchungen!$H:$H,"Ausgabe",Buchungen!$G:$G,"",Buchungen!$L:$L,$A6)</f>
        <v/>
      </c>
    </row>
    <row r="7">
      <c r="A7" s="97">
        <f>DATE($B$3,2,1)</f>
        <v/>
      </c>
      <c r="B7" s="84">
        <f>SUMIFS(Buchungen!$E:$E,Buchungen!$H:$H,"Einnahme",Buchungen!$L:$L,$A7)</f>
        <v/>
      </c>
      <c r="C7" s="84">
        <f>-SUMIFS(Buchungen!$E:$E,Buchungen!$H:$H,"Fixkosten",Buchungen!$L:$L,$A7)</f>
        <v/>
      </c>
      <c r="D7" s="84">
        <f>-SUMIFS(Buchungen!$E:$E,Buchungen!$H:$H,"Ausgabe",Buchungen!$L:$L,$A7)</f>
        <v/>
      </c>
      <c r="E7" s="84">
        <f>C7+D7</f>
        <v/>
      </c>
      <c r="F7" s="80">
        <f>B7-E7</f>
        <v/>
      </c>
      <c r="G7" s="98">
        <f>COUNTIFS(Buchungen!$L:$L,$A7)</f>
        <v/>
      </c>
      <c r="H7" s="98">
        <f>COUNTIFS(Buchungen!$H:$H,"Ausgabe",Buchungen!$G:$G,"",Buchungen!$L:$L,$A7)</f>
        <v/>
      </c>
    </row>
    <row r="8">
      <c r="A8" s="97">
        <f>DATE($B$3,3,1)</f>
        <v/>
      </c>
      <c r="B8" s="84">
        <f>SUMIFS(Buchungen!$E:$E,Buchungen!$H:$H,"Einnahme",Buchungen!$L:$L,$A8)</f>
        <v/>
      </c>
      <c r="C8" s="84">
        <f>-SUMIFS(Buchungen!$E:$E,Buchungen!$H:$H,"Fixkosten",Buchungen!$L:$L,$A8)</f>
        <v/>
      </c>
      <c r="D8" s="84">
        <f>-SUMIFS(Buchungen!$E:$E,Buchungen!$H:$H,"Ausgabe",Buchungen!$L:$L,$A8)</f>
        <v/>
      </c>
      <c r="E8" s="84">
        <f>C8+D8</f>
        <v/>
      </c>
      <c r="F8" s="80">
        <f>B8-E8</f>
        <v/>
      </c>
      <c r="G8" s="98">
        <f>COUNTIFS(Buchungen!$L:$L,$A8)</f>
        <v/>
      </c>
      <c r="H8" s="98">
        <f>COUNTIFS(Buchungen!$H:$H,"Ausgabe",Buchungen!$G:$G,"",Buchungen!$L:$L,$A8)</f>
        <v/>
      </c>
    </row>
    <row r="9">
      <c r="A9" s="97">
        <f>DATE($B$3,4,1)</f>
        <v/>
      </c>
      <c r="B9" s="84">
        <f>SUMIFS(Buchungen!$E:$E,Buchungen!$H:$H,"Einnahme",Buchungen!$L:$L,$A9)</f>
        <v/>
      </c>
      <c r="C9" s="84">
        <f>-SUMIFS(Buchungen!$E:$E,Buchungen!$H:$H,"Fixkosten",Buchungen!$L:$L,$A9)</f>
        <v/>
      </c>
      <c r="D9" s="84">
        <f>-SUMIFS(Buchungen!$E:$E,Buchungen!$H:$H,"Ausgabe",Buchungen!$L:$L,$A9)</f>
        <v/>
      </c>
      <c r="E9" s="84">
        <f>C9+D9</f>
        <v/>
      </c>
      <c r="F9" s="80">
        <f>B9-E9</f>
        <v/>
      </c>
      <c r="G9" s="98">
        <f>COUNTIFS(Buchungen!$L:$L,$A9)</f>
        <v/>
      </c>
      <c r="H9" s="98">
        <f>COUNTIFS(Buchungen!$H:$H,"Ausgabe",Buchungen!$G:$G,"",Buchungen!$L:$L,$A9)</f>
        <v/>
      </c>
    </row>
    <row r="10">
      <c r="A10" s="97">
        <f>DATE($B$3,5,1)</f>
        <v/>
      </c>
      <c r="B10" s="84">
        <f>SUMIFS(Buchungen!$E:$E,Buchungen!$H:$H,"Einnahme",Buchungen!$L:$L,$A10)</f>
        <v/>
      </c>
      <c r="C10" s="84">
        <f>-SUMIFS(Buchungen!$E:$E,Buchungen!$H:$H,"Fixkosten",Buchungen!$L:$L,$A10)</f>
        <v/>
      </c>
      <c r="D10" s="84">
        <f>-SUMIFS(Buchungen!$E:$E,Buchungen!$H:$H,"Ausgabe",Buchungen!$L:$L,$A10)</f>
        <v/>
      </c>
      <c r="E10" s="84">
        <f>C10+D10</f>
        <v/>
      </c>
      <c r="F10" s="80">
        <f>B10-E10</f>
        <v/>
      </c>
      <c r="G10" s="98">
        <f>COUNTIFS(Buchungen!$L:$L,$A10)</f>
        <v/>
      </c>
      <c r="H10" s="98">
        <f>COUNTIFS(Buchungen!$H:$H,"Ausgabe",Buchungen!$G:$G,"",Buchungen!$L:$L,$A10)</f>
        <v/>
      </c>
    </row>
    <row r="11">
      <c r="A11" s="97">
        <f>DATE($B$3,6,1)</f>
        <v/>
      </c>
      <c r="B11" s="84">
        <f>SUMIFS(Buchungen!$E:$E,Buchungen!$H:$H,"Einnahme",Buchungen!$L:$L,$A11)</f>
        <v/>
      </c>
      <c r="C11" s="84">
        <f>-SUMIFS(Buchungen!$E:$E,Buchungen!$H:$H,"Fixkosten",Buchungen!$L:$L,$A11)</f>
        <v/>
      </c>
      <c r="D11" s="84">
        <f>-SUMIFS(Buchungen!$E:$E,Buchungen!$H:$H,"Ausgabe",Buchungen!$L:$L,$A11)</f>
        <v/>
      </c>
      <c r="E11" s="84">
        <f>C11+D11</f>
        <v/>
      </c>
      <c r="F11" s="80">
        <f>B11-E11</f>
        <v/>
      </c>
      <c r="G11" s="98">
        <f>COUNTIFS(Buchungen!$L:$L,$A11)</f>
        <v/>
      </c>
      <c r="H11" s="98">
        <f>COUNTIFS(Buchungen!$H:$H,"Ausgabe",Buchungen!$G:$G,"",Buchungen!$L:$L,$A11)</f>
        <v/>
      </c>
    </row>
    <row r="12">
      <c r="A12" s="97">
        <f>DATE($B$3,7,1)</f>
        <v/>
      </c>
      <c r="B12" s="84">
        <f>SUMIFS(Buchungen!$E:$E,Buchungen!$H:$H,"Einnahme",Buchungen!$L:$L,$A12)</f>
        <v/>
      </c>
      <c r="C12" s="84">
        <f>-SUMIFS(Buchungen!$E:$E,Buchungen!$H:$H,"Fixkosten",Buchungen!$L:$L,$A12)</f>
        <v/>
      </c>
      <c r="D12" s="84">
        <f>-SUMIFS(Buchungen!$E:$E,Buchungen!$H:$H,"Ausgabe",Buchungen!$L:$L,$A12)</f>
        <v/>
      </c>
      <c r="E12" s="84">
        <f>C12+D12</f>
        <v/>
      </c>
      <c r="F12" s="80">
        <f>B12-E12</f>
        <v/>
      </c>
      <c r="G12" s="98">
        <f>COUNTIFS(Buchungen!$L:$L,$A12)</f>
        <v/>
      </c>
      <c r="H12" s="98">
        <f>COUNTIFS(Buchungen!$H:$H,"Ausgabe",Buchungen!$G:$G,"",Buchungen!$L:$L,$A12)</f>
        <v/>
      </c>
    </row>
    <row r="13">
      <c r="A13" s="97">
        <f>DATE($B$3,8,1)</f>
        <v/>
      </c>
      <c r="B13" s="84">
        <f>SUMIFS(Buchungen!$E:$E,Buchungen!$H:$H,"Einnahme",Buchungen!$L:$L,$A13)</f>
        <v/>
      </c>
      <c r="C13" s="84">
        <f>-SUMIFS(Buchungen!$E:$E,Buchungen!$H:$H,"Fixkosten",Buchungen!$L:$L,$A13)</f>
        <v/>
      </c>
      <c r="D13" s="84">
        <f>-SUMIFS(Buchungen!$E:$E,Buchungen!$H:$H,"Ausgabe",Buchungen!$L:$L,$A13)</f>
        <v/>
      </c>
      <c r="E13" s="84">
        <f>C13+D13</f>
        <v/>
      </c>
      <c r="F13" s="80">
        <f>B13-E13</f>
        <v/>
      </c>
      <c r="G13" s="98">
        <f>COUNTIFS(Buchungen!$L:$L,$A13)</f>
        <v/>
      </c>
      <c r="H13" s="98">
        <f>COUNTIFS(Buchungen!$H:$H,"Ausgabe",Buchungen!$G:$G,"",Buchungen!$L:$L,$A13)</f>
        <v/>
      </c>
    </row>
    <row r="14">
      <c r="A14" s="97">
        <f>DATE($B$3,9,1)</f>
        <v/>
      </c>
      <c r="B14" s="84">
        <f>SUMIFS(Buchungen!$E:$E,Buchungen!$H:$H,"Einnahme",Buchungen!$L:$L,$A14)</f>
        <v/>
      </c>
      <c r="C14" s="84">
        <f>-SUMIFS(Buchungen!$E:$E,Buchungen!$H:$H,"Fixkosten",Buchungen!$L:$L,$A14)</f>
        <v/>
      </c>
      <c r="D14" s="84">
        <f>-SUMIFS(Buchungen!$E:$E,Buchungen!$H:$H,"Ausgabe",Buchungen!$L:$L,$A14)</f>
        <v/>
      </c>
      <c r="E14" s="84">
        <f>C14+D14</f>
        <v/>
      </c>
      <c r="F14" s="80">
        <f>B14-E14</f>
        <v/>
      </c>
      <c r="G14" s="98">
        <f>COUNTIFS(Buchungen!$L:$L,$A14)</f>
        <v/>
      </c>
      <c r="H14" s="98">
        <f>COUNTIFS(Buchungen!$H:$H,"Ausgabe",Buchungen!$G:$G,"",Buchungen!$L:$L,$A14)</f>
        <v/>
      </c>
    </row>
    <row r="15">
      <c r="A15" s="97">
        <f>DATE($B$3,10,1)</f>
        <v/>
      </c>
      <c r="B15" s="84">
        <f>SUMIFS(Buchungen!$E:$E,Buchungen!$H:$H,"Einnahme",Buchungen!$L:$L,$A15)</f>
        <v/>
      </c>
      <c r="C15" s="84">
        <f>-SUMIFS(Buchungen!$E:$E,Buchungen!$H:$H,"Fixkosten",Buchungen!$L:$L,$A15)</f>
        <v/>
      </c>
      <c r="D15" s="84">
        <f>-SUMIFS(Buchungen!$E:$E,Buchungen!$H:$H,"Ausgabe",Buchungen!$L:$L,$A15)</f>
        <v/>
      </c>
      <c r="E15" s="84">
        <f>C15+D15</f>
        <v/>
      </c>
      <c r="F15" s="80">
        <f>B15-E15</f>
        <v/>
      </c>
      <c r="G15" s="98">
        <f>COUNTIFS(Buchungen!$L:$L,$A15)</f>
        <v/>
      </c>
      <c r="H15" s="98">
        <f>COUNTIFS(Buchungen!$H:$H,"Ausgabe",Buchungen!$G:$G,"",Buchungen!$L:$L,$A15)</f>
        <v/>
      </c>
    </row>
    <row r="16">
      <c r="A16" s="97">
        <f>DATE($B$3,11,1)</f>
        <v/>
      </c>
      <c r="B16" s="84">
        <f>SUMIFS(Buchungen!$E:$E,Buchungen!$H:$H,"Einnahme",Buchungen!$L:$L,$A16)</f>
        <v/>
      </c>
      <c r="C16" s="84">
        <f>-SUMIFS(Buchungen!$E:$E,Buchungen!$H:$H,"Fixkosten",Buchungen!$L:$L,$A16)</f>
        <v/>
      </c>
      <c r="D16" s="84">
        <f>-SUMIFS(Buchungen!$E:$E,Buchungen!$H:$H,"Ausgabe",Buchungen!$L:$L,$A16)</f>
        <v/>
      </c>
      <c r="E16" s="84">
        <f>C16+D16</f>
        <v/>
      </c>
      <c r="F16" s="80">
        <f>B16-E16</f>
        <v/>
      </c>
      <c r="G16" s="98">
        <f>COUNTIFS(Buchungen!$L:$L,$A16)</f>
        <v/>
      </c>
      <c r="H16" s="98">
        <f>COUNTIFS(Buchungen!$H:$H,"Ausgabe",Buchungen!$G:$G,"",Buchungen!$L:$L,$A16)</f>
        <v/>
      </c>
    </row>
    <row r="17">
      <c r="A17" s="97">
        <f>DATE($B$3,12,1)</f>
        <v/>
      </c>
      <c r="B17" s="84">
        <f>SUMIFS(Buchungen!$E:$E,Buchungen!$H:$H,"Einnahme",Buchungen!$L:$L,$A17)</f>
        <v/>
      </c>
      <c r="C17" s="84">
        <f>-SUMIFS(Buchungen!$E:$E,Buchungen!$H:$H,"Fixkosten",Buchungen!$L:$L,$A17)</f>
        <v/>
      </c>
      <c r="D17" s="84">
        <f>-SUMIFS(Buchungen!$E:$E,Buchungen!$H:$H,"Ausgabe",Buchungen!$L:$L,$A17)</f>
        <v/>
      </c>
      <c r="E17" s="84">
        <f>C17+D17</f>
        <v/>
      </c>
      <c r="F17" s="80">
        <f>B17-E17</f>
        <v/>
      </c>
      <c r="G17" s="98">
        <f>COUNTIFS(Buchungen!$L:$L,$A17)</f>
        <v/>
      </c>
      <c r="H17" s="98">
        <f>COUNTIFS(Buchungen!$H:$H,"Ausgabe",Buchungen!$G:$G,"",Buchungen!$L:$L,$A17)</f>
        <v/>
      </c>
    </row>
    <row r="18">
      <c r="A18" s="85" t="inlineStr">
        <is>
          <t>Summe</t>
        </is>
      </c>
      <c r="B18" s="87">
        <f>SUM(B6:B17)</f>
        <v/>
      </c>
      <c r="C18" s="87">
        <f>SUM(C6:C17)</f>
        <v/>
      </c>
      <c r="D18" s="87">
        <f>SUM(D6:D17)</f>
        <v/>
      </c>
      <c r="E18" s="87">
        <f>SUM(E6:E17)</f>
        <v/>
      </c>
      <c r="F18" s="87">
        <f>B18-E18</f>
        <v/>
      </c>
      <c r="G18" s="99">
        <f>SUM(G6:G17)</f>
        <v/>
      </c>
      <c r="H18" s="99">
        <f>SUM(H6:H17)</f>
        <v/>
      </c>
    </row>
    <row r="19">
      <c r="A19" s="85" t="inlineStr">
        <is>
          <t>Ø pro Monat</t>
        </is>
      </c>
      <c r="B19" s="87">
        <f>IF(COUNTIF($G$6:$G$17,"&gt;0")=0,0,B18/COUNTIF($G$6:$G$17,"&gt;0"))</f>
        <v/>
      </c>
      <c r="C19" s="87">
        <f>IF(COUNTIF($G$6:$G$17,"&gt;0")=0,0,C18/COUNTIF($G$6:$G$17,"&gt;0"))</f>
        <v/>
      </c>
      <c r="D19" s="87">
        <f>IF(COUNTIF($G$6:$G$17,"&gt;0")=0,0,D18/COUNTIF($G$6:$G$17,"&gt;0"))</f>
        <v/>
      </c>
      <c r="E19" s="87">
        <f>IF(COUNTIF($G$6:$G$17,"&gt;0")=0,0,E18/COUNTIF($G$6:$G$17,"&gt;0"))</f>
        <v/>
      </c>
      <c r="F19" s="87">
        <f>IF(COUNTIF($G$6:$G$17,"&gt;0")=0,0,F18/COUNTIF($G$6:$G$17,"&gt;0"))</f>
        <v/>
      </c>
      <c r="G19" s="86" t="n"/>
      <c r="H19" s="86" t="n"/>
    </row>
    <row r="20">
      <c r="A20" s="65" t="inlineStr">
        <is>
          <t>Saldo = Einnahmen − Fixkosten − variable Ausgaben. Umbuchungen und ignorierte Buchungen zählen nicht. Ø = Durchschnitt der Monate mit Buchungen.</t>
        </is>
      </c>
    </row>
    <row r="21">
      <c r="A21" s="65" t="inlineStr">
        <is>
          <t>Fixkosten laut Plan (Ø pro Monat)</t>
        </is>
      </c>
      <c r="B21" s="100">
        <f>Fixkosten!$E$53</f>
        <v/>
      </c>
    </row>
    <row r="22">
      <c r="A22" s="65" t="inlineStr">
        <is>
          <t>davon mein Anteil (geteilte Abos)</t>
        </is>
      </c>
      <c r="B22" s="100">
        <f>Fixkosten!$G$53</f>
        <v/>
      </c>
    </row>
    <row r="23">
      <c r="A23" s="72" t="inlineStr">
        <is>
          <t>Ausgaben nach Kategorie (Fixkosten + variabel)</t>
        </is>
      </c>
    </row>
    <row r="24" ht="30" customHeight="1">
      <c r="A24" s="73" t="inlineStr">
        <is>
          <t>Kategorie</t>
        </is>
      </c>
      <c r="B24" s="101">
        <f>DATE($B$3,1,1)</f>
        <v/>
      </c>
      <c r="C24" s="101">
        <f>DATE($B$3,2,1)</f>
        <v/>
      </c>
      <c r="D24" s="101">
        <f>DATE($B$3,3,1)</f>
        <v/>
      </c>
      <c r="E24" s="101">
        <f>DATE($B$3,4,1)</f>
        <v/>
      </c>
      <c r="F24" s="101">
        <f>DATE($B$3,5,1)</f>
        <v/>
      </c>
      <c r="G24" s="101">
        <f>DATE($B$3,6,1)</f>
        <v/>
      </c>
      <c r="H24" s="101">
        <f>DATE($B$3,7,1)</f>
        <v/>
      </c>
      <c r="I24" s="101">
        <f>DATE($B$3,8,1)</f>
        <v/>
      </c>
      <c r="J24" s="101">
        <f>DATE($B$3,9,1)</f>
        <v/>
      </c>
      <c r="K24" s="101">
        <f>DATE($B$3,10,1)</f>
        <v/>
      </c>
      <c r="L24" s="101">
        <f>DATE($B$3,11,1)</f>
        <v/>
      </c>
      <c r="M24" s="101">
        <f>DATE($B$3,12,1)</f>
        <v/>
      </c>
      <c r="N24" s="74" t="inlineStr">
        <is>
          <t>Summe</t>
        </is>
      </c>
      <c r="O24" s="74" t="inlineStr">
        <is>
          <t>Ø / Monat</t>
        </is>
      </c>
      <c r="P24" s="74" t="inlineStr">
        <is>
          <t>Anteil</t>
        </is>
      </c>
    </row>
    <row r="25">
      <c r="A25" s="102">
        <f>IF(Einstellungen!$A5="","",Einstellungen!$A5)</f>
        <v/>
      </c>
      <c r="B25" s="103">
        <f>IF($A25="","",-SUMIFS(Buchungen!$E:$E,Buchungen!$G:$G,$A25,Buchungen!$H:$H,"Ausgabe",Buchungen!$L:$L,B$24)-SUMIFS(Buchungen!$E:$E,Buchungen!$G:$G,$A25,Buchungen!$H:$H,"Fixkosten",Buchungen!$L:$L,B$24))</f>
        <v/>
      </c>
      <c r="C25" s="103">
        <f>IF($A25="","",-SUMIFS(Buchungen!$E:$E,Buchungen!$G:$G,$A25,Buchungen!$H:$H,"Ausgabe",Buchungen!$L:$L,C$24)-SUMIFS(Buchungen!$E:$E,Buchungen!$G:$G,$A25,Buchungen!$H:$H,"Fixkosten",Buchungen!$L:$L,C$24))</f>
        <v/>
      </c>
      <c r="D25" s="103">
        <f>IF($A25="","",-SUMIFS(Buchungen!$E:$E,Buchungen!$G:$G,$A25,Buchungen!$H:$H,"Ausgabe",Buchungen!$L:$L,D$24)-SUMIFS(Buchungen!$E:$E,Buchungen!$G:$G,$A25,Buchungen!$H:$H,"Fixkosten",Buchungen!$L:$L,D$24))</f>
        <v/>
      </c>
      <c r="E25" s="103">
        <f>IF($A25="","",-SUMIFS(Buchungen!$E:$E,Buchungen!$G:$G,$A25,Buchungen!$H:$H,"Ausgabe",Buchungen!$L:$L,E$24)-SUMIFS(Buchungen!$E:$E,Buchungen!$G:$G,$A25,Buchungen!$H:$H,"Fixkosten",Buchungen!$L:$L,E$24))</f>
        <v/>
      </c>
      <c r="F25" s="103">
        <f>IF($A25="","",-SUMIFS(Buchungen!$E:$E,Buchungen!$G:$G,$A25,Buchungen!$H:$H,"Ausgabe",Buchungen!$L:$L,F$24)-SUMIFS(Buchungen!$E:$E,Buchungen!$G:$G,$A25,Buchungen!$H:$H,"Fixkosten",Buchungen!$L:$L,F$24))</f>
        <v/>
      </c>
      <c r="G25" s="103">
        <f>IF($A25="","",-SUMIFS(Buchungen!$E:$E,Buchungen!$G:$G,$A25,Buchungen!$H:$H,"Ausgabe",Buchungen!$L:$L,G$24)-SUMIFS(Buchungen!$E:$E,Buchungen!$G:$G,$A25,Buchungen!$H:$H,"Fixkosten",Buchungen!$L:$L,G$24))</f>
        <v/>
      </c>
      <c r="H25" s="103">
        <f>IF($A25="","",-SUMIFS(Buchungen!$E:$E,Buchungen!$G:$G,$A25,Buchungen!$H:$H,"Ausgabe",Buchungen!$L:$L,H$24)-SUMIFS(Buchungen!$E:$E,Buchungen!$G:$G,$A25,Buchungen!$H:$H,"Fixkosten",Buchungen!$L:$L,H$24))</f>
        <v/>
      </c>
      <c r="I25" s="103">
        <f>IF($A25="","",-SUMIFS(Buchungen!$E:$E,Buchungen!$G:$G,$A25,Buchungen!$H:$H,"Ausgabe",Buchungen!$L:$L,I$24)-SUMIFS(Buchungen!$E:$E,Buchungen!$G:$G,$A25,Buchungen!$H:$H,"Fixkosten",Buchungen!$L:$L,I$24))</f>
        <v/>
      </c>
      <c r="J25" s="103">
        <f>IF($A25="","",-SUMIFS(Buchungen!$E:$E,Buchungen!$G:$G,$A25,Buchungen!$H:$H,"Ausgabe",Buchungen!$L:$L,J$24)-SUMIFS(Buchungen!$E:$E,Buchungen!$G:$G,$A25,Buchungen!$H:$H,"Fixkosten",Buchungen!$L:$L,J$24))</f>
        <v/>
      </c>
      <c r="K25" s="103">
        <f>IF($A25="","",-SUMIFS(Buchungen!$E:$E,Buchungen!$G:$G,$A25,Buchungen!$H:$H,"Ausgabe",Buchungen!$L:$L,K$24)-SUMIFS(Buchungen!$E:$E,Buchungen!$G:$G,$A25,Buchungen!$H:$H,"Fixkosten",Buchungen!$L:$L,K$24))</f>
        <v/>
      </c>
      <c r="L25" s="103">
        <f>IF($A25="","",-SUMIFS(Buchungen!$E:$E,Buchungen!$G:$G,$A25,Buchungen!$H:$H,"Ausgabe",Buchungen!$L:$L,L$24)-SUMIFS(Buchungen!$E:$E,Buchungen!$G:$G,$A25,Buchungen!$H:$H,"Fixkosten",Buchungen!$L:$L,L$24))</f>
        <v/>
      </c>
      <c r="M25" s="103">
        <f>IF($A25="","",-SUMIFS(Buchungen!$E:$E,Buchungen!$G:$G,$A25,Buchungen!$H:$H,"Ausgabe",Buchungen!$L:$L,M$24)-SUMIFS(Buchungen!$E:$E,Buchungen!$G:$G,$A25,Buchungen!$H:$H,"Fixkosten",Buchungen!$L:$L,M$24))</f>
        <v/>
      </c>
      <c r="N25" s="104">
        <f>IF($A25="","",SUM(B25:M25))</f>
        <v/>
      </c>
      <c r="O25" s="103">
        <f>IF($A25="","",IF(COUNTIF($G$6:$G$17,"&gt;0")=0,0,N25/COUNTIF($G$6:$G$17,"&gt;0")))</f>
        <v/>
      </c>
      <c r="P25" s="81">
        <f>IF(OR($A25="",$N$51=0),"",N25/$N$51)</f>
        <v/>
      </c>
    </row>
    <row r="26">
      <c r="A26" s="102">
        <f>IF(Einstellungen!$A6="","",Einstellungen!$A6)</f>
        <v/>
      </c>
      <c r="B26" s="103">
        <f>IF($A26="","",-SUMIFS(Buchungen!$E:$E,Buchungen!$G:$G,$A26,Buchungen!$H:$H,"Ausgabe",Buchungen!$L:$L,B$24)-SUMIFS(Buchungen!$E:$E,Buchungen!$G:$G,$A26,Buchungen!$H:$H,"Fixkosten",Buchungen!$L:$L,B$24))</f>
        <v/>
      </c>
      <c r="C26" s="103">
        <f>IF($A26="","",-SUMIFS(Buchungen!$E:$E,Buchungen!$G:$G,$A26,Buchungen!$H:$H,"Ausgabe",Buchungen!$L:$L,C$24)-SUMIFS(Buchungen!$E:$E,Buchungen!$G:$G,$A26,Buchungen!$H:$H,"Fixkosten",Buchungen!$L:$L,C$24))</f>
        <v/>
      </c>
      <c r="D26" s="103">
        <f>IF($A26="","",-SUMIFS(Buchungen!$E:$E,Buchungen!$G:$G,$A26,Buchungen!$H:$H,"Ausgabe",Buchungen!$L:$L,D$24)-SUMIFS(Buchungen!$E:$E,Buchungen!$G:$G,$A26,Buchungen!$H:$H,"Fixkosten",Buchungen!$L:$L,D$24))</f>
        <v/>
      </c>
      <c r="E26" s="103">
        <f>IF($A26="","",-SUMIFS(Buchungen!$E:$E,Buchungen!$G:$G,$A26,Buchungen!$H:$H,"Ausgabe",Buchungen!$L:$L,E$24)-SUMIFS(Buchungen!$E:$E,Buchungen!$G:$G,$A26,Buchungen!$H:$H,"Fixkosten",Buchungen!$L:$L,E$24))</f>
        <v/>
      </c>
      <c r="F26" s="103">
        <f>IF($A26="","",-SUMIFS(Buchungen!$E:$E,Buchungen!$G:$G,$A26,Buchungen!$H:$H,"Ausgabe",Buchungen!$L:$L,F$24)-SUMIFS(Buchungen!$E:$E,Buchungen!$G:$G,$A26,Buchungen!$H:$H,"Fixkosten",Buchungen!$L:$L,F$24))</f>
        <v/>
      </c>
      <c r="G26" s="103">
        <f>IF($A26="","",-SUMIFS(Buchungen!$E:$E,Buchungen!$G:$G,$A26,Buchungen!$H:$H,"Ausgabe",Buchungen!$L:$L,G$24)-SUMIFS(Buchungen!$E:$E,Buchungen!$G:$G,$A26,Buchungen!$H:$H,"Fixkosten",Buchungen!$L:$L,G$24))</f>
        <v/>
      </c>
      <c r="H26" s="103">
        <f>IF($A26="","",-SUMIFS(Buchungen!$E:$E,Buchungen!$G:$G,$A26,Buchungen!$H:$H,"Ausgabe",Buchungen!$L:$L,H$24)-SUMIFS(Buchungen!$E:$E,Buchungen!$G:$G,$A26,Buchungen!$H:$H,"Fixkosten",Buchungen!$L:$L,H$24))</f>
        <v/>
      </c>
      <c r="I26" s="103">
        <f>IF($A26="","",-SUMIFS(Buchungen!$E:$E,Buchungen!$G:$G,$A26,Buchungen!$H:$H,"Ausgabe",Buchungen!$L:$L,I$24)-SUMIFS(Buchungen!$E:$E,Buchungen!$G:$G,$A26,Buchungen!$H:$H,"Fixkosten",Buchungen!$L:$L,I$24))</f>
        <v/>
      </c>
      <c r="J26" s="103">
        <f>IF($A26="","",-SUMIFS(Buchungen!$E:$E,Buchungen!$G:$G,$A26,Buchungen!$H:$H,"Ausgabe",Buchungen!$L:$L,J$24)-SUMIFS(Buchungen!$E:$E,Buchungen!$G:$G,$A26,Buchungen!$H:$H,"Fixkosten",Buchungen!$L:$L,J$24))</f>
        <v/>
      </c>
      <c r="K26" s="103">
        <f>IF($A26="","",-SUMIFS(Buchungen!$E:$E,Buchungen!$G:$G,$A26,Buchungen!$H:$H,"Ausgabe",Buchungen!$L:$L,K$24)-SUMIFS(Buchungen!$E:$E,Buchungen!$G:$G,$A26,Buchungen!$H:$H,"Fixkosten",Buchungen!$L:$L,K$24))</f>
        <v/>
      </c>
      <c r="L26" s="103">
        <f>IF($A26="","",-SUMIFS(Buchungen!$E:$E,Buchungen!$G:$G,$A26,Buchungen!$H:$H,"Ausgabe",Buchungen!$L:$L,L$24)-SUMIFS(Buchungen!$E:$E,Buchungen!$G:$G,$A26,Buchungen!$H:$H,"Fixkosten",Buchungen!$L:$L,L$24))</f>
        <v/>
      </c>
      <c r="M26" s="103">
        <f>IF($A26="","",-SUMIFS(Buchungen!$E:$E,Buchungen!$G:$G,$A26,Buchungen!$H:$H,"Ausgabe",Buchungen!$L:$L,M$24)-SUMIFS(Buchungen!$E:$E,Buchungen!$G:$G,$A26,Buchungen!$H:$H,"Fixkosten",Buchungen!$L:$L,M$24))</f>
        <v/>
      </c>
      <c r="N26" s="104">
        <f>IF($A26="","",SUM(B26:M26))</f>
        <v/>
      </c>
      <c r="O26" s="103">
        <f>IF($A26="","",IF(COUNTIF($G$6:$G$17,"&gt;0")=0,0,N26/COUNTIF($G$6:$G$17,"&gt;0")))</f>
        <v/>
      </c>
      <c r="P26" s="81">
        <f>IF(OR($A26="",$N$51=0),"",N26/$N$51)</f>
        <v/>
      </c>
    </row>
    <row r="27">
      <c r="A27" s="102">
        <f>IF(Einstellungen!$A7="","",Einstellungen!$A7)</f>
        <v/>
      </c>
      <c r="B27" s="103">
        <f>IF($A27="","",-SUMIFS(Buchungen!$E:$E,Buchungen!$G:$G,$A27,Buchungen!$H:$H,"Ausgabe",Buchungen!$L:$L,B$24)-SUMIFS(Buchungen!$E:$E,Buchungen!$G:$G,$A27,Buchungen!$H:$H,"Fixkosten",Buchungen!$L:$L,B$24))</f>
        <v/>
      </c>
      <c r="C27" s="103">
        <f>IF($A27="","",-SUMIFS(Buchungen!$E:$E,Buchungen!$G:$G,$A27,Buchungen!$H:$H,"Ausgabe",Buchungen!$L:$L,C$24)-SUMIFS(Buchungen!$E:$E,Buchungen!$G:$G,$A27,Buchungen!$H:$H,"Fixkosten",Buchungen!$L:$L,C$24))</f>
        <v/>
      </c>
      <c r="D27" s="103">
        <f>IF($A27="","",-SUMIFS(Buchungen!$E:$E,Buchungen!$G:$G,$A27,Buchungen!$H:$H,"Ausgabe",Buchungen!$L:$L,D$24)-SUMIFS(Buchungen!$E:$E,Buchungen!$G:$G,$A27,Buchungen!$H:$H,"Fixkosten",Buchungen!$L:$L,D$24))</f>
        <v/>
      </c>
      <c r="E27" s="103">
        <f>IF($A27="","",-SUMIFS(Buchungen!$E:$E,Buchungen!$G:$G,$A27,Buchungen!$H:$H,"Ausgabe",Buchungen!$L:$L,E$24)-SUMIFS(Buchungen!$E:$E,Buchungen!$G:$G,$A27,Buchungen!$H:$H,"Fixkosten",Buchungen!$L:$L,E$24))</f>
        <v/>
      </c>
      <c r="F27" s="103">
        <f>IF($A27="","",-SUMIFS(Buchungen!$E:$E,Buchungen!$G:$G,$A27,Buchungen!$H:$H,"Ausgabe",Buchungen!$L:$L,F$24)-SUMIFS(Buchungen!$E:$E,Buchungen!$G:$G,$A27,Buchungen!$H:$H,"Fixkosten",Buchungen!$L:$L,F$24))</f>
        <v/>
      </c>
      <c r="G27" s="103">
        <f>IF($A27="","",-SUMIFS(Buchungen!$E:$E,Buchungen!$G:$G,$A27,Buchungen!$H:$H,"Ausgabe",Buchungen!$L:$L,G$24)-SUMIFS(Buchungen!$E:$E,Buchungen!$G:$G,$A27,Buchungen!$H:$H,"Fixkosten",Buchungen!$L:$L,G$24))</f>
        <v/>
      </c>
      <c r="H27" s="103">
        <f>IF($A27="","",-SUMIFS(Buchungen!$E:$E,Buchungen!$G:$G,$A27,Buchungen!$H:$H,"Ausgabe",Buchungen!$L:$L,H$24)-SUMIFS(Buchungen!$E:$E,Buchungen!$G:$G,$A27,Buchungen!$H:$H,"Fixkosten",Buchungen!$L:$L,H$24))</f>
        <v/>
      </c>
      <c r="I27" s="103">
        <f>IF($A27="","",-SUMIFS(Buchungen!$E:$E,Buchungen!$G:$G,$A27,Buchungen!$H:$H,"Ausgabe",Buchungen!$L:$L,I$24)-SUMIFS(Buchungen!$E:$E,Buchungen!$G:$G,$A27,Buchungen!$H:$H,"Fixkosten",Buchungen!$L:$L,I$24))</f>
        <v/>
      </c>
      <c r="J27" s="103">
        <f>IF($A27="","",-SUMIFS(Buchungen!$E:$E,Buchungen!$G:$G,$A27,Buchungen!$H:$H,"Ausgabe",Buchungen!$L:$L,J$24)-SUMIFS(Buchungen!$E:$E,Buchungen!$G:$G,$A27,Buchungen!$H:$H,"Fixkosten",Buchungen!$L:$L,J$24))</f>
        <v/>
      </c>
      <c r="K27" s="103">
        <f>IF($A27="","",-SUMIFS(Buchungen!$E:$E,Buchungen!$G:$G,$A27,Buchungen!$H:$H,"Ausgabe",Buchungen!$L:$L,K$24)-SUMIFS(Buchungen!$E:$E,Buchungen!$G:$G,$A27,Buchungen!$H:$H,"Fixkosten",Buchungen!$L:$L,K$24))</f>
        <v/>
      </c>
      <c r="L27" s="103">
        <f>IF($A27="","",-SUMIFS(Buchungen!$E:$E,Buchungen!$G:$G,$A27,Buchungen!$H:$H,"Ausgabe",Buchungen!$L:$L,L$24)-SUMIFS(Buchungen!$E:$E,Buchungen!$G:$G,$A27,Buchungen!$H:$H,"Fixkosten",Buchungen!$L:$L,L$24))</f>
        <v/>
      </c>
      <c r="M27" s="103">
        <f>IF($A27="","",-SUMIFS(Buchungen!$E:$E,Buchungen!$G:$G,$A27,Buchungen!$H:$H,"Ausgabe",Buchungen!$L:$L,M$24)-SUMIFS(Buchungen!$E:$E,Buchungen!$G:$G,$A27,Buchungen!$H:$H,"Fixkosten",Buchungen!$L:$L,M$24))</f>
        <v/>
      </c>
      <c r="N27" s="104">
        <f>IF($A27="","",SUM(B27:M27))</f>
        <v/>
      </c>
      <c r="O27" s="103">
        <f>IF($A27="","",IF(COUNTIF($G$6:$G$17,"&gt;0")=0,0,N27/COUNTIF($G$6:$G$17,"&gt;0")))</f>
        <v/>
      </c>
      <c r="P27" s="81">
        <f>IF(OR($A27="",$N$51=0),"",N27/$N$51)</f>
        <v/>
      </c>
    </row>
    <row r="28">
      <c r="A28" s="102">
        <f>IF(Einstellungen!$A8="","",Einstellungen!$A8)</f>
        <v/>
      </c>
      <c r="B28" s="103">
        <f>IF($A28="","",-SUMIFS(Buchungen!$E:$E,Buchungen!$G:$G,$A28,Buchungen!$H:$H,"Ausgabe",Buchungen!$L:$L,B$24)-SUMIFS(Buchungen!$E:$E,Buchungen!$G:$G,$A28,Buchungen!$H:$H,"Fixkosten",Buchungen!$L:$L,B$24))</f>
        <v/>
      </c>
      <c r="C28" s="103">
        <f>IF($A28="","",-SUMIFS(Buchungen!$E:$E,Buchungen!$G:$G,$A28,Buchungen!$H:$H,"Ausgabe",Buchungen!$L:$L,C$24)-SUMIFS(Buchungen!$E:$E,Buchungen!$G:$G,$A28,Buchungen!$H:$H,"Fixkosten",Buchungen!$L:$L,C$24))</f>
        <v/>
      </c>
      <c r="D28" s="103">
        <f>IF($A28="","",-SUMIFS(Buchungen!$E:$E,Buchungen!$G:$G,$A28,Buchungen!$H:$H,"Ausgabe",Buchungen!$L:$L,D$24)-SUMIFS(Buchungen!$E:$E,Buchungen!$G:$G,$A28,Buchungen!$H:$H,"Fixkosten",Buchungen!$L:$L,D$24))</f>
        <v/>
      </c>
      <c r="E28" s="103">
        <f>IF($A28="","",-SUMIFS(Buchungen!$E:$E,Buchungen!$G:$G,$A28,Buchungen!$H:$H,"Ausgabe",Buchungen!$L:$L,E$24)-SUMIFS(Buchungen!$E:$E,Buchungen!$G:$G,$A28,Buchungen!$H:$H,"Fixkosten",Buchungen!$L:$L,E$24))</f>
        <v/>
      </c>
      <c r="F28" s="103">
        <f>IF($A28="","",-SUMIFS(Buchungen!$E:$E,Buchungen!$G:$G,$A28,Buchungen!$H:$H,"Ausgabe",Buchungen!$L:$L,F$24)-SUMIFS(Buchungen!$E:$E,Buchungen!$G:$G,$A28,Buchungen!$H:$H,"Fixkosten",Buchungen!$L:$L,F$24))</f>
        <v/>
      </c>
      <c r="G28" s="103">
        <f>IF($A28="","",-SUMIFS(Buchungen!$E:$E,Buchungen!$G:$G,$A28,Buchungen!$H:$H,"Ausgabe",Buchungen!$L:$L,G$24)-SUMIFS(Buchungen!$E:$E,Buchungen!$G:$G,$A28,Buchungen!$H:$H,"Fixkosten",Buchungen!$L:$L,G$24))</f>
        <v/>
      </c>
      <c r="H28" s="103">
        <f>IF($A28="","",-SUMIFS(Buchungen!$E:$E,Buchungen!$G:$G,$A28,Buchungen!$H:$H,"Ausgabe",Buchungen!$L:$L,H$24)-SUMIFS(Buchungen!$E:$E,Buchungen!$G:$G,$A28,Buchungen!$H:$H,"Fixkosten",Buchungen!$L:$L,H$24))</f>
        <v/>
      </c>
      <c r="I28" s="103">
        <f>IF($A28="","",-SUMIFS(Buchungen!$E:$E,Buchungen!$G:$G,$A28,Buchungen!$H:$H,"Ausgabe",Buchungen!$L:$L,I$24)-SUMIFS(Buchungen!$E:$E,Buchungen!$G:$G,$A28,Buchungen!$H:$H,"Fixkosten",Buchungen!$L:$L,I$24))</f>
        <v/>
      </c>
      <c r="J28" s="103">
        <f>IF($A28="","",-SUMIFS(Buchungen!$E:$E,Buchungen!$G:$G,$A28,Buchungen!$H:$H,"Ausgabe",Buchungen!$L:$L,J$24)-SUMIFS(Buchungen!$E:$E,Buchungen!$G:$G,$A28,Buchungen!$H:$H,"Fixkosten",Buchungen!$L:$L,J$24))</f>
        <v/>
      </c>
      <c r="K28" s="103">
        <f>IF($A28="","",-SUMIFS(Buchungen!$E:$E,Buchungen!$G:$G,$A28,Buchungen!$H:$H,"Ausgabe",Buchungen!$L:$L,K$24)-SUMIFS(Buchungen!$E:$E,Buchungen!$G:$G,$A28,Buchungen!$H:$H,"Fixkosten",Buchungen!$L:$L,K$24))</f>
        <v/>
      </c>
      <c r="L28" s="103">
        <f>IF($A28="","",-SUMIFS(Buchungen!$E:$E,Buchungen!$G:$G,$A28,Buchungen!$H:$H,"Ausgabe",Buchungen!$L:$L,L$24)-SUMIFS(Buchungen!$E:$E,Buchungen!$G:$G,$A28,Buchungen!$H:$H,"Fixkosten",Buchungen!$L:$L,L$24))</f>
        <v/>
      </c>
      <c r="M28" s="103">
        <f>IF($A28="","",-SUMIFS(Buchungen!$E:$E,Buchungen!$G:$G,$A28,Buchungen!$H:$H,"Ausgabe",Buchungen!$L:$L,M$24)-SUMIFS(Buchungen!$E:$E,Buchungen!$G:$G,$A28,Buchungen!$H:$H,"Fixkosten",Buchungen!$L:$L,M$24))</f>
        <v/>
      </c>
      <c r="N28" s="104">
        <f>IF($A28="","",SUM(B28:M28))</f>
        <v/>
      </c>
      <c r="O28" s="103">
        <f>IF($A28="","",IF(COUNTIF($G$6:$G$17,"&gt;0")=0,0,N28/COUNTIF($G$6:$G$17,"&gt;0")))</f>
        <v/>
      </c>
      <c r="P28" s="81">
        <f>IF(OR($A28="",$N$51=0),"",N28/$N$51)</f>
        <v/>
      </c>
    </row>
    <row r="29">
      <c r="A29" s="102">
        <f>IF(Einstellungen!$A9="","",Einstellungen!$A9)</f>
        <v/>
      </c>
      <c r="B29" s="103">
        <f>IF($A29="","",-SUMIFS(Buchungen!$E:$E,Buchungen!$G:$G,$A29,Buchungen!$H:$H,"Ausgabe",Buchungen!$L:$L,B$24)-SUMIFS(Buchungen!$E:$E,Buchungen!$G:$G,$A29,Buchungen!$H:$H,"Fixkosten",Buchungen!$L:$L,B$24))</f>
        <v/>
      </c>
      <c r="C29" s="103">
        <f>IF($A29="","",-SUMIFS(Buchungen!$E:$E,Buchungen!$G:$G,$A29,Buchungen!$H:$H,"Ausgabe",Buchungen!$L:$L,C$24)-SUMIFS(Buchungen!$E:$E,Buchungen!$G:$G,$A29,Buchungen!$H:$H,"Fixkosten",Buchungen!$L:$L,C$24))</f>
        <v/>
      </c>
      <c r="D29" s="103">
        <f>IF($A29="","",-SUMIFS(Buchungen!$E:$E,Buchungen!$G:$G,$A29,Buchungen!$H:$H,"Ausgabe",Buchungen!$L:$L,D$24)-SUMIFS(Buchungen!$E:$E,Buchungen!$G:$G,$A29,Buchungen!$H:$H,"Fixkosten",Buchungen!$L:$L,D$24))</f>
        <v/>
      </c>
      <c r="E29" s="103">
        <f>IF($A29="","",-SUMIFS(Buchungen!$E:$E,Buchungen!$G:$G,$A29,Buchungen!$H:$H,"Ausgabe",Buchungen!$L:$L,E$24)-SUMIFS(Buchungen!$E:$E,Buchungen!$G:$G,$A29,Buchungen!$H:$H,"Fixkosten",Buchungen!$L:$L,E$24))</f>
        <v/>
      </c>
      <c r="F29" s="103">
        <f>IF($A29="","",-SUMIFS(Buchungen!$E:$E,Buchungen!$G:$G,$A29,Buchungen!$H:$H,"Ausgabe",Buchungen!$L:$L,F$24)-SUMIFS(Buchungen!$E:$E,Buchungen!$G:$G,$A29,Buchungen!$H:$H,"Fixkosten",Buchungen!$L:$L,F$24))</f>
        <v/>
      </c>
      <c r="G29" s="103">
        <f>IF($A29="","",-SUMIFS(Buchungen!$E:$E,Buchungen!$G:$G,$A29,Buchungen!$H:$H,"Ausgabe",Buchungen!$L:$L,G$24)-SUMIFS(Buchungen!$E:$E,Buchungen!$G:$G,$A29,Buchungen!$H:$H,"Fixkosten",Buchungen!$L:$L,G$24))</f>
        <v/>
      </c>
      <c r="H29" s="103">
        <f>IF($A29="","",-SUMIFS(Buchungen!$E:$E,Buchungen!$G:$G,$A29,Buchungen!$H:$H,"Ausgabe",Buchungen!$L:$L,H$24)-SUMIFS(Buchungen!$E:$E,Buchungen!$G:$G,$A29,Buchungen!$H:$H,"Fixkosten",Buchungen!$L:$L,H$24))</f>
        <v/>
      </c>
      <c r="I29" s="103">
        <f>IF($A29="","",-SUMIFS(Buchungen!$E:$E,Buchungen!$G:$G,$A29,Buchungen!$H:$H,"Ausgabe",Buchungen!$L:$L,I$24)-SUMIFS(Buchungen!$E:$E,Buchungen!$G:$G,$A29,Buchungen!$H:$H,"Fixkosten",Buchungen!$L:$L,I$24))</f>
        <v/>
      </c>
      <c r="J29" s="103">
        <f>IF($A29="","",-SUMIFS(Buchungen!$E:$E,Buchungen!$G:$G,$A29,Buchungen!$H:$H,"Ausgabe",Buchungen!$L:$L,J$24)-SUMIFS(Buchungen!$E:$E,Buchungen!$G:$G,$A29,Buchungen!$H:$H,"Fixkosten",Buchungen!$L:$L,J$24))</f>
        <v/>
      </c>
      <c r="K29" s="103">
        <f>IF($A29="","",-SUMIFS(Buchungen!$E:$E,Buchungen!$G:$G,$A29,Buchungen!$H:$H,"Ausgabe",Buchungen!$L:$L,K$24)-SUMIFS(Buchungen!$E:$E,Buchungen!$G:$G,$A29,Buchungen!$H:$H,"Fixkosten",Buchungen!$L:$L,K$24))</f>
        <v/>
      </c>
      <c r="L29" s="103">
        <f>IF($A29="","",-SUMIFS(Buchungen!$E:$E,Buchungen!$G:$G,$A29,Buchungen!$H:$H,"Ausgabe",Buchungen!$L:$L,L$24)-SUMIFS(Buchungen!$E:$E,Buchungen!$G:$G,$A29,Buchungen!$H:$H,"Fixkosten",Buchungen!$L:$L,L$24))</f>
        <v/>
      </c>
      <c r="M29" s="103">
        <f>IF($A29="","",-SUMIFS(Buchungen!$E:$E,Buchungen!$G:$G,$A29,Buchungen!$H:$H,"Ausgabe",Buchungen!$L:$L,M$24)-SUMIFS(Buchungen!$E:$E,Buchungen!$G:$G,$A29,Buchungen!$H:$H,"Fixkosten",Buchungen!$L:$L,M$24))</f>
        <v/>
      </c>
      <c r="N29" s="104">
        <f>IF($A29="","",SUM(B29:M29))</f>
        <v/>
      </c>
      <c r="O29" s="103">
        <f>IF($A29="","",IF(COUNTIF($G$6:$G$17,"&gt;0")=0,0,N29/COUNTIF($G$6:$G$17,"&gt;0")))</f>
        <v/>
      </c>
      <c r="P29" s="81">
        <f>IF(OR($A29="",$N$51=0),"",N29/$N$51)</f>
        <v/>
      </c>
    </row>
    <row r="30">
      <c r="A30" s="102">
        <f>IF(Einstellungen!$A10="","",Einstellungen!$A10)</f>
        <v/>
      </c>
      <c r="B30" s="103">
        <f>IF($A30="","",-SUMIFS(Buchungen!$E:$E,Buchungen!$G:$G,$A30,Buchungen!$H:$H,"Ausgabe",Buchungen!$L:$L,B$24)-SUMIFS(Buchungen!$E:$E,Buchungen!$G:$G,$A30,Buchungen!$H:$H,"Fixkosten",Buchungen!$L:$L,B$24))</f>
        <v/>
      </c>
      <c r="C30" s="103">
        <f>IF($A30="","",-SUMIFS(Buchungen!$E:$E,Buchungen!$G:$G,$A30,Buchungen!$H:$H,"Ausgabe",Buchungen!$L:$L,C$24)-SUMIFS(Buchungen!$E:$E,Buchungen!$G:$G,$A30,Buchungen!$H:$H,"Fixkosten",Buchungen!$L:$L,C$24))</f>
        <v/>
      </c>
      <c r="D30" s="103">
        <f>IF($A30="","",-SUMIFS(Buchungen!$E:$E,Buchungen!$G:$G,$A30,Buchungen!$H:$H,"Ausgabe",Buchungen!$L:$L,D$24)-SUMIFS(Buchungen!$E:$E,Buchungen!$G:$G,$A30,Buchungen!$H:$H,"Fixkosten",Buchungen!$L:$L,D$24))</f>
        <v/>
      </c>
      <c r="E30" s="103">
        <f>IF($A30="","",-SUMIFS(Buchungen!$E:$E,Buchungen!$G:$G,$A30,Buchungen!$H:$H,"Ausgabe",Buchungen!$L:$L,E$24)-SUMIFS(Buchungen!$E:$E,Buchungen!$G:$G,$A30,Buchungen!$H:$H,"Fixkosten",Buchungen!$L:$L,E$24))</f>
        <v/>
      </c>
      <c r="F30" s="103">
        <f>IF($A30="","",-SUMIFS(Buchungen!$E:$E,Buchungen!$G:$G,$A30,Buchungen!$H:$H,"Ausgabe",Buchungen!$L:$L,F$24)-SUMIFS(Buchungen!$E:$E,Buchungen!$G:$G,$A30,Buchungen!$H:$H,"Fixkosten",Buchungen!$L:$L,F$24))</f>
        <v/>
      </c>
      <c r="G30" s="103">
        <f>IF($A30="","",-SUMIFS(Buchungen!$E:$E,Buchungen!$G:$G,$A30,Buchungen!$H:$H,"Ausgabe",Buchungen!$L:$L,G$24)-SUMIFS(Buchungen!$E:$E,Buchungen!$G:$G,$A30,Buchungen!$H:$H,"Fixkosten",Buchungen!$L:$L,G$24))</f>
        <v/>
      </c>
      <c r="H30" s="103">
        <f>IF($A30="","",-SUMIFS(Buchungen!$E:$E,Buchungen!$G:$G,$A30,Buchungen!$H:$H,"Ausgabe",Buchungen!$L:$L,H$24)-SUMIFS(Buchungen!$E:$E,Buchungen!$G:$G,$A30,Buchungen!$H:$H,"Fixkosten",Buchungen!$L:$L,H$24))</f>
        <v/>
      </c>
      <c r="I30" s="103">
        <f>IF($A30="","",-SUMIFS(Buchungen!$E:$E,Buchungen!$G:$G,$A30,Buchungen!$H:$H,"Ausgabe",Buchungen!$L:$L,I$24)-SUMIFS(Buchungen!$E:$E,Buchungen!$G:$G,$A30,Buchungen!$H:$H,"Fixkosten",Buchungen!$L:$L,I$24))</f>
        <v/>
      </c>
      <c r="J30" s="103">
        <f>IF($A30="","",-SUMIFS(Buchungen!$E:$E,Buchungen!$G:$G,$A30,Buchungen!$H:$H,"Ausgabe",Buchungen!$L:$L,J$24)-SUMIFS(Buchungen!$E:$E,Buchungen!$G:$G,$A30,Buchungen!$H:$H,"Fixkosten",Buchungen!$L:$L,J$24))</f>
        <v/>
      </c>
      <c r="K30" s="103">
        <f>IF($A30="","",-SUMIFS(Buchungen!$E:$E,Buchungen!$G:$G,$A30,Buchungen!$H:$H,"Ausgabe",Buchungen!$L:$L,K$24)-SUMIFS(Buchungen!$E:$E,Buchungen!$G:$G,$A30,Buchungen!$H:$H,"Fixkosten",Buchungen!$L:$L,K$24))</f>
        <v/>
      </c>
      <c r="L30" s="103">
        <f>IF($A30="","",-SUMIFS(Buchungen!$E:$E,Buchungen!$G:$G,$A30,Buchungen!$H:$H,"Ausgabe",Buchungen!$L:$L,L$24)-SUMIFS(Buchungen!$E:$E,Buchungen!$G:$G,$A30,Buchungen!$H:$H,"Fixkosten",Buchungen!$L:$L,L$24))</f>
        <v/>
      </c>
      <c r="M30" s="103">
        <f>IF($A30="","",-SUMIFS(Buchungen!$E:$E,Buchungen!$G:$G,$A30,Buchungen!$H:$H,"Ausgabe",Buchungen!$L:$L,M$24)-SUMIFS(Buchungen!$E:$E,Buchungen!$G:$G,$A30,Buchungen!$H:$H,"Fixkosten",Buchungen!$L:$L,M$24))</f>
        <v/>
      </c>
      <c r="N30" s="104">
        <f>IF($A30="","",SUM(B30:M30))</f>
        <v/>
      </c>
      <c r="O30" s="103">
        <f>IF($A30="","",IF(COUNTIF($G$6:$G$17,"&gt;0")=0,0,N30/COUNTIF($G$6:$G$17,"&gt;0")))</f>
        <v/>
      </c>
      <c r="P30" s="81">
        <f>IF(OR($A30="",$N$51=0),"",N30/$N$51)</f>
        <v/>
      </c>
    </row>
    <row r="31">
      <c r="A31" s="102">
        <f>IF(Einstellungen!$A11="","",Einstellungen!$A11)</f>
        <v/>
      </c>
      <c r="B31" s="103">
        <f>IF($A31="","",-SUMIFS(Buchungen!$E:$E,Buchungen!$G:$G,$A31,Buchungen!$H:$H,"Ausgabe",Buchungen!$L:$L,B$24)-SUMIFS(Buchungen!$E:$E,Buchungen!$G:$G,$A31,Buchungen!$H:$H,"Fixkosten",Buchungen!$L:$L,B$24))</f>
        <v/>
      </c>
      <c r="C31" s="103">
        <f>IF($A31="","",-SUMIFS(Buchungen!$E:$E,Buchungen!$G:$G,$A31,Buchungen!$H:$H,"Ausgabe",Buchungen!$L:$L,C$24)-SUMIFS(Buchungen!$E:$E,Buchungen!$G:$G,$A31,Buchungen!$H:$H,"Fixkosten",Buchungen!$L:$L,C$24))</f>
        <v/>
      </c>
      <c r="D31" s="103">
        <f>IF($A31="","",-SUMIFS(Buchungen!$E:$E,Buchungen!$G:$G,$A31,Buchungen!$H:$H,"Ausgabe",Buchungen!$L:$L,D$24)-SUMIFS(Buchungen!$E:$E,Buchungen!$G:$G,$A31,Buchungen!$H:$H,"Fixkosten",Buchungen!$L:$L,D$24))</f>
        <v/>
      </c>
      <c r="E31" s="103">
        <f>IF($A31="","",-SUMIFS(Buchungen!$E:$E,Buchungen!$G:$G,$A31,Buchungen!$H:$H,"Ausgabe",Buchungen!$L:$L,E$24)-SUMIFS(Buchungen!$E:$E,Buchungen!$G:$G,$A31,Buchungen!$H:$H,"Fixkosten",Buchungen!$L:$L,E$24))</f>
        <v/>
      </c>
      <c r="F31" s="103">
        <f>IF($A31="","",-SUMIFS(Buchungen!$E:$E,Buchungen!$G:$G,$A31,Buchungen!$H:$H,"Ausgabe",Buchungen!$L:$L,F$24)-SUMIFS(Buchungen!$E:$E,Buchungen!$G:$G,$A31,Buchungen!$H:$H,"Fixkosten",Buchungen!$L:$L,F$24))</f>
        <v/>
      </c>
      <c r="G31" s="103">
        <f>IF($A31="","",-SUMIFS(Buchungen!$E:$E,Buchungen!$G:$G,$A31,Buchungen!$H:$H,"Ausgabe",Buchungen!$L:$L,G$24)-SUMIFS(Buchungen!$E:$E,Buchungen!$G:$G,$A31,Buchungen!$H:$H,"Fixkosten",Buchungen!$L:$L,G$24))</f>
        <v/>
      </c>
      <c r="H31" s="103">
        <f>IF($A31="","",-SUMIFS(Buchungen!$E:$E,Buchungen!$G:$G,$A31,Buchungen!$H:$H,"Ausgabe",Buchungen!$L:$L,H$24)-SUMIFS(Buchungen!$E:$E,Buchungen!$G:$G,$A31,Buchungen!$H:$H,"Fixkosten",Buchungen!$L:$L,H$24))</f>
        <v/>
      </c>
      <c r="I31" s="103">
        <f>IF($A31="","",-SUMIFS(Buchungen!$E:$E,Buchungen!$G:$G,$A31,Buchungen!$H:$H,"Ausgabe",Buchungen!$L:$L,I$24)-SUMIFS(Buchungen!$E:$E,Buchungen!$G:$G,$A31,Buchungen!$H:$H,"Fixkosten",Buchungen!$L:$L,I$24))</f>
        <v/>
      </c>
      <c r="J31" s="103">
        <f>IF($A31="","",-SUMIFS(Buchungen!$E:$E,Buchungen!$G:$G,$A31,Buchungen!$H:$H,"Ausgabe",Buchungen!$L:$L,J$24)-SUMIFS(Buchungen!$E:$E,Buchungen!$G:$G,$A31,Buchungen!$H:$H,"Fixkosten",Buchungen!$L:$L,J$24))</f>
        <v/>
      </c>
      <c r="K31" s="103">
        <f>IF($A31="","",-SUMIFS(Buchungen!$E:$E,Buchungen!$G:$G,$A31,Buchungen!$H:$H,"Ausgabe",Buchungen!$L:$L,K$24)-SUMIFS(Buchungen!$E:$E,Buchungen!$G:$G,$A31,Buchungen!$H:$H,"Fixkosten",Buchungen!$L:$L,K$24))</f>
        <v/>
      </c>
      <c r="L31" s="103">
        <f>IF($A31="","",-SUMIFS(Buchungen!$E:$E,Buchungen!$G:$G,$A31,Buchungen!$H:$H,"Ausgabe",Buchungen!$L:$L,L$24)-SUMIFS(Buchungen!$E:$E,Buchungen!$G:$G,$A31,Buchungen!$H:$H,"Fixkosten",Buchungen!$L:$L,L$24))</f>
        <v/>
      </c>
      <c r="M31" s="103">
        <f>IF($A31="","",-SUMIFS(Buchungen!$E:$E,Buchungen!$G:$G,$A31,Buchungen!$H:$H,"Ausgabe",Buchungen!$L:$L,M$24)-SUMIFS(Buchungen!$E:$E,Buchungen!$G:$G,$A31,Buchungen!$H:$H,"Fixkosten",Buchungen!$L:$L,M$24))</f>
        <v/>
      </c>
      <c r="N31" s="104">
        <f>IF($A31="","",SUM(B31:M31))</f>
        <v/>
      </c>
      <c r="O31" s="103">
        <f>IF($A31="","",IF(COUNTIF($G$6:$G$17,"&gt;0")=0,0,N31/COUNTIF($G$6:$G$17,"&gt;0")))</f>
        <v/>
      </c>
      <c r="P31" s="81">
        <f>IF(OR($A31="",$N$51=0),"",N31/$N$51)</f>
        <v/>
      </c>
    </row>
    <row r="32">
      <c r="A32" s="102">
        <f>IF(Einstellungen!$A12="","",Einstellungen!$A12)</f>
        <v/>
      </c>
      <c r="B32" s="103">
        <f>IF($A32="","",-SUMIFS(Buchungen!$E:$E,Buchungen!$G:$G,$A32,Buchungen!$H:$H,"Ausgabe",Buchungen!$L:$L,B$24)-SUMIFS(Buchungen!$E:$E,Buchungen!$G:$G,$A32,Buchungen!$H:$H,"Fixkosten",Buchungen!$L:$L,B$24))</f>
        <v/>
      </c>
      <c r="C32" s="103">
        <f>IF($A32="","",-SUMIFS(Buchungen!$E:$E,Buchungen!$G:$G,$A32,Buchungen!$H:$H,"Ausgabe",Buchungen!$L:$L,C$24)-SUMIFS(Buchungen!$E:$E,Buchungen!$G:$G,$A32,Buchungen!$H:$H,"Fixkosten",Buchungen!$L:$L,C$24))</f>
        <v/>
      </c>
      <c r="D32" s="103">
        <f>IF($A32="","",-SUMIFS(Buchungen!$E:$E,Buchungen!$G:$G,$A32,Buchungen!$H:$H,"Ausgabe",Buchungen!$L:$L,D$24)-SUMIFS(Buchungen!$E:$E,Buchungen!$G:$G,$A32,Buchungen!$H:$H,"Fixkosten",Buchungen!$L:$L,D$24))</f>
        <v/>
      </c>
      <c r="E32" s="103">
        <f>IF($A32="","",-SUMIFS(Buchungen!$E:$E,Buchungen!$G:$G,$A32,Buchungen!$H:$H,"Ausgabe",Buchungen!$L:$L,E$24)-SUMIFS(Buchungen!$E:$E,Buchungen!$G:$G,$A32,Buchungen!$H:$H,"Fixkosten",Buchungen!$L:$L,E$24))</f>
        <v/>
      </c>
      <c r="F32" s="103">
        <f>IF($A32="","",-SUMIFS(Buchungen!$E:$E,Buchungen!$G:$G,$A32,Buchungen!$H:$H,"Ausgabe",Buchungen!$L:$L,F$24)-SUMIFS(Buchungen!$E:$E,Buchungen!$G:$G,$A32,Buchungen!$H:$H,"Fixkosten",Buchungen!$L:$L,F$24))</f>
        <v/>
      </c>
      <c r="G32" s="103">
        <f>IF($A32="","",-SUMIFS(Buchungen!$E:$E,Buchungen!$G:$G,$A32,Buchungen!$H:$H,"Ausgabe",Buchungen!$L:$L,G$24)-SUMIFS(Buchungen!$E:$E,Buchungen!$G:$G,$A32,Buchungen!$H:$H,"Fixkosten",Buchungen!$L:$L,G$24))</f>
        <v/>
      </c>
      <c r="H32" s="103">
        <f>IF($A32="","",-SUMIFS(Buchungen!$E:$E,Buchungen!$G:$G,$A32,Buchungen!$H:$H,"Ausgabe",Buchungen!$L:$L,H$24)-SUMIFS(Buchungen!$E:$E,Buchungen!$G:$G,$A32,Buchungen!$H:$H,"Fixkosten",Buchungen!$L:$L,H$24))</f>
        <v/>
      </c>
      <c r="I32" s="103">
        <f>IF($A32="","",-SUMIFS(Buchungen!$E:$E,Buchungen!$G:$G,$A32,Buchungen!$H:$H,"Ausgabe",Buchungen!$L:$L,I$24)-SUMIFS(Buchungen!$E:$E,Buchungen!$G:$G,$A32,Buchungen!$H:$H,"Fixkosten",Buchungen!$L:$L,I$24))</f>
        <v/>
      </c>
      <c r="J32" s="103">
        <f>IF($A32="","",-SUMIFS(Buchungen!$E:$E,Buchungen!$G:$G,$A32,Buchungen!$H:$H,"Ausgabe",Buchungen!$L:$L,J$24)-SUMIFS(Buchungen!$E:$E,Buchungen!$G:$G,$A32,Buchungen!$H:$H,"Fixkosten",Buchungen!$L:$L,J$24))</f>
        <v/>
      </c>
      <c r="K32" s="103">
        <f>IF($A32="","",-SUMIFS(Buchungen!$E:$E,Buchungen!$G:$G,$A32,Buchungen!$H:$H,"Ausgabe",Buchungen!$L:$L,K$24)-SUMIFS(Buchungen!$E:$E,Buchungen!$G:$G,$A32,Buchungen!$H:$H,"Fixkosten",Buchungen!$L:$L,K$24))</f>
        <v/>
      </c>
      <c r="L32" s="103">
        <f>IF($A32="","",-SUMIFS(Buchungen!$E:$E,Buchungen!$G:$G,$A32,Buchungen!$H:$H,"Ausgabe",Buchungen!$L:$L,L$24)-SUMIFS(Buchungen!$E:$E,Buchungen!$G:$G,$A32,Buchungen!$H:$H,"Fixkosten",Buchungen!$L:$L,L$24))</f>
        <v/>
      </c>
      <c r="M32" s="103">
        <f>IF($A32="","",-SUMIFS(Buchungen!$E:$E,Buchungen!$G:$G,$A32,Buchungen!$H:$H,"Ausgabe",Buchungen!$L:$L,M$24)-SUMIFS(Buchungen!$E:$E,Buchungen!$G:$G,$A32,Buchungen!$H:$H,"Fixkosten",Buchungen!$L:$L,M$24))</f>
        <v/>
      </c>
      <c r="N32" s="104">
        <f>IF($A32="","",SUM(B32:M32))</f>
        <v/>
      </c>
      <c r="O32" s="103">
        <f>IF($A32="","",IF(COUNTIF($G$6:$G$17,"&gt;0")=0,0,N32/COUNTIF($G$6:$G$17,"&gt;0")))</f>
        <v/>
      </c>
      <c r="P32" s="81">
        <f>IF(OR($A32="",$N$51=0),"",N32/$N$51)</f>
        <v/>
      </c>
    </row>
    <row r="33">
      <c r="A33" s="102">
        <f>IF(Einstellungen!$A13="","",Einstellungen!$A13)</f>
        <v/>
      </c>
      <c r="B33" s="103">
        <f>IF($A33="","",-SUMIFS(Buchungen!$E:$E,Buchungen!$G:$G,$A33,Buchungen!$H:$H,"Ausgabe",Buchungen!$L:$L,B$24)-SUMIFS(Buchungen!$E:$E,Buchungen!$G:$G,$A33,Buchungen!$H:$H,"Fixkosten",Buchungen!$L:$L,B$24))</f>
        <v/>
      </c>
      <c r="C33" s="103">
        <f>IF($A33="","",-SUMIFS(Buchungen!$E:$E,Buchungen!$G:$G,$A33,Buchungen!$H:$H,"Ausgabe",Buchungen!$L:$L,C$24)-SUMIFS(Buchungen!$E:$E,Buchungen!$G:$G,$A33,Buchungen!$H:$H,"Fixkosten",Buchungen!$L:$L,C$24))</f>
        <v/>
      </c>
      <c r="D33" s="103">
        <f>IF($A33="","",-SUMIFS(Buchungen!$E:$E,Buchungen!$G:$G,$A33,Buchungen!$H:$H,"Ausgabe",Buchungen!$L:$L,D$24)-SUMIFS(Buchungen!$E:$E,Buchungen!$G:$G,$A33,Buchungen!$H:$H,"Fixkosten",Buchungen!$L:$L,D$24))</f>
        <v/>
      </c>
      <c r="E33" s="103">
        <f>IF($A33="","",-SUMIFS(Buchungen!$E:$E,Buchungen!$G:$G,$A33,Buchungen!$H:$H,"Ausgabe",Buchungen!$L:$L,E$24)-SUMIFS(Buchungen!$E:$E,Buchungen!$G:$G,$A33,Buchungen!$H:$H,"Fixkosten",Buchungen!$L:$L,E$24))</f>
        <v/>
      </c>
      <c r="F33" s="103">
        <f>IF($A33="","",-SUMIFS(Buchungen!$E:$E,Buchungen!$G:$G,$A33,Buchungen!$H:$H,"Ausgabe",Buchungen!$L:$L,F$24)-SUMIFS(Buchungen!$E:$E,Buchungen!$G:$G,$A33,Buchungen!$H:$H,"Fixkosten",Buchungen!$L:$L,F$24))</f>
        <v/>
      </c>
      <c r="G33" s="103">
        <f>IF($A33="","",-SUMIFS(Buchungen!$E:$E,Buchungen!$G:$G,$A33,Buchungen!$H:$H,"Ausgabe",Buchungen!$L:$L,G$24)-SUMIFS(Buchungen!$E:$E,Buchungen!$G:$G,$A33,Buchungen!$H:$H,"Fixkosten",Buchungen!$L:$L,G$24))</f>
        <v/>
      </c>
      <c r="H33" s="103">
        <f>IF($A33="","",-SUMIFS(Buchungen!$E:$E,Buchungen!$G:$G,$A33,Buchungen!$H:$H,"Ausgabe",Buchungen!$L:$L,H$24)-SUMIFS(Buchungen!$E:$E,Buchungen!$G:$G,$A33,Buchungen!$H:$H,"Fixkosten",Buchungen!$L:$L,H$24))</f>
        <v/>
      </c>
      <c r="I33" s="103">
        <f>IF($A33="","",-SUMIFS(Buchungen!$E:$E,Buchungen!$G:$G,$A33,Buchungen!$H:$H,"Ausgabe",Buchungen!$L:$L,I$24)-SUMIFS(Buchungen!$E:$E,Buchungen!$G:$G,$A33,Buchungen!$H:$H,"Fixkosten",Buchungen!$L:$L,I$24))</f>
        <v/>
      </c>
      <c r="J33" s="103">
        <f>IF($A33="","",-SUMIFS(Buchungen!$E:$E,Buchungen!$G:$G,$A33,Buchungen!$H:$H,"Ausgabe",Buchungen!$L:$L,J$24)-SUMIFS(Buchungen!$E:$E,Buchungen!$G:$G,$A33,Buchungen!$H:$H,"Fixkosten",Buchungen!$L:$L,J$24))</f>
        <v/>
      </c>
      <c r="K33" s="103">
        <f>IF($A33="","",-SUMIFS(Buchungen!$E:$E,Buchungen!$G:$G,$A33,Buchungen!$H:$H,"Ausgabe",Buchungen!$L:$L,K$24)-SUMIFS(Buchungen!$E:$E,Buchungen!$G:$G,$A33,Buchungen!$H:$H,"Fixkosten",Buchungen!$L:$L,K$24))</f>
        <v/>
      </c>
      <c r="L33" s="103">
        <f>IF($A33="","",-SUMIFS(Buchungen!$E:$E,Buchungen!$G:$G,$A33,Buchungen!$H:$H,"Ausgabe",Buchungen!$L:$L,L$24)-SUMIFS(Buchungen!$E:$E,Buchungen!$G:$G,$A33,Buchungen!$H:$H,"Fixkosten",Buchungen!$L:$L,L$24))</f>
        <v/>
      </c>
      <c r="M33" s="103">
        <f>IF($A33="","",-SUMIFS(Buchungen!$E:$E,Buchungen!$G:$G,$A33,Buchungen!$H:$H,"Ausgabe",Buchungen!$L:$L,M$24)-SUMIFS(Buchungen!$E:$E,Buchungen!$G:$G,$A33,Buchungen!$H:$H,"Fixkosten",Buchungen!$L:$L,M$24))</f>
        <v/>
      </c>
      <c r="N33" s="104">
        <f>IF($A33="","",SUM(B33:M33))</f>
        <v/>
      </c>
      <c r="O33" s="103">
        <f>IF($A33="","",IF(COUNTIF($G$6:$G$17,"&gt;0")=0,0,N33/COUNTIF($G$6:$G$17,"&gt;0")))</f>
        <v/>
      </c>
      <c r="P33" s="81">
        <f>IF(OR($A33="",$N$51=0),"",N33/$N$51)</f>
        <v/>
      </c>
    </row>
    <row r="34">
      <c r="A34" s="102">
        <f>IF(Einstellungen!$A14="","",Einstellungen!$A14)</f>
        <v/>
      </c>
      <c r="B34" s="103">
        <f>IF($A34="","",-SUMIFS(Buchungen!$E:$E,Buchungen!$G:$G,$A34,Buchungen!$H:$H,"Ausgabe",Buchungen!$L:$L,B$24)-SUMIFS(Buchungen!$E:$E,Buchungen!$G:$G,$A34,Buchungen!$H:$H,"Fixkosten",Buchungen!$L:$L,B$24))</f>
        <v/>
      </c>
      <c r="C34" s="103">
        <f>IF($A34="","",-SUMIFS(Buchungen!$E:$E,Buchungen!$G:$G,$A34,Buchungen!$H:$H,"Ausgabe",Buchungen!$L:$L,C$24)-SUMIFS(Buchungen!$E:$E,Buchungen!$G:$G,$A34,Buchungen!$H:$H,"Fixkosten",Buchungen!$L:$L,C$24))</f>
        <v/>
      </c>
      <c r="D34" s="103">
        <f>IF($A34="","",-SUMIFS(Buchungen!$E:$E,Buchungen!$G:$G,$A34,Buchungen!$H:$H,"Ausgabe",Buchungen!$L:$L,D$24)-SUMIFS(Buchungen!$E:$E,Buchungen!$G:$G,$A34,Buchungen!$H:$H,"Fixkosten",Buchungen!$L:$L,D$24))</f>
        <v/>
      </c>
      <c r="E34" s="103">
        <f>IF($A34="","",-SUMIFS(Buchungen!$E:$E,Buchungen!$G:$G,$A34,Buchungen!$H:$H,"Ausgabe",Buchungen!$L:$L,E$24)-SUMIFS(Buchungen!$E:$E,Buchungen!$G:$G,$A34,Buchungen!$H:$H,"Fixkosten",Buchungen!$L:$L,E$24))</f>
        <v/>
      </c>
      <c r="F34" s="103">
        <f>IF($A34="","",-SUMIFS(Buchungen!$E:$E,Buchungen!$G:$G,$A34,Buchungen!$H:$H,"Ausgabe",Buchungen!$L:$L,F$24)-SUMIFS(Buchungen!$E:$E,Buchungen!$G:$G,$A34,Buchungen!$H:$H,"Fixkosten",Buchungen!$L:$L,F$24))</f>
        <v/>
      </c>
      <c r="G34" s="103">
        <f>IF($A34="","",-SUMIFS(Buchungen!$E:$E,Buchungen!$G:$G,$A34,Buchungen!$H:$H,"Ausgabe",Buchungen!$L:$L,G$24)-SUMIFS(Buchungen!$E:$E,Buchungen!$G:$G,$A34,Buchungen!$H:$H,"Fixkosten",Buchungen!$L:$L,G$24))</f>
        <v/>
      </c>
      <c r="H34" s="103">
        <f>IF($A34="","",-SUMIFS(Buchungen!$E:$E,Buchungen!$G:$G,$A34,Buchungen!$H:$H,"Ausgabe",Buchungen!$L:$L,H$24)-SUMIFS(Buchungen!$E:$E,Buchungen!$G:$G,$A34,Buchungen!$H:$H,"Fixkosten",Buchungen!$L:$L,H$24))</f>
        <v/>
      </c>
      <c r="I34" s="103">
        <f>IF($A34="","",-SUMIFS(Buchungen!$E:$E,Buchungen!$G:$G,$A34,Buchungen!$H:$H,"Ausgabe",Buchungen!$L:$L,I$24)-SUMIFS(Buchungen!$E:$E,Buchungen!$G:$G,$A34,Buchungen!$H:$H,"Fixkosten",Buchungen!$L:$L,I$24))</f>
        <v/>
      </c>
      <c r="J34" s="103">
        <f>IF($A34="","",-SUMIFS(Buchungen!$E:$E,Buchungen!$G:$G,$A34,Buchungen!$H:$H,"Ausgabe",Buchungen!$L:$L,J$24)-SUMIFS(Buchungen!$E:$E,Buchungen!$G:$G,$A34,Buchungen!$H:$H,"Fixkosten",Buchungen!$L:$L,J$24))</f>
        <v/>
      </c>
      <c r="K34" s="103">
        <f>IF($A34="","",-SUMIFS(Buchungen!$E:$E,Buchungen!$G:$G,$A34,Buchungen!$H:$H,"Ausgabe",Buchungen!$L:$L,K$24)-SUMIFS(Buchungen!$E:$E,Buchungen!$G:$G,$A34,Buchungen!$H:$H,"Fixkosten",Buchungen!$L:$L,K$24))</f>
        <v/>
      </c>
      <c r="L34" s="103">
        <f>IF($A34="","",-SUMIFS(Buchungen!$E:$E,Buchungen!$G:$G,$A34,Buchungen!$H:$H,"Ausgabe",Buchungen!$L:$L,L$24)-SUMIFS(Buchungen!$E:$E,Buchungen!$G:$G,$A34,Buchungen!$H:$H,"Fixkosten",Buchungen!$L:$L,L$24))</f>
        <v/>
      </c>
      <c r="M34" s="103">
        <f>IF($A34="","",-SUMIFS(Buchungen!$E:$E,Buchungen!$G:$G,$A34,Buchungen!$H:$H,"Ausgabe",Buchungen!$L:$L,M$24)-SUMIFS(Buchungen!$E:$E,Buchungen!$G:$G,$A34,Buchungen!$H:$H,"Fixkosten",Buchungen!$L:$L,M$24))</f>
        <v/>
      </c>
      <c r="N34" s="104">
        <f>IF($A34="","",SUM(B34:M34))</f>
        <v/>
      </c>
      <c r="O34" s="103">
        <f>IF($A34="","",IF(COUNTIF($G$6:$G$17,"&gt;0")=0,0,N34/COUNTIF($G$6:$G$17,"&gt;0")))</f>
        <v/>
      </c>
      <c r="P34" s="81">
        <f>IF(OR($A34="",$N$51=0),"",N34/$N$51)</f>
        <v/>
      </c>
    </row>
    <row r="35">
      <c r="A35" s="102">
        <f>IF(Einstellungen!$A15="","",Einstellungen!$A15)</f>
        <v/>
      </c>
      <c r="B35" s="103">
        <f>IF($A35="","",-SUMIFS(Buchungen!$E:$E,Buchungen!$G:$G,$A35,Buchungen!$H:$H,"Ausgabe",Buchungen!$L:$L,B$24)-SUMIFS(Buchungen!$E:$E,Buchungen!$G:$G,$A35,Buchungen!$H:$H,"Fixkosten",Buchungen!$L:$L,B$24))</f>
        <v/>
      </c>
      <c r="C35" s="103">
        <f>IF($A35="","",-SUMIFS(Buchungen!$E:$E,Buchungen!$G:$G,$A35,Buchungen!$H:$H,"Ausgabe",Buchungen!$L:$L,C$24)-SUMIFS(Buchungen!$E:$E,Buchungen!$G:$G,$A35,Buchungen!$H:$H,"Fixkosten",Buchungen!$L:$L,C$24))</f>
        <v/>
      </c>
      <c r="D35" s="103">
        <f>IF($A35="","",-SUMIFS(Buchungen!$E:$E,Buchungen!$G:$G,$A35,Buchungen!$H:$H,"Ausgabe",Buchungen!$L:$L,D$24)-SUMIFS(Buchungen!$E:$E,Buchungen!$G:$G,$A35,Buchungen!$H:$H,"Fixkosten",Buchungen!$L:$L,D$24))</f>
        <v/>
      </c>
      <c r="E35" s="103">
        <f>IF($A35="","",-SUMIFS(Buchungen!$E:$E,Buchungen!$G:$G,$A35,Buchungen!$H:$H,"Ausgabe",Buchungen!$L:$L,E$24)-SUMIFS(Buchungen!$E:$E,Buchungen!$G:$G,$A35,Buchungen!$H:$H,"Fixkosten",Buchungen!$L:$L,E$24))</f>
        <v/>
      </c>
      <c r="F35" s="103">
        <f>IF($A35="","",-SUMIFS(Buchungen!$E:$E,Buchungen!$G:$G,$A35,Buchungen!$H:$H,"Ausgabe",Buchungen!$L:$L,F$24)-SUMIFS(Buchungen!$E:$E,Buchungen!$G:$G,$A35,Buchungen!$H:$H,"Fixkosten",Buchungen!$L:$L,F$24))</f>
        <v/>
      </c>
      <c r="G35" s="103">
        <f>IF($A35="","",-SUMIFS(Buchungen!$E:$E,Buchungen!$G:$G,$A35,Buchungen!$H:$H,"Ausgabe",Buchungen!$L:$L,G$24)-SUMIFS(Buchungen!$E:$E,Buchungen!$G:$G,$A35,Buchungen!$H:$H,"Fixkosten",Buchungen!$L:$L,G$24))</f>
        <v/>
      </c>
      <c r="H35" s="103">
        <f>IF($A35="","",-SUMIFS(Buchungen!$E:$E,Buchungen!$G:$G,$A35,Buchungen!$H:$H,"Ausgabe",Buchungen!$L:$L,H$24)-SUMIFS(Buchungen!$E:$E,Buchungen!$G:$G,$A35,Buchungen!$H:$H,"Fixkosten",Buchungen!$L:$L,H$24))</f>
        <v/>
      </c>
      <c r="I35" s="103">
        <f>IF($A35="","",-SUMIFS(Buchungen!$E:$E,Buchungen!$G:$G,$A35,Buchungen!$H:$H,"Ausgabe",Buchungen!$L:$L,I$24)-SUMIFS(Buchungen!$E:$E,Buchungen!$G:$G,$A35,Buchungen!$H:$H,"Fixkosten",Buchungen!$L:$L,I$24))</f>
        <v/>
      </c>
      <c r="J35" s="103">
        <f>IF($A35="","",-SUMIFS(Buchungen!$E:$E,Buchungen!$G:$G,$A35,Buchungen!$H:$H,"Ausgabe",Buchungen!$L:$L,J$24)-SUMIFS(Buchungen!$E:$E,Buchungen!$G:$G,$A35,Buchungen!$H:$H,"Fixkosten",Buchungen!$L:$L,J$24))</f>
        <v/>
      </c>
      <c r="K35" s="103">
        <f>IF($A35="","",-SUMIFS(Buchungen!$E:$E,Buchungen!$G:$G,$A35,Buchungen!$H:$H,"Ausgabe",Buchungen!$L:$L,K$24)-SUMIFS(Buchungen!$E:$E,Buchungen!$G:$G,$A35,Buchungen!$H:$H,"Fixkosten",Buchungen!$L:$L,K$24))</f>
        <v/>
      </c>
      <c r="L35" s="103">
        <f>IF($A35="","",-SUMIFS(Buchungen!$E:$E,Buchungen!$G:$G,$A35,Buchungen!$H:$H,"Ausgabe",Buchungen!$L:$L,L$24)-SUMIFS(Buchungen!$E:$E,Buchungen!$G:$G,$A35,Buchungen!$H:$H,"Fixkosten",Buchungen!$L:$L,L$24))</f>
        <v/>
      </c>
      <c r="M35" s="103">
        <f>IF($A35="","",-SUMIFS(Buchungen!$E:$E,Buchungen!$G:$G,$A35,Buchungen!$H:$H,"Ausgabe",Buchungen!$L:$L,M$24)-SUMIFS(Buchungen!$E:$E,Buchungen!$G:$G,$A35,Buchungen!$H:$H,"Fixkosten",Buchungen!$L:$L,M$24))</f>
        <v/>
      </c>
      <c r="N35" s="104">
        <f>IF($A35="","",SUM(B35:M35))</f>
        <v/>
      </c>
      <c r="O35" s="103">
        <f>IF($A35="","",IF(COUNTIF($G$6:$G$17,"&gt;0")=0,0,N35/COUNTIF($G$6:$G$17,"&gt;0")))</f>
        <v/>
      </c>
      <c r="P35" s="81">
        <f>IF(OR($A35="",$N$51=0),"",N35/$N$51)</f>
        <v/>
      </c>
    </row>
    <row r="36">
      <c r="A36" s="102">
        <f>IF(Einstellungen!$A16="","",Einstellungen!$A16)</f>
        <v/>
      </c>
      <c r="B36" s="103">
        <f>IF($A36="","",-SUMIFS(Buchungen!$E:$E,Buchungen!$G:$G,$A36,Buchungen!$H:$H,"Ausgabe",Buchungen!$L:$L,B$24)-SUMIFS(Buchungen!$E:$E,Buchungen!$G:$G,$A36,Buchungen!$H:$H,"Fixkosten",Buchungen!$L:$L,B$24))</f>
        <v/>
      </c>
      <c r="C36" s="103">
        <f>IF($A36="","",-SUMIFS(Buchungen!$E:$E,Buchungen!$G:$G,$A36,Buchungen!$H:$H,"Ausgabe",Buchungen!$L:$L,C$24)-SUMIFS(Buchungen!$E:$E,Buchungen!$G:$G,$A36,Buchungen!$H:$H,"Fixkosten",Buchungen!$L:$L,C$24))</f>
        <v/>
      </c>
      <c r="D36" s="103">
        <f>IF($A36="","",-SUMIFS(Buchungen!$E:$E,Buchungen!$G:$G,$A36,Buchungen!$H:$H,"Ausgabe",Buchungen!$L:$L,D$24)-SUMIFS(Buchungen!$E:$E,Buchungen!$G:$G,$A36,Buchungen!$H:$H,"Fixkosten",Buchungen!$L:$L,D$24))</f>
        <v/>
      </c>
      <c r="E36" s="103">
        <f>IF($A36="","",-SUMIFS(Buchungen!$E:$E,Buchungen!$G:$G,$A36,Buchungen!$H:$H,"Ausgabe",Buchungen!$L:$L,E$24)-SUMIFS(Buchungen!$E:$E,Buchungen!$G:$G,$A36,Buchungen!$H:$H,"Fixkosten",Buchungen!$L:$L,E$24))</f>
        <v/>
      </c>
      <c r="F36" s="103">
        <f>IF($A36="","",-SUMIFS(Buchungen!$E:$E,Buchungen!$G:$G,$A36,Buchungen!$H:$H,"Ausgabe",Buchungen!$L:$L,F$24)-SUMIFS(Buchungen!$E:$E,Buchungen!$G:$G,$A36,Buchungen!$H:$H,"Fixkosten",Buchungen!$L:$L,F$24))</f>
        <v/>
      </c>
      <c r="G36" s="103">
        <f>IF($A36="","",-SUMIFS(Buchungen!$E:$E,Buchungen!$G:$G,$A36,Buchungen!$H:$H,"Ausgabe",Buchungen!$L:$L,G$24)-SUMIFS(Buchungen!$E:$E,Buchungen!$G:$G,$A36,Buchungen!$H:$H,"Fixkosten",Buchungen!$L:$L,G$24))</f>
        <v/>
      </c>
      <c r="H36" s="103">
        <f>IF($A36="","",-SUMIFS(Buchungen!$E:$E,Buchungen!$G:$G,$A36,Buchungen!$H:$H,"Ausgabe",Buchungen!$L:$L,H$24)-SUMIFS(Buchungen!$E:$E,Buchungen!$G:$G,$A36,Buchungen!$H:$H,"Fixkosten",Buchungen!$L:$L,H$24))</f>
        <v/>
      </c>
      <c r="I36" s="103">
        <f>IF($A36="","",-SUMIFS(Buchungen!$E:$E,Buchungen!$G:$G,$A36,Buchungen!$H:$H,"Ausgabe",Buchungen!$L:$L,I$24)-SUMIFS(Buchungen!$E:$E,Buchungen!$G:$G,$A36,Buchungen!$H:$H,"Fixkosten",Buchungen!$L:$L,I$24))</f>
        <v/>
      </c>
      <c r="J36" s="103">
        <f>IF($A36="","",-SUMIFS(Buchungen!$E:$E,Buchungen!$G:$G,$A36,Buchungen!$H:$H,"Ausgabe",Buchungen!$L:$L,J$24)-SUMIFS(Buchungen!$E:$E,Buchungen!$G:$G,$A36,Buchungen!$H:$H,"Fixkosten",Buchungen!$L:$L,J$24))</f>
        <v/>
      </c>
      <c r="K36" s="103">
        <f>IF($A36="","",-SUMIFS(Buchungen!$E:$E,Buchungen!$G:$G,$A36,Buchungen!$H:$H,"Ausgabe",Buchungen!$L:$L,K$24)-SUMIFS(Buchungen!$E:$E,Buchungen!$G:$G,$A36,Buchungen!$H:$H,"Fixkosten",Buchungen!$L:$L,K$24))</f>
        <v/>
      </c>
      <c r="L36" s="103">
        <f>IF($A36="","",-SUMIFS(Buchungen!$E:$E,Buchungen!$G:$G,$A36,Buchungen!$H:$H,"Ausgabe",Buchungen!$L:$L,L$24)-SUMIFS(Buchungen!$E:$E,Buchungen!$G:$G,$A36,Buchungen!$H:$H,"Fixkosten",Buchungen!$L:$L,L$24))</f>
        <v/>
      </c>
      <c r="M36" s="103">
        <f>IF($A36="","",-SUMIFS(Buchungen!$E:$E,Buchungen!$G:$G,$A36,Buchungen!$H:$H,"Ausgabe",Buchungen!$L:$L,M$24)-SUMIFS(Buchungen!$E:$E,Buchungen!$G:$G,$A36,Buchungen!$H:$H,"Fixkosten",Buchungen!$L:$L,M$24))</f>
        <v/>
      </c>
      <c r="N36" s="104">
        <f>IF($A36="","",SUM(B36:M36))</f>
        <v/>
      </c>
      <c r="O36" s="103">
        <f>IF($A36="","",IF(COUNTIF($G$6:$G$17,"&gt;0")=0,0,N36/COUNTIF($G$6:$G$17,"&gt;0")))</f>
        <v/>
      </c>
      <c r="P36" s="81">
        <f>IF(OR($A36="",$N$51=0),"",N36/$N$51)</f>
        <v/>
      </c>
    </row>
    <row r="37">
      <c r="A37" s="102">
        <f>IF(Einstellungen!$A17="","",Einstellungen!$A17)</f>
        <v/>
      </c>
      <c r="B37" s="103">
        <f>IF($A37="","",-SUMIFS(Buchungen!$E:$E,Buchungen!$G:$G,$A37,Buchungen!$H:$H,"Ausgabe",Buchungen!$L:$L,B$24)-SUMIFS(Buchungen!$E:$E,Buchungen!$G:$G,$A37,Buchungen!$H:$H,"Fixkosten",Buchungen!$L:$L,B$24))</f>
        <v/>
      </c>
      <c r="C37" s="103">
        <f>IF($A37="","",-SUMIFS(Buchungen!$E:$E,Buchungen!$G:$G,$A37,Buchungen!$H:$H,"Ausgabe",Buchungen!$L:$L,C$24)-SUMIFS(Buchungen!$E:$E,Buchungen!$G:$G,$A37,Buchungen!$H:$H,"Fixkosten",Buchungen!$L:$L,C$24))</f>
        <v/>
      </c>
      <c r="D37" s="103">
        <f>IF($A37="","",-SUMIFS(Buchungen!$E:$E,Buchungen!$G:$G,$A37,Buchungen!$H:$H,"Ausgabe",Buchungen!$L:$L,D$24)-SUMIFS(Buchungen!$E:$E,Buchungen!$G:$G,$A37,Buchungen!$H:$H,"Fixkosten",Buchungen!$L:$L,D$24))</f>
        <v/>
      </c>
      <c r="E37" s="103">
        <f>IF($A37="","",-SUMIFS(Buchungen!$E:$E,Buchungen!$G:$G,$A37,Buchungen!$H:$H,"Ausgabe",Buchungen!$L:$L,E$24)-SUMIFS(Buchungen!$E:$E,Buchungen!$G:$G,$A37,Buchungen!$H:$H,"Fixkosten",Buchungen!$L:$L,E$24))</f>
        <v/>
      </c>
      <c r="F37" s="103">
        <f>IF($A37="","",-SUMIFS(Buchungen!$E:$E,Buchungen!$G:$G,$A37,Buchungen!$H:$H,"Ausgabe",Buchungen!$L:$L,F$24)-SUMIFS(Buchungen!$E:$E,Buchungen!$G:$G,$A37,Buchungen!$H:$H,"Fixkosten",Buchungen!$L:$L,F$24))</f>
        <v/>
      </c>
      <c r="G37" s="103">
        <f>IF($A37="","",-SUMIFS(Buchungen!$E:$E,Buchungen!$G:$G,$A37,Buchungen!$H:$H,"Ausgabe",Buchungen!$L:$L,G$24)-SUMIFS(Buchungen!$E:$E,Buchungen!$G:$G,$A37,Buchungen!$H:$H,"Fixkosten",Buchungen!$L:$L,G$24))</f>
        <v/>
      </c>
      <c r="H37" s="103">
        <f>IF($A37="","",-SUMIFS(Buchungen!$E:$E,Buchungen!$G:$G,$A37,Buchungen!$H:$H,"Ausgabe",Buchungen!$L:$L,H$24)-SUMIFS(Buchungen!$E:$E,Buchungen!$G:$G,$A37,Buchungen!$H:$H,"Fixkosten",Buchungen!$L:$L,H$24))</f>
        <v/>
      </c>
      <c r="I37" s="103">
        <f>IF($A37="","",-SUMIFS(Buchungen!$E:$E,Buchungen!$G:$G,$A37,Buchungen!$H:$H,"Ausgabe",Buchungen!$L:$L,I$24)-SUMIFS(Buchungen!$E:$E,Buchungen!$G:$G,$A37,Buchungen!$H:$H,"Fixkosten",Buchungen!$L:$L,I$24))</f>
        <v/>
      </c>
      <c r="J37" s="103">
        <f>IF($A37="","",-SUMIFS(Buchungen!$E:$E,Buchungen!$G:$G,$A37,Buchungen!$H:$H,"Ausgabe",Buchungen!$L:$L,J$24)-SUMIFS(Buchungen!$E:$E,Buchungen!$G:$G,$A37,Buchungen!$H:$H,"Fixkosten",Buchungen!$L:$L,J$24))</f>
        <v/>
      </c>
      <c r="K37" s="103">
        <f>IF($A37="","",-SUMIFS(Buchungen!$E:$E,Buchungen!$G:$G,$A37,Buchungen!$H:$H,"Ausgabe",Buchungen!$L:$L,K$24)-SUMIFS(Buchungen!$E:$E,Buchungen!$G:$G,$A37,Buchungen!$H:$H,"Fixkosten",Buchungen!$L:$L,K$24))</f>
        <v/>
      </c>
      <c r="L37" s="103">
        <f>IF($A37="","",-SUMIFS(Buchungen!$E:$E,Buchungen!$G:$G,$A37,Buchungen!$H:$H,"Ausgabe",Buchungen!$L:$L,L$24)-SUMIFS(Buchungen!$E:$E,Buchungen!$G:$G,$A37,Buchungen!$H:$H,"Fixkosten",Buchungen!$L:$L,L$24))</f>
        <v/>
      </c>
      <c r="M37" s="103">
        <f>IF($A37="","",-SUMIFS(Buchungen!$E:$E,Buchungen!$G:$G,$A37,Buchungen!$H:$H,"Ausgabe",Buchungen!$L:$L,M$24)-SUMIFS(Buchungen!$E:$E,Buchungen!$G:$G,$A37,Buchungen!$H:$H,"Fixkosten",Buchungen!$L:$L,M$24))</f>
        <v/>
      </c>
      <c r="N37" s="104">
        <f>IF($A37="","",SUM(B37:M37))</f>
        <v/>
      </c>
      <c r="O37" s="103">
        <f>IF($A37="","",IF(COUNTIF($G$6:$G$17,"&gt;0")=0,0,N37/COUNTIF($G$6:$G$17,"&gt;0")))</f>
        <v/>
      </c>
      <c r="P37" s="81">
        <f>IF(OR($A37="",$N$51=0),"",N37/$N$51)</f>
        <v/>
      </c>
    </row>
    <row r="38">
      <c r="A38" s="102">
        <f>IF(Einstellungen!$A18="","",Einstellungen!$A18)</f>
        <v/>
      </c>
      <c r="B38" s="103">
        <f>IF($A38="","",-SUMIFS(Buchungen!$E:$E,Buchungen!$G:$G,$A38,Buchungen!$H:$H,"Ausgabe",Buchungen!$L:$L,B$24)-SUMIFS(Buchungen!$E:$E,Buchungen!$G:$G,$A38,Buchungen!$H:$H,"Fixkosten",Buchungen!$L:$L,B$24))</f>
        <v/>
      </c>
      <c r="C38" s="103">
        <f>IF($A38="","",-SUMIFS(Buchungen!$E:$E,Buchungen!$G:$G,$A38,Buchungen!$H:$H,"Ausgabe",Buchungen!$L:$L,C$24)-SUMIFS(Buchungen!$E:$E,Buchungen!$G:$G,$A38,Buchungen!$H:$H,"Fixkosten",Buchungen!$L:$L,C$24))</f>
        <v/>
      </c>
      <c r="D38" s="103">
        <f>IF($A38="","",-SUMIFS(Buchungen!$E:$E,Buchungen!$G:$G,$A38,Buchungen!$H:$H,"Ausgabe",Buchungen!$L:$L,D$24)-SUMIFS(Buchungen!$E:$E,Buchungen!$G:$G,$A38,Buchungen!$H:$H,"Fixkosten",Buchungen!$L:$L,D$24))</f>
        <v/>
      </c>
      <c r="E38" s="103">
        <f>IF($A38="","",-SUMIFS(Buchungen!$E:$E,Buchungen!$G:$G,$A38,Buchungen!$H:$H,"Ausgabe",Buchungen!$L:$L,E$24)-SUMIFS(Buchungen!$E:$E,Buchungen!$G:$G,$A38,Buchungen!$H:$H,"Fixkosten",Buchungen!$L:$L,E$24))</f>
        <v/>
      </c>
      <c r="F38" s="103">
        <f>IF($A38="","",-SUMIFS(Buchungen!$E:$E,Buchungen!$G:$G,$A38,Buchungen!$H:$H,"Ausgabe",Buchungen!$L:$L,F$24)-SUMIFS(Buchungen!$E:$E,Buchungen!$G:$G,$A38,Buchungen!$H:$H,"Fixkosten",Buchungen!$L:$L,F$24))</f>
        <v/>
      </c>
      <c r="G38" s="103">
        <f>IF($A38="","",-SUMIFS(Buchungen!$E:$E,Buchungen!$G:$G,$A38,Buchungen!$H:$H,"Ausgabe",Buchungen!$L:$L,G$24)-SUMIFS(Buchungen!$E:$E,Buchungen!$G:$G,$A38,Buchungen!$H:$H,"Fixkosten",Buchungen!$L:$L,G$24))</f>
        <v/>
      </c>
      <c r="H38" s="103">
        <f>IF($A38="","",-SUMIFS(Buchungen!$E:$E,Buchungen!$G:$G,$A38,Buchungen!$H:$H,"Ausgabe",Buchungen!$L:$L,H$24)-SUMIFS(Buchungen!$E:$E,Buchungen!$G:$G,$A38,Buchungen!$H:$H,"Fixkosten",Buchungen!$L:$L,H$24))</f>
        <v/>
      </c>
      <c r="I38" s="103">
        <f>IF($A38="","",-SUMIFS(Buchungen!$E:$E,Buchungen!$G:$G,$A38,Buchungen!$H:$H,"Ausgabe",Buchungen!$L:$L,I$24)-SUMIFS(Buchungen!$E:$E,Buchungen!$G:$G,$A38,Buchungen!$H:$H,"Fixkosten",Buchungen!$L:$L,I$24))</f>
        <v/>
      </c>
      <c r="J38" s="103">
        <f>IF($A38="","",-SUMIFS(Buchungen!$E:$E,Buchungen!$G:$G,$A38,Buchungen!$H:$H,"Ausgabe",Buchungen!$L:$L,J$24)-SUMIFS(Buchungen!$E:$E,Buchungen!$G:$G,$A38,Buchungen!$H:$H,"Fixkosten",Buchungen!$L:$L,J$24))</f>
        <v/>
      </c>
      <c r="K38" s="103">
        <f>IF($A38="","",-SUMIFS(Buchungen!$E:$E,Buchungen!$G:$G,$A38,Buchungen!$H:$H,"Ausgabe",Buchungen!$L:$L,K$24)-SUMIFS(Buchungen!$E:$E,Buchungen!$G:$G,$A38,Buchungen!$H:$H,"Fixkosten",Buchungen!$L:$L,K$24))</f>
        <v/>
      </c>
      <c r="L38" s="103">
        <f>IF($A38="","",-SUMIFS(Buchungen!$E:$E,Buchungen!$G:$G,$A38,Buchungen!$H:$H,"Ausgabe",Buchungen!$L:$L,L$24)-SUMIFS(Buchungen!$E:$E,Buchungen!$G:$G,$A38,Buchungen!$H:$H,"Fixkosten",Buchungen!$L:$L,L$24))</f>
        <v/>
      </c>
      <c r="M38" s="103">
        <f>IF($A38="","",-SUMIFS(Buchungen!$E:$E,Buchungen!$G:$G,$A38,Buchungen!$H:$H,"Ausgabe",Buchungen!$L:$L,M$24)-SUMIFS(Buchungen!$E:$E,Buchungen!$G:$G,$A38,Buchungen!$H:$H,"Fixkosten",Buchungen!$L:$L,M$24))</f>
        <v/>
      </c>
      <c r="N38" s="104">
        <f>IF($A38="","",SUM(B38:M38))</f>
        <v/>
      </c>
      <c r="O38" s="103">
        <f>IF($A38="","",IF(COUNTIF($G$6:$G$17,"&gt;0")=0,0,N38/COUNTIF($G$6:$G$17,"&gt;0")))</f>
        <v/>
      </c>
      <c r="P38" s="81">
        <f>IF(OR($A38="",$N$51=0),"",N38/$N$51)</f>
        <v/>
      </c>
    </row>
    <row r="39">
      <c r="A39" s="102">
        <f>IF(Einstellungen!$A19="","",Einstellungen!$A19)</f>
        <v/>
      </c>
      <c r="B39" s="103">
        <f>IF($A39="","",-SUMIFS(Buchungen!$E:$E,Buchungen!$G:$G,$A39,Buchungen!$H:$H,"Ausgabe",Buchungen!$L:$L,B$24)-SUMIFS(Buchungen!$E:$E,Buchungen!$G:$G,$A39,Buchungen!$H:$H,"Fixkosten",Buchungen!$L:$L,B$24))</f>
        <v/>
      </c>
      <c r="C39" s="103">
        <f>IF($A39="","",-SUMIFS(Buchungen!$E:$E,Buchungen!$G:$G,$A39,Buchungen!$H:$H,"Ausgabe",Buchungen!$L:$L,C$24)-SUMIFS(Buchungen!$E:$E,Buchungen!$G:$G,$A39,Buchungen!$H:$H,"Fixkosten",Buchungen!$L:$L,C$24))</f>
        <v/>
      </c>
      <c r="D39" s="103">
        <f>IF($A39="","",-SUMIFS(Buchungen!$E:$E,Buchungen!$G:$G,$A39,Buchungen!$H:$H,"Ausgabe",Buchungen!$L:$L,D$24)-SUMIFS(Buchungen!$E:$E,Buchungen!$G:$G,$A39,Buchungen!$H:$H,"Fixkosten",Buchungen!$L:$L,D$24))</f>
        <v/>
      </c>
      <c r="E39" s="103">
        <f>IF($A39="","",-SUMIFS(Buchungen!$E:$E,Buchungen!$G:$G,$A39,Buchungen!$H:$H,"Ausgabe",Buchungen!$L:$L,E$24)-SUMIFS(Buchungen!$E:$E,Buchungen!$G:$G,$A39,Buchungen!$H:$H,"Fixkosten",Buchungen!$L:$L,E$24))</f>
        <v/>
      </c>
      <c r="F39" s="103">
        <f>IF($A39="","",-SUMIFS(Buchungen!$E:$E,Buchungen!$G:$G,$A39,Buchungen!$H:$H,"Ausgabe",Buchungen!$L:$L,F$24)-SUMIFS(Buchungen!$E:$E,Buchungen!$G:$G,$A39,Buchungen!$H:$H,"Fixkosten",Buchungen!$L:$L,F$24))</f>
        <v/>
      </c>
      <c r="G39" s="103">
        <f>IF($A39="","",-SUMIFS(Buchungen!$E:$E,Buchungen!$G:$G,$A39,Buchungen!$H:$H,"Ausgabe",Buchungen!$L:$L,G$24)-SUMIFS(Buchungen!$E:$E,Buchungen!$G:$G,$A39,Buchungen!$H:$H,"Fixkosten",Buchungen!$L:$L,G$24))</f>
        <v/>
      </c>
      <c r="H39" s="103">
        <f>IF($A39="","",-SUMIFS(Buchungen!$E:$E,Buchungen!$G:$G,$A39,Buchungen!$H:$H,"Ausgabe",Buchungen!$L:$L,H$24)-SUMIFS(Buchungen!$E:$E,Buchungen!$G:$G,$A39,Buchungen!$H:$H,"Fixkosten",Buchungen!$L:$L,H$24))</f>
        <v/>
      </c>
      <c r="I39" s="103">
        <f>IF($A39="","",-SUMIFS(Buchungen!$E:$E,Buchungen!$G:$G,$A39,Buchungen!$H:$H,"Ausgabe",Buchungen!$L:$L,I$24)-SUMIFS(Buchungen!$E:$E,Buchungen!$G:$G,$A39,Buchungen!$H:$H,"Fixkosten",Buchungen!$L:$L,I$24))</f>
        <v/>
      </c>
      <c r="J39" s="103">
        <f>IF($A39="","",-SUMIFS(Buchungen!$E:$E,Buchungen!$G:$G,$A39,Buchungen!$H:$H,"Ausgabe",Buchungen!$L:$L,J$24)-SUMIFS(Buchungen!$E:$E,Buchungen!$G:$G,$A39,Buchungen!$H:$H,"Fixkosten",Buchungen!$L:$L,J$24))</f>
        <v/>
      </c>
      <c r="K39" s="103">
        <f>IF($A39="","",-SUMIFS(Buchungen!$E:$E,Buchungen!$G:$G,$A39,Buchungen!$H:$H,"Ausgabe",Buchungen!$L:$L,K$24)-SUMIFS(Buchungen!$E:$E,Buchungen!$G:$G,$A39,Buchungen!$H:$H,"Fixkosten",Buchungen!$L:$L,K$24))</f>
        <v/>
      </c>
      <c r="L39" s="103">
        <f>IF($A39="","",-SUMIFS(Buchungen!$E:$E,Buchungen!$G:$G,$A39,Buchungen!$H:$H,"Ausgabe",Buchungen!$L:$L,L$24)-SUMIFS(Buchungen!$E:$E,Buchungen!$G:$G,$A39,Buchungen!$H:$H,"Fixkosten",Buchungen!$L:$L,L$24))</f>
        <v/>
      </c>
      <c r="M39" s="103">
        <f>IF($A39="","",-SUMIFS(Buchungen!$E:$E,Buchungen!$G:$G,$A39,Buchungen!$H:$H,"Ausgabe",Buchungen!$L:$L,M$24)-SUMIFS(Buchungen!$E:$E,Buchungen!$G:$G,$A39,Buchungen!$H:$H,"Fixkosten",Buchungen!$L:$L,M$24))</f>
        <v/>
      </c>
      <c r="N39" s="104">
        <f>IF($A39="","",SUM(B39:M39))</f>
        <v/>
      </c>
      <c r="O39" s="103">
        <f>IF($A39="","",IF(COUNTIF($G$6:$G$17,"&gt;0")=0,0,N39/COUNTIF($G$6:$G$17,"&gt;0")))</f>
        <v/>
      </c>
      <c r="P39" s="81">
        <f>IF(OR($A39="",$N$51=0),"",N39/$N$51)</f>
        <v/>
      </c>
    </row>
    <row r="40">
      <c r="A40" s="102">
        <f>IF(Einstellungen!$A20="","",Einstellungen!$A20)</f>
        <v/>
      </c>
      <c r="B40" s="103">
        <f>IF($A40="","",-SUMIFS(Buchungen!$E:$E,Buchungen!$G:$G,$A40,Buchungen!$H:$H,"Ausgabe",Buchungen!$L:$L,B$24)-SUMIFS(Buchungen!$E:$E,Buchungen!$G:$G,$A40,Buchungen!$H:$H,"Fixkosten",Buchungen!$L:$L,B$24))</f>
        <v/>
      </c>
      <c r="C40" s="103">
        <f>IF($A40="","",-SUMIFS(Buchungen!$E:$E,Buchungen!$G:$G,$A40,Buchungen!$H:$H,"Ausgabe",Buchungen!$L:$L,C$24)-SUMIFS(Buchungen!$E:$E,Buchungen!$G:$G,$A40,Buchungen!$H:$H,"Fixkosten",Buchungen!$L:$L,C$24))</f>
        <v/>
      </c>
      <c r="D40" s="103">
        <f>IF($A40="","",-SUMIFS(Buchungen!$E:$E,Buchungen!$G:$G,$A40,Buchungen!$H:$H,"Ausgabe",Buchungen!$L:$L,D$24)-SUMIFS(Buchungen!$E:$E,Buchungen!$G:$G,$A40,Buchungen!$H:$H,"Fixkosten",Buchungen!$L:$L,D$24))</f>
        <v/>
      </c>
      <c r="E40" s="103">
        <f>IF($A40="","",-SUMIFS(Buchungen!$E:$E,Buchungen!$G:$G,$A40,Buchungen!$H:$H,"Ausgabe",Buchungen!$L:$L,E$24)-SUMIFS(Buchungen!$E:$E,Buchungen!$G:$G,$A40,Buchungen!$H:$H,"Fixkosten",Buchungen!$L:$L,E$24))</f>
        <v/>
      </c>
      <c r="F40" s="103">
        <f>IF($A40="","",-SUMIFS(Buchungen!$E:$E,Buchungen!$G:$G,$A40,Buchungen!$H:$H,"Ausgabe",Buchungen!$L:$L,F$24)-SUMIFS(Buchungen!$E:$E,Buchungen!$G:$G,$A40,Buchungen!$H:$H,"Fixkosten",Buchungen!$L:$L,F$24))</f>
        <v/>
      </c>
      <c r="G40" s="103">
        <f>IF($A40="","",-SUMIFS(Buchungen!$E:$E,Buchungen!$G:$G,$A40,Buchungen!$H:$H,"Ausgabe",Buchungen!$L:$L,G$24)-SUMIFS(Buchungen!$E:$E,Buchungen!$G:$G,$A40,Buchungen!$H:$H,"Fixkosten",Buchungen!$L:$L,G$24))</f>
        <v/>
      </c>
      <c r="H40" s="103">
        <f>IF($A40="","",-SUMIFS(Buchungen!$E:$E,Buchungen!$G:$G,$A40,Buchungen!$H:$H,"Ausgabe",Buchungen!$L:$L,H$24)-SUMIFS(Buchungen!$E:$E,Buchungen!$G:$G,$A40,Buchungen!$H:$H,"Fixkosten",Buchungen!$L:$L,H$24))</f>
        <v/>
      </c>
      <c r="I40" s="103">
        <f>IF($A40="","",-SUMIFS(Buchungen!$E:$E,Buchungen!$G:$G,$A40,Buchungen!$H:$H,"Ausgabe",Buchungen!$L:$L,I$24)-SUMIFS(Buchungen!$E:$E,Buchungen!$G:$G,$A40,Buchungen!$H:$H,"Fixkosten",Buchungen!$L:$L,I$24))</f>
        <v/>
      </c>
      <c r="J40" s="103">
        <f>IF($A40="","",-SUMIFS(Buchungen!$E:$E,Buchungen!$G:$G,$A40,Buchungen!$H:$H,"Ausgabe",Buchungen!$L:$L,J$24)-SUMIFS(Buchungen!$E:$E,Buchungen!$G:$G,$A40,Buchungen!$H:$H,"Fixkosten",Buchungen!$L:$L,J$24))</f>
        <v/>
      </c>
      <c r="K40" s="103">
        <f>IF($A40="","",-SUMIFS(Buchungen!$E:$E,Buchungen!$G:$G,$A40,Buchungen!$H:$H,"Ausgabe",Buchungen!$L:$L,K$24)-SUMIFS(Buchungen!$E:$E,Buchungen!$G:$G,$A40,Buchungen!$H:$H,"Fixkosten",Buchungen!$L:$L,K$24))</f>
        <v/>
      </c>
      <c r="L40" s="103">
        <f>IF($A40="","",-SUMIFS(Buchungen!$E:$E,Buchungen!$G:$G,$A40,Buchungen!$H:$H,"Ausgabe",Buchungen!$L:$L,L$24)-SUMIFS(Buchungen!$E:$E,Buchungen!$G:$G,$A40,Buchungen!$H:$H,"Fixkosten",Buchungen!$L:$L,L$24))</f>
        <v/>
      </c>
      <c r="M40" s="103">
        <f>IF($A40="","",-SUMIFS(Buchungen!$E:$E,Buchungen!$G:$G,$A40,Buchungen!$H:$H,"Ausgabe",Buchungen!$L:$L,M$24)-SUMIFS(Buchungen!$E:$E,Buchungen!$G:$G,$A40,Buchungen!$H:$H,"Fixkosten",Buchungen!$L:$L,M$24))</f>
        <v/>
      </c>
      <c r="N40" s="104">
        <f>IF($A40="","",SUM(B40:M40))</f>
        <v/>
      </c>
      <c r="O40" s="103">
        <f>IF($A40="","",IF(COUNTIF($G$6:$G$17,"&gt;0")=0,0,N40/COUNTIF($G$6:$G$17,"&gt;0")))</f>
        <v/>
      </c>
      <c r="P40" s="81">
        <f>IF(OR($A40="",$N$51=0),"",N40/$N$51)</f>
        <v/>
      </c>
    </row>
    <row r="41">
      <c r="A41" s="102">
        <f>IF(Einstellungen!$A21="","",Einstellungen!$A21)</f>
        <v/>
      </c>
      <c r="B41" s="103">
        <f>IF($A41="","",-SUMIFS(Buchungen!$E:$E,Buchungen!$G:$G,$A41,Buchungen!$H:$H,"Ausgabe",Buchungen!$L:$L,B$24)-SUMIFS(Buchungen!$E:$E,Buchungen!$G:$G,$A41,Buchungen!$H:$H,"Fixkosten",Buchungen!$L:$L,B$24))</f>
        <v/>
      </c>
      <c r="C41" s="103">
        <f>IF($A41="","",-SUMIFS(Buchungen!$E:$E,Buchungen!$G:$G,$A41,Buchungen!$H:$H,"Ausgabe",Buchungen!$L:$L,C$24)-SUMIFS(Buchungen!$E:$E,Buchungen!$G:$G,$A41,Buchungen!$H:$H,"Fixkosten",Buchungen!$L:$L,C$24))</f>
        <v/>
      </c>
      <c r="D41" s="103">
        <f>IF($A41="","",-SUMIFS(Buchungen!$E:$E,Buchungen!$G:$G,$A41,Buchungen!$H:$H,"Ausgabe",Buchungen!$L:$L,D$24)-SUMIFS(Buchungen!$E:$E,Buchungen!$G:$G,$A41,Buchungen!$H:$H,"Fixkosten",Buchungen!$L:$L,D$24))</f>
        <v/>
      </c>
      <c r="E41" s="103">
        <f>IF($A41="","",-SUMIFS(Buchungen!$E:$E,Buchungen!$G:$G,$A41,Buchungen!$H:$H,"Ausgabe",Buchungen!$L:$L,E$24)-SUMIFS(Buchungen!$E:$E,Buchungen!$G:$G,$A41,Buchungen!$H:$H,"Fixkosten",Buchungen!$L:$L,E$24))</f>
        <v/>
      </c>
      <c r="F41" s="103">
        <f>IF($A41="","",-SUMIFS(Buchungen!$E:$E,Buchungen!$G:$G,$A41,Buchungen!$H:$H,"Ausgabe",Buchungen!$L:$L,F$24)-SUMIFS(Buchungen!$E:$E,Buchungen!$G:$G,$A41,Buchungen!$H:$H,"Fixkosten",Buchungen!$L:$L,F$24))</f>
        <v/>
      </c>
      <c r="G41" s="103">
        <f>IF($A41="","",-SUMIFS(Buchungen!$E:$E,Buchungen!$G:$G,$A41,Buchungen!$H:$H,"Ausgabe",Buchungen!$L:$L,G$24)-SUMIFS(Buchungen!$E:$E,Buchungen!$G:$G,$A41,Buchungen!$H:$H,"Fixkosten",Buchungen!$L:$L,G$24))</f>
        <v/>
      </c>
      <c r="H41" s="103">
        <f>IF($A41="","",-SUMIFS(Buchungen!$E:$E,Buchungen!$G:$G,$A41,Buchungen!$H:$H,"Ausgabe",Buchungen!$L:$L,H$24)-SUMIFS(Buchungen!$E:$E,Buchungen!$G:$G,$A41,Buchungen!$H:$H,"Fixkosten",Buchungen!$L:$L,H$24))</f>
        <v/>
      </c>
      <c r="I41" s="103">
        <f>IF($A41="","",-SUMIFS(Buchungen!$E:$E,Buchungen!$G:$G,$A41,Buchungen!$H:$H,"Ausgabe",Buchungen!$L:$L,I$24)-SUMIFS(Buchungen!$E:$E,Buchungen!$G:$G,$A41,Buchungen!$H:$H,"Fixkosten",Buchungen!$L:$L,I$24))</f>
        <v/>
      </c>
      <c r="J41" s="103">
        <f>IF($A41="","",-SUMIFS(Buchungen!$E:$E,Buchungen!$G:$G,$A41,Buchungen!$H:$H,"Ausgabe",Buchungen!$L:$L,J$24)-SUMIFS(Buchungen!$E:$E,Buchungen!$G:$G,$A41,Buchungen!$H:$H,"Fixkosten",Buchungen!$L:$L,J$24))</f>
        <v/>
      </c>
      <c r="K41" s="103">
        <f>IF($A41="","",-SUMIFS(Buchungen!$E:$E,Buchungen!$G:$G,$A41,Buchungen!$H:$H,"Ausgabe",Buchungen!$L:$L,K$24)-SUMIFS(Buchungen!$E:$E,Buchungen!$G:$G,$A41,Buchungen!$H:$H,"Fixkosten",Buchungen!$L:$L,K$24))</f>
        <v/>
      </c>
      <c r="L41" s="103">
        <f>IF($A41="","",-SUMIFS(Buchungen!$E:$E,Buchungen!$G:$G,$A41,Buchungen!$H:$H,"Ausgabe",Buchungen!$L:$L,L$24)-SUMIFS(Buchungen!$E:$E,Buchungen!$G:$G,$A41,Buchungen!$H:$H,"Fixkosten",Buchungen!$L:$L,L$24))</f>
        <v/>
      </c>
      <c r="M41" s="103">
        <f>IF($A41="","",-SUMIFS(Buchungen!$E:$E,Buchungen!$G:$G,$A41,Buchungen!$H:$H,"Ausgabe",Buchungen!$L:$L,M$24)-SUMIFS(Buchungen!$E:$E,Buchungen!$G:$G,$A41,Buchungen!$H:$H,"Fixkosten",Buchungen!$L:$L,M$24))</f>
        <v/>
      </c>
      <c r="N41" s="104">
        <f>IF($A41="","",SUM(B41:M41))</f>
        <v/>
      </c>
      <c r="O41" s="103">
        <f>IF($A41="","",IF(COUNTIF($G$6:$G$17,"&gt;0")=0,0,N41/COUNTIF($G$6:$G$17,"&gt;0")))</f>
        <v/>
      </c>
      <c r="P41" s="81">
        <f>IF(OR($A41="",$N$51=0),"",N41/$N$51)</f>
        <v/>
      </c>
    </row>
    <row r="42">
      <c r="A42" s="102">
        <f>IF(Einstellungen!$A22="","",Einstellungen!$A22)</f>
        <v/>
      </c>
      <c r="B42" s="103">
        <f>IF($A42="","",-SUMIFS(Buchungen!$E:$E,Buchungen!$G:$G,$A42,Buchungen!$H:$H,"Ausgabe",Buchungen!$L:$L,B$24)-SUMIFS(Buchungen!$E:$E,Buchungen!$G:$G,$A42,Buchungen!$H:$H,"Fixkosten",Buchungen!$L:$L,B$24))</f>
        <v/>
      </c>
      <c r="C42" s="103">
        <f>IF($A42="","",-SUMIFS(Buchungen!$E:$E,Buchungen!$G:$G,$A42,Buchungen!$H:$H,"Ausgabe",Buchungen!$L:$L,C$24)-SUMIFS(Buchungen!$E:$E,Buchungen!$G:$G,$A42,Buchungen!$H:$H,"Fixkosten",Buchungen!$L:$L,C$24))</f>
        <v/>
      </c>
      <c r="D42" s="103">
        <f>IF($A42="","",-SUMIFS(Buchungen!$E:$E,Buchungen!$G:$G,$A42,Buchungen!$H:$H,"Ausgabe",Buchungen!$L:$L,D$24)-SUMIFS(Buchungen!$E:$E,Buchungen!$G:$G,$A42,Buchungen!$H:$H,"Fixkosten",Buchungen!$L:$L,D$24))</f>
        <v/>
      </c>
      <c r="E42" s="103">
        <f>IF($A42="","",-SUMIFS(Buchungen!$E:$E,Buchungen!$G:$G,$A42,Buchungen!$H:$H,"Ausgabe",Buchungen!$L:$L,E$24)-SUMIFS(Buchungen!$E:$E,Buchungen!$G:$G,$A42,Buchungen!$H:$H,"Fixkosten",Buchungen!$L:$L,E$24))</f>
        <v/>
      </c>
      <c r="F42" s="103">
        <f>IF($A42="","",-SUMIFS(Buchungen!$E:$E,Buchungen!$G:$G,$A42,Buchungen!$H:$H,"Ausgabe",Buchungen!$L:$L,F$24)-SUMIFS(Buchungen!$E:$E,Buchungen!$G:$G,$A42,Buchungen!$H:$H,"Fixkosten",Buchungen!$L:$L,F$24))</f>
        <v/>
      </c>
      <c r="G42" s="103">
        <f>IF($A42="","",-SUMIFS(Buchungen!$E:$E,Buchungen!$G:$G,$A42,Buchungen!$H:$H,"Ausgabe",Buchungen!$L:$L,G$24)-SUMIFS(Buchungen!$E:$E,Buchungen!$G:$G,$A42,Buchungen!$H:$H,"Fixkosten",Buchungen!$L:$L,G$24))</f>
        <v/>
      </c>
      <c r="H42" s="103">
        <f>IF($A42="","",-SUMIFS(Buchungen!$E:$E,Buchungen!$G:$G,$A42,Buchungen!$H:$H,"Ausgabe",Buchungen!$L:$L,H$24)-SUMIFS(Buchungen!$E:$E,Buchungen!$G:$G,$A42,Buchungen!$H:$H,"Fixkosten",Buchungen!$L:$L,H$24))</f>
        <v/>
      </c>
      <c r="I42" s="103">
        <f>IF($A42="","",-SUMIFS(Buchungen!$E:$E,Buchungen!$G:$G,$A42,Buchungen!$H:$H,"Ausgabe",Buchungen!$L:$L,I$24)-SUMIFS(Buchungen!$E:$E,Buchungen!$G:$G,$A42,Buchungen!$H:$H,"Fixkosten",Buchungen!$L:$L,I$24))</f>
        <v/>
      </c>
      <c r="J42" s="103">
        <f>IF($A42="","",-SUMIFS(Buchungen!$E:$E,Buchungen!$G:$G,$A42,Buchungen!$H:$H,"Ausgabe",Buchungen!$L:$L,J$24)-SUMIFS(Buchungen!$E:$E,Buchungen!$G:$G,$A42,Buchungen!$H:$H,"Fixkosten",Buchungen!$L:$L,J$24))</f>
        <v/>
      </c>
      <c r="K42" s="103">
        <f>IF($A42="","",-SUMIFS(Buchungen!$E:$E,Buchungen!$G:$G,$A42,Buchungen!$H:$H,"Ausgabe",Buchungen!$L:$L,K$24)-SUMIFS(Buchungen!$E:$E,Buchungen!$G:$G,$A42,Buchungen!$H:$H,"Fixkosten",Buchungen!$L:$L,K$24))</f>
        <v/>
      </c>
      <c r="L42" s="103">
        <f>IF($A42="","",-SUMIFS(Buchungen!$E:$E,Buchungen!$G:$G,$A42,Buchungen!$H:$H,"Ausgabe",Buchungen!$L:$L,L$24)-SUMIFS(Buchungen!$E:$E,Buchungen!$G:$G,$A42,Buchungen!$H:$H,"Fixkosten",Buchungen!$L:$L,L$24))</f>
        <v/>
      </c>
      <c r="M42" s="103">
        <f>IF($A42="","",-SUMIFS(Buchungen!$E:$E,Buchungen!$G:$G,$A42,Buchungen!$H:$H,"Ausgabe",Buchungen!$L:$L,M$24)-SUMIFS(Buchungen!$E:$E,Buchungen!$G:$G,$A42,Buchungen!$H:$H,"Fixkosten",Buchungen!$L:$L,M$24))</f>
        <v/>
      </c>
      <c r="N42" s="104">
        <f>IF($A42="","",SUM(B42:M42))</f>
        <v/>
      </c>
      <c r="O42" s="103">
        <f>IF($A42="","",IF(COUNTIF($G$6:$G$17,"&gt;0")=0,0,N42/COUNTIF($G$6:$G$17,"&gt;0")))</f>
        <v/>
      </c>
      <c r="P42" s="81">
        <f>IF(OR($A42="",$N$51=0),"",N42/$N$51)</f>
        <v/>
      </c>
    </row>
    <row r="43">
      <c r="A43" s="102">
        <f>IF(Einstellungen!$A23="","",Einstellungen!$A23)</f>
        <v/>
      </c>
      <c r="B43" s="103">
        <f>IF($A43="","",-SUMIFS(Buchungen!$E:$E,Buchungen!$G:$G,$A43,Buchungen!$H:$H,"Ausgabe",Buchungen!$L:$L,B$24)-SUMIFS(Buchungen!$E:$E,Buchungen!$G:$G,$A43,Buchungen!$H:$H,"Fixkosten",Buchungen!$L:$L,B$24))</f>
        <v/>
      </c>
      <c r="C43" s="103">
        <f>IF($A43="","",-SUMIFS(Buchungen!$E:$E,Buchungen!$G:$G,$A43,Buchungen!$H:$H,"Ausgabe",Buchungen!$L:$L,C$24)-SUMIFS(Buchungen!$E:$E,Buchungen!$G:$G,$A43,Buchungen!$H:$H,"Fixkosten",Buchungen!$L:$L,C$24))</f>
        <v/>
      </c>
      <c r="D43" s="103">
        <f>IF($A43="","",-SUMIFS(Buchungen!$E:$E,Buchungen!$G:$G,$A43,Buchungen!$H:$H,"Ausgabe",Buchungen!$L:$L,D$24)-SUMIFS(Buchungen!$E:$E,Buchungen!$G:$G,$A43,Buchungen!$H:$H,"Fixkosten",Buchungen!$L:$L,D$24))</f>
        <v/>
      </c>
      <c r="E43" s="103">
        <f>IF($A43="","",-SUMIFS(Buchungen!$E:$E,Buchungen!$G:$G,$A43,Buchungen!$H:$H,"Ausgabe",Buchungen!$L:$L,E$24)-SUMIFS(Buchungen!$E:$E,Buchungen!$G:$G,$A43,Buchungen!$H:$H,"Fixkosten",Buchungen!$L:$L,E$24))</f>
        <v/>
      </c>
      <c r="F43" s="103">
        <f>IF($A43="","",-SUMIFS(Buchungen!$E:$E,Buchungen!$G:$G,$A43,Buchungen!$H:$H,"Ausgabe",Buchungen!$L:$L,F$24)-SUMIFS(Buchungen!$E:$E,Buchungen!$G:$G,$A43,Buchungen!$H:$H,"Fixkosten",Buchungen!$L:$L,F$24))</f>
        <v/>
      </c>
      <c r="G43" s="103">
        <f>IF($A43="","",-SUMIFS(Buchungen!$E:$E,Buchungen!$G:$G,$A43,Buchungen!$H:$H,"Ausgabe",Buchungen!$L:$L,G$24)-SUMIFS(Buchungen!$E:$E,Buchungen!$G:$G,$A43,Buchungen!$H:$H,"Fixkosten",Buchungen!$L:$L,G$24))</f>
        <v/>
      </c>
      <c r="H43" s="103">
        <f>IF($A43="","",-SUMIFS(Buchungen!$E:$E,Buchungen!$G:$G,$A43,Buchungen!$H:$H,"Ausgabe",Buchungen!$L:$L,H$24)-SUMIFS(Buchungen!$E:$E,Buchungen!$G:$G,$A43,Buchungen!$H:$H,"Fixkosten",Buchungen!$L:$L,H$24))</f>
        <v/>
      </c>
      <c r="I43" s="103">
        <f>IF($A43="","",-SUMIFS(Buchungen!$E:$E,Buchungen!$G:$G,$A43,Buchungen!$H:$H,"Ausgabe",Buchungen!$L:$L,I$24)-SUMIFS(Buchungen!$E:$E,Buchungen!$G:$G,$A43,Buchungen!$H:$H,"Fixkosten",Buchungen!$L:$L,I$24))</f>
        <v/>
      </c>
      <c r="J43" s="103">
        <f>IF($A43="","",-SUMIFS(Buchungen!$E:$E,Buchungen!$G:$G,$A43,Buchungen!$H:$H,"Ausgabe",Buchungen!$L:$L,J$24)-SUMIFS(Buchungen!$E:$E,Buchungen!$G:$G,$A43,Buchungen!$H:$H,"Fixkosten",Buchungen!$L:$L,J$24))</f>
        <v/>
      </c>
      <c r="K43" s="103">
        <f>IF($A43="","",-SUMIFS(Buchungen!$E:$E,Buchungen!$G:$G,$A43,Buchungen!$H:$H,"Ausgabe",Buchungen!$L:$L,K$24)-SUMIFS(Buchungen!$E:$E,Buchungen!$G:$G,$A43,Buchungen!$H:$H,"Fixkosten",Buchungen!$L:$L,K$24))</f>
        <v/>
      </c>
      <c r="L43" s="103">
        <f>IF($A43="","",-SUMIFS(Buchungen!$E:$E,Buchungen!$G:$G,$A43,Buchungen!$H:$H,"Ausgabe",Buchungen!$L:$L,L$24)-SUMIFS(Buchungen!$E:$E,Buchungen!$G:$G,$A43,Buchungen!$H:$H,"Fixkosten",Buchungen!$L:$L,L$24))</f>
        <v/>
      </c>
      <c r="M43" s="103">
        <f>IF($A43="","",-SUMIFS(Buchungen!$E:$E,Buchungen!$G:$G,$A43,Buchungen!$H:$H,"Ausgabe",Buchungen!$L:$L,M$24)-SUMIFS(Buchungen!$E:$E,Buchungen!$G:$G,$A43,Buchungen!$H:$H,"Fixkosten",Buchungen!$L:$L,M$24))</f>
        <v/>
      </c>
      <c r="N43" s="104">
        <f>IF($A43="","",SUM(B43:M43))</f>
        <v/>
      </c>
      <c r="O43" s="103">
        <f>IF($A43="","",IF(COUNTIF($G$6:$G$17,"&gt;0")=0,0,N43/COUNTIF($G$6:$G$17,"&gt;0")))</f>
        <v/>
      </c>
      <c r="P43" s="81">
        <f>IF(OR($A43="",$N$51=0),"",N43/$N$51)</f>
        <v/>
      </c>
    </row>
    <row r="44">
      <c r="A44" s="102">
        <f>IF(Einstellungen!$A24="","",Einstellungen!$A24)</f>
        <v/>
      </c>
      <c r="B44" s="103">
        <f>IF($A44="","",-SUMIFS(Buchungen!$E:$E,Buchungen!$G:$G,$A44,Buchungen!$H:$H,"Ausgabe",Buchungen!$L:$L,B$24)-SUMIFS(Buchungen!$E:$E,Buchungen!$G:$G,$A44,Buchungen!$H:$H,"Fixkosten",Buchungen!$L:$L,B$24))</f>
        <v/>
      </c>
      <c r="C44" s="103">
        <f>IF($A44="","",-SUMIFS(Buchungen!$E:$E,Buchungen!$G:$G,$A44,Buchungen!$H:$H,"Ausgabe",Buchungen!$L:$L,C$24)-SUMIFS(Buchungen!$E:$E,Buchungen!$G:$G,$A44,Buchungen!$H:$H,"Fixkosten",Buchungen!$L:$L,C$24))</f>
        <v/>
      </c>
      <c r="D44" s="103">
        <f>IF($A44="","",-SUMIFS(Buchungen!$E:$E,Buchungen!$G:$G,$A44,Buchungen!$H:$H,"Ausgabe",Buchungen!$L:$L,D$24)-SUMIFS(Buchungen!$E:$E,Buchungen!$G:$G,$A44,Buchungen!$H:$H,"Fixkosten",Buchungen!$L:$L,D$24))</f>
        <v/>
      </c>
      <c r="E44" s="103">
        <f>IF($A44="","",-SUMIFS(Buchungen!$E:$E,Buchungen!$G:$G,$A44,Buchungen!$H:$H,"Ausgabe",Buchungen!$L:$L,E$24)-SUMIFS(Buchungen!$E:$E,Buchungen!$G:$G,$A44,Buchungen!$H:$H,"Fixkosten",Buchungen!$L:$L,E$24))</f>
        <v/>
      </c>
      <c r="F44" s="103">
        <f>IF($A44="","",-SUMIFS(Buchungen!$E:$E,Buchungen!$G:$G,$A44,Buchungen!$H:$H,"Ausgabe",Buchungen!$L:$L,F$24)-SUMIFS(Buchungen!$E:$E,Buchungen!$G:$G,$A44,Buchungen!$H:$H,"Fixkosten",Buchungen!$L:$L,F$24))</f>
        <v/>
      </c>
      <c r="G44" s="103">
        <f>IF($A44="","",-SUMIFS(Buchungen!$E:$E,Buchungen!$G:$G,$A44,Buchungen!$H:$H,"Ausgabe",Buchungen!$L:$L,G$24)-SUMIFS(Buchungen!$E:$E,Buchungen!$G:$G,$A44,Buchungen!$H:$H,"Fixkosten",Buchungen!$L:$L,G$24))</f>
        <v/>
      </c>
      <c r="H44" s="103">
        <f>IF($A44="","",-SUMIFS(Buchungen!$E:$E,Buchungen!$G:$G,$A44,Buchungen!$H:$H,"Ausgabe",Buchungen!$L:$L,H$24)-SUMIFS(Buchungen!$E:$E,Buchungen!$G:$G,$A44,Buchungen!$H:$H,"Fixkosten",Buchungen!$L:$L,H$24))</f>
        <v/>
      </c>
      <c r="I44" s="103">
        <f>IF($A44="","",-SUMIFS(Buchungen!$E:$E,Buchungen!$G:$G,$A44,Buchungen!$H:$H,"Ausgabe",Buchungen!$L:$L,I$24)-SUMIFS(Buchungen!$E:$E,Buchungen!$G:$G,$A44,Buchungen!$H:$H,"Fixkosten",Buchungen!$L:$L,I$24))</f>
        <v/>
      </c>
      <c r="J44" s="103">
        <f>IF($A44="","",-SUMIFS(Buchungen!$E:$E,Buchungen!$G:$G,$A44,Buchungen!$H:$H,"Ausgabe",Buchungen!$L:$L,J$24)-SUMIFS(Buchungen!$E:$E,Buchungen!$G:$G,$A44,Buchungen!$H:$H,"Fixkosten",Buchungen!$L:$L,J$24))</f>
        <v/>
      </c>
      <c r="K44" s="103">
        <f>IF($A44="","",-SUMIFS(Buchungen!$E:$E,Buchungen!$G:$G,$A44,Buchungen!$H:$H,"Ausgabe",Buchungen!$L:$L,K$24)-SUMIFS(Buchungen!$E:$E,Buchungen!$G:$G,$A44,Buchungen!$H:$H,"Fixkosten",Buchungen!$L:$L,K$24))</f>
        <v/>
      </c>
      <c r="L44" s="103">
        <f>IF($A44="","",-SUMIFS(Buchungen!$E:$E,Buchungen!$G:$G,$A44,Buchungen!$H:$H,"Ausgabe",Buchungen!$L:$L,L$24)-SUMIFS(Buchungen!$E:$E,Buchungen!$G:$G,$A44,Buchungen!$H:$H,"Fixkosten",Buchungen!$L:$L,L$24))</f>
        <v/>
      </c>
      <c r="M44" s="103">
        <f>IF($A44="","",-SUMIFS(Buchungen!$E:$E,Buchungen!$G:$G,$A44,Buchungen!$H:$H,"Ausgabe",Buchungen!$L:$L,M$24)-SUMIFS(Buchungen!$E:$E,Buchungen!$G:$G,$A44,Buchungen!$H:$H,"Fixkosten",Buchungen!$L:$L,M$24))</f>
        <v/>
      </c>
      <c r="N44" s="104">
        <f>IF($A44="","",SUM(B44:M44))</f>
        <v/>
      </c>
      <c r="O44" s="103">
        <f>IF($A44="","",IF(COUNTIF($G$6:$G$17,"&gt;0")=0,0,N44/COUNTIF($G$6:$G$17,"&gt;0")))</f>
        <v/>
      </c>
      <c r="P44" s="81">
        <f>IF(OR($A44="",$N$51=0),"",N44/$N$51)</f>
        <v/>
      </c>
    </row>
    <row r="45">
      <c r="A45" s="102">
        <f>IF(Einstellungen!$A25="","",Einstellungen!$A25)</f>
        <v/>
      </c>
      <c r="B45" s="103">
        <f>IF($A45="","",-SUMIFS(Buchungen!$E:$E,Buchungen!$G:$G,$A45,Buchungen!$H:$H,"Ausgabe",Buchungen!$L:$L,B$24)-SUMIFS(Buchungen!$E:$E,Buchungen!$G:$G,$A45,Buchungen!$H:$H,"Fixkosten",Buchungen!$L:$L,B$24))</f>
        <v/>
      </c>
      <c r="C45" s="103">
        <f>IF($A45="","",-SUMIFS(Buchungen!$E:$E,Buchungen!$G:$G,$A45,Buchungen!$H:$H,"Ausgabe",Buchungen!$L:$L,C$24)-SUMIFS(Buchungen!$E:$E,Buchungen!$G:$G,$A45,Buchungen!$H:$H,"Fixkosten",Buchungen!$L:$L,C$24))</f>
        <v/>
      </c>
      <c r="D45" s="103">
        <f>IF($A45="","",-SUMIFS(Buchungen!$E:$E,Buchungen!$G:$G,$A45,Buchungen!$H:$H,"Ausgabe",Buchungen!$L:$L,D$24)-SUMIFS(Buchungen!$E:$E,Buchungen!$G:$G,$A45,Buchungen!$H:$H,"Fixkosten",Buchungen!$L:$L,D$24))</f>
        <v/>
      </c>
      <c r="E45" s="103">
        <f>IF($A45="","",-SUMIFS(Buchungen!$E:$E,Buchungen!$G:$G,$A45,Buchungen!$H:$H,"Ausgabe",Buchungen!$L:$L,E$24)-SUMIFS(Buchungen!$E:$E,Buchungen!$G:$G,$A45,Buchungen!$H:$H,"Fixkosten",Buchungen!$L:$L,E$24))</f>
        <v/>
      </c>
      <c r="F45" s="103">
        <f>IF($A45="","",-SUMIFS(Buchungen!$E:$E,Buchungen!$G:$G,$A45,Buchungen!$H:$H,"Ausgabe",Buchungen!$L:$L,F$24)-SUMIFS(Buchungen!$E:$E,Buchungen!$G:$G,$A45,Buchungen!$H:$H,"Fixkosten",Buchungen!$L:$L,F$24))</f>
        <v/>
      </c>
      <c r="G45" s="103">
        <f>IF($A45="","",-SUMIFS(Buchungen!$E:$E,Buchungen!$G:$G,$A45,Buchungen!$H:$H,"Ausgabe",Buchungen!$L:$L,G$24)-SUMIFS(Buchungen!$E:$E,Buchungen!$G:$G,$A45,Buchungen!$H:$H,"Fixkosten",Buchungen!$L:$L,G$24))</f>
        <v/>
      </c>
      <c r="H45" s="103">
        <f>IF($A45="","",-SUMIFS(Buchungen!$E:$E,Buchungen!$G:$G,$A45,Buchungen!$H:$H,"Ausgabe",Buchungen!$L:$L,H$24)-SUMIFS(Buchungen!$E:$E,Buchungen!$G:$G,$A45,Buchungen!$H:$H,"Fixkosten",Buchungen!$L:$L,H$24))</f>
        <v/>
      </c>
      <c r="I45" s="103">
        <f>IF($A45="","",-SUMIFS(Buchungen!$E:$E,Buchungen!$G:$G,$A45,Buchungen!$H:$H,"Ausgabe",Buchungen!$L:$L,I$24)-SUMIFS(Buchungen!$E:$E,Buchungen!$G:$G,$A45,Buchungen!$H:$H,"Fixkosten",Buchungen!$L:$L,I$24))</f>
        <v/>
      </c>
      <c r="J45" s="103">
        <f>IF($A45="","",-SUMIFS(Buchungen!$E:$E,Buchungen!$G:$G,$A45,Buchungen!$H:$H,"Ausgabe",Buchungen!$L:$L,J$24)-SUMIFS(Buchungen!$E:$E,Buchungen!$G:$G,$A45,Buchungen!$H:$H,"Fixkosten",Buchungen!$L:$L,J$24))</f>
        <v/>
      </c>
      <c r="K45" s="103">
        <f>IF($A45="","",-SUMIFS(Buchungen!$E:$E,Buchungen!$G:$G,$A45,Buchungen!$H:$H,"Ausgabe",Buchungen!$L:$L,K$24)-SUMIFS(Buchungen!$E:$E,Buchungen!$G:$G,$A45,Buchungen!$H:$H,"Fixkosten",Buchungen!$L:$L,K$24))</f>
        <v/>
      </c>
      <c r="L45" s="103">
        <f>IF($A45="","",-SUMIFS(Buchungen!$E:$E,Buchungen!$G:$G,$A45,Buchungen!$H:$H,"Ausgabe",Buchungen!$L:$L,L$24)-SUMIFS(Buchungen!$E:$E,Buchungen!$G:$G,$A45,Buchungen!$H:$H,"Fixkosten",Buchungen!$L:$L,L$24))</f>
        <v/>
      </c>
      <c r="M45" s="103">
        <f>IF($A45="","",-SUMIFS(Buchungen!$E:$E,Buchungen!$G:$G,$A45,Buchungen!$H:$H,"Ausgabe",Buchungen!$L:$L,M$24)-SUMIFS(Buchungen!$E:$E,Buchungen!$G:$G,$A45,Buchungen!$H:$H,"Fixkosten",Buchungen!$L:$L,M$24))</f>
        <v/>
      </c>
      <c r="N45" s="104">
        <f>IF($A45="","",SUM(B45:M45))</f>
        <v/>
      </c>
      <c r="O45" s="103">
        <f>IF($A45="","",IF(COUNTIF($G$6:$G$17,"&gt;0")=0,0,N45/COUNTIF($G$6:$G$17,"&gt;0")))</f>
        <v/>
      </c>
      <c r="P45" s="81">
        <f>IF(OR($A45="",$N$51=0),"",N45/$N$51)</f>
        <v/>
      </c>
    </row>
    <row r="46">
      <c r="A46" s="102">
        <f>IF(Einstellungen!$A26="","",Einstellungen!$A26)</f>
        <v/>
      </c>
      <c r="B46" s="103">
        <f>IF($A46="","",-SUMIFS(Buchungen!$E:$E,Buchungen!$G:$G,$A46,Buchungen!$H:$H,"Ausgabe",Buchungen!$L:$L,B$24)-SUMIFS(Buchungen!$E:$E,Buchungen!$G:$G,$A46,Buchungen!$H:$H,"Fixkosten",Buchungen!$L:$L,B$24))</f>
        <v/>
      </c>
      <c r="C46" s="103">
        <f>IF($A46="","",-SUMIFS(Buchungen!$E:$E,Buchungen!$G:$G,$A46,Buchungen!$H:$H,"Ausgabe",Buchungen!$L:$L,C$24)-SUMIFS(Buchungen!$E:$E,Buchungen!$G:$G,$A46,Buchungen!$H:$H,"Fixkosten",Buchungen!$L:$L,C$24))</f>
        <v/>
      </c>
      <c r="D46" s="103">
        <f>IF($A46="","",-SUMIFS(Buchungen!$E:$E,Buchungen!$G:$G,$A46,Buchungen!$H:$H,"Ausgabe",Buchungen!$L:$L,D$24)-SUMIFS(Buchungen!$E:$E,Buchungen!$G:$G,$A46,Buchungen!$H:$H,"Fixkosten",Buchungen!$L:$L,D$24))</f>
        <v/>
      </c>
      <c r="E46" s="103">
        <f>IF($A46="","",-SUMIFS(Buchungen!$E:$E,Buchungen!$G:$G,$A46,Buchungen!$H:$H,"Ausgabe",Buchungen!$L:$L,E$24)-SUMIFS(Buchungen!$E:$E,Buchungen!$G:$G,$A46,Buchungen!$H:$H,"Fixkosten",Buchungen!$L:$L,E$24))</f>
        <v/>
      </c>
      <c r="F46" s="103">
        <f>IF($A46="","",-SUMIFS(Buchungen!$E:$E,Buchungen!$G:$G,$A46,Buchungen!$H:$H,"Ausgabe",Buchungen!$L:$L,F$24)-SUMIFS(Buchungen!$E:$E,Buchungen!$G:$G,$A46,Buchungen!$H:$H,"Fixkosten",Buchungen!$L:$L,F$24))</f>
        <v/>
      </c>
      <c r="G46" s="103">
        <f>IF($A46="","",-SUMIFS(Buchungen!$E:$E,Buchungen!$G:$G,$A46,Buchungen!$H:$H,"Ausgabe",Buchungen!$L:$L,G$24)-SUMIFS(Buchungen!$E:$E,Buchungen!$G:$G,$A46,Buchungen!$H:$H,"Fixkosten",Buchungen!$L:$L,G$24))</f>
        <v/>
      </c>
      <c r="H46" s="103">
        <f>IF($A46="","",-SUMIFS(Buchungen!$E:$E,Buchungen!$G:$G,$A46,Buchungen!$H:$H,"Ausgabe",Buchungen!$L:$L,H$24)-SUMIFS(Buchungen!$E:$E,Buchungen!$G:$G,$A46,Buchungen!$H:$H,"Fixkosten",Buchungen!$L:$L,H$24))</f>
        <v/>
      </c>
      <c r="I46" s="103">
        <f>IF($A46="","",-SUMIFS(Buchungen!$E:$E,Buchungen!$G:$G,$A46,Buchungen!$H:$H,"Ausgabe",Buchungen!$L:$L,I$24)-SUMIFS(Buchungen!$E:$E,Buchungen!$G:$G,$A46,Buchungen!$H:$H,"Fixkosten",Buchungen!$L:$L,I$24))</f>
        <v/>
      </c>
      <c r="J46" s="103">
        <f>IF($A46="","",-SUMIFS(Buchungen!$E:$E,Buchungen!$G:$G,$A46,Buchungen!$H:$H,"Ausgabe",Buchungen!$L:$L,J$24)-SUMIFS(Buchungen!$E:$E,Buchungen!$G:$G,$A46,Buchungen!$H:$H,"Fixkosten",Buchungen!$L:$L,J$24))</f>
        <v/>
      </c>
      <c r="K46" s="103">
        <f>IF($A46="","",-SUMIFS(Buchungen!$E:$E,Buchungen!$G:$G,$A46,Buchungen!$H:$H,"Ausgabe",Buchungen!$L:$L,K$24)-SUMIFS(Buchungen!$E:$E,Buchungen!$G:$G,$A46,Buchungen!$H:$H,"Fixkosten",Buchungen!$L:$L,K$24))</f>
        <v/>
      </c>
      <c r="L46" s="103">
        <f>IF($A46="","",-SUMIFS(Buchungen!$E:$E,Buchungen!$G:$G,$A46,Buchungen!$H:$H,"Ausgabe",Buchungen!$L:$L,L$24)-SUMIFS(Buchungen!$E:$E,Buchungen!$G:$G,$A46,Buchungen!$H:$H,"Fixkosten",Buchungen!$L:$L,L$24))</f>
        <v/>
      </c>
      <c r="M46" s="103">
        <f>IF($A46="","",-SUMIFS(Buchungen!$E:$E,Buchungen!$G:$G,$A46,Buchungen!$H:$H,"Ausgabe",Buchungen!$L:$L,M$24)-SUMIFS(Buchungen!$E:$E,Buchungen!$G:$G,$A46,Buchungen!$H:$H,"Fixkosten",Buchungen!$L:$L,M$24))</f>
        <v/>
      </c>
      <c r="N46" s="104">
        <f>IF($A46="","",SUM(B46:M46))</f>
        <v/>
      </c>
      <c r="O46" s="103">
        <f>IF($A46="","",IF(COUNTIF($G$6:$G$17,"&gt;0")=0,0,N46/COUNTIF($G$6:$G$17,"&gt;0")))</f>
        <v/>
      </c>
      <c r="P46" s="81">
        <f>IF(OR($A46="",$N$51=0),"",N46/$N$51)</f>
        <v/>
      </c>
    </row>
    <row r="47">
      <c r="A47" s="102">
        <f>IF(Einstellungen!$A27="","",Einstellungen!$A27)</f>
        <v/>
      </c>
      <c r="B47" s="103">
        <f>IF($A47="","",-SUMIFS(Buchungen!$E:$E,Buchungen!$G:$G,$A47,Buchungen!$H:$H,"Ausgabe",Buchungen!$L:$L,B$24)-SUMIFS(Buchungen!$E:$E,Buchungen!$G:$G,$A47,Buchungen!$H:$H,"Fixkosten",Buchungen!$L:$L,B$24))</f>
        <v/>
      </c>
      <c r="C47" s="103">
        <f>IF($A47="","",-SUMIFS(Buchungen!$E:$E,Buchungen!$G:$G,$A47,Buchungen!$H:$H,"Ausgabe",Buchungen!$L:$L,C$24)-SUMIFS(Buchungen!$E:$E,Buchungen!$G:$G,$A47,Buchungen!$H:$H,"Fixkosten",Buchungen!$L:$L,C$24))</f>
        <v/>
      </c>
      <c r="D47" s="103">
        <f>IF($A47="","",-SUMIFS(Buchungen!$E:$E,Buchungen!$G:$G,$A47,Buchungen!$H:$H,"Ausgabe",Buchungen!$L:$L,D$24)-SUMIFS(Buchungen!$E:$E,Buchungen!$G:$G,$A47,Buchungen!$H:$H,"Fixkosten",Buchungen!$L:$L,D$24))</f>
        <v/>
      </c>
      <c r="E47" s="103">
        <f>IF($A47="","",-SUMIFS(Buchungen!$E:$E,Buchungen!$G:$G,$A47,Buchungen!$H:$H,"Ausgabe",Buchungen!$L:$L,E$24)-SUMIFS(Buchungen!$E:$E,Buchungen!$G:$G,$A47,Buchungen!$H:$H,"Fixkosten",Buchungen!$L:$L,E$24))</f>
        <v/>
      </c>
      <c r="F47" s="103">
        <f>IF($A47="","",-SUMIFS(Buchungen!$E:$E,Buchungen!$G:$G,$A47,Buchungen!$H:$H,"Ausgabe",Buchungen!$L:$L,F$24)-SUMIFS(Buchungen!$E:$E,Buchungen!$G:$G,$A47,Buchungen!$H:$H,"Fixkosten",Buchungen!$L:$L,F$24))</f>
        <v/>
      </c>
      <c r="G47" s="103">
        <f>IF($A47="","",-SUMIFS(Buchungen!$E:$E,Buchungen!$G:$G,$A47,Buchungen!$H:$H,"Ausgabe",Buchungen!$L:$L,G$24)-SUMIFS(Buchungen!$E:$E,Buchungen!$G:$G,$A47,Buchungen!$H:$H,"Fixkosten",Buchungen!$L:$L,G$24))</f>
        <v/>
      </c>
      <c r="H47" s="103">
        <f>IF($A47="","",-SUMIFS(Buchungen!$E:$E,Buchungen!$G:$G,$A47,Buchungen!$H:$H,"Ausgabe",Buchungen!$L:$L,H$24)-SUMIFS(Buchungen!$E:$E,Buchungen!$G:$G,$A47,Buchungen!$H:$H,"Fixkosten",Buchungen!$L:$L,H$24))</f>
        <v/>
      </c>
      <c r="I47" s="103">
        <f>IF($A47="","",-SUMIFS(Buchungen!$E:$E,Buchungen!$G:$G,$A47,Buchungen!$H:$H,"Ausgabe",Buchungen!$L:$L,I$24)-SUMIFS(Buchungen!$E:$E,Buchungen!$G:$G,$A47,Buchungen!$H:$H,"Fixkosten",Buchungen!$L:$L,I$24))</f>
        <v/>
      </c>
      <c r="J47" s="103">
        <f>IF($A47="","",-SUMIFS(Buchungen!$E:$E,Buchungen!$G:$G,$A47,Buchungen!$H:$H,"Ausgabe",Buchungen!$L:$L,J$24)-SUMIFS(Buchungen!$E:$E,Buchungen!$G:$G,$A47,Buchungen!$H:$H,"Fixkosten",Buchungen!$L:$L,J$24))</f>
        <v/>
      </c>
      <c r="K47" s="103">
        <f>IF($A47="","",-SUMIFS(Buchungen!$E:$E,Buchungen!$G:$G,$A47,Buchungen!$H:$H,"Ausgabe",Buchungen!$L:$L,K$24)-SUMIFS(Buchungen!$E:$E,Buchungen!$G:$G,$A47,Buchungen!$H:$H,"Fixkosten",Buchungen!$L:$L,K$24))</f>
        <v/>
      </c>
      <c r="L47" s="103">
        <f>IF($A47="","",-SUMIFS(Buchungen!$E:$E,Buchungen!$G:$G,$A47,Buchungen!$H:$H,"Ausgabe",Buchungen!$L:$L,L$24)-SUMIFS(Buchungen!$E:$E,Buchungen!$G:$G,$A47,Buchungen!$H:$H,"Fixkosten",Buchungen!$L:$L,L$24))</f>
        <v/>
      </c>
      <c r="M47" s="103">
        <f>IF($A47="","",-SUMIFS(Buchungen!$E:$E,Buchungen!$G:$G,$A47,Buchungen!$H:$H,"Ausgabe",Buchungen!$L:$L,M$24)-SUMIFS(Buchungen!$E:$E,Buchungen!$G:$G,$A47,Buchungen!$H:$H,"Fixkosten",Buchungen!$L:$L,M$24))</f>
        <v/>
      </c>
      <c r="N47" s="104">
        <f>IF($A47="","",SUM(B47:M47))</f>
        <v/>
      </c>
      <c r="O47" s="103">
        <f>IF($A47="","",IF(COUNTIF($G$6:$G$17,"&gt;0")=0,0,N47/COUNTIF($G$6:$G$17,"&gt;0")))</f>
        <v/>
      </c>
      <c r="P47" s="81">
        <f>IF(OR($A47="",$N$51=0),"",N47/$N$51)</f>
        <v/>
      </c>
    </row>
    <row r="48">
      <c r="A48" s="102">
        <f>IF(Einstellungen!$A28="","",Einstellungen!$A28)</f>
        <v/>
      </c>
      <c r="B48" s="103">
        <f>IF($A48="","",-SUMIFS(Buchungen!$E:$E,Buchungen!$G:$G,$A48,Buchungen!$H:$H,"Ausgabe",Buchungen!$L:$L,B$24)-SUMIFS(Buchungen!$E:$E,Buchungen!$G:$G,$A48,Buchungen!$H:$H,"Fixkosten",Buchungen!$L:$L,B$24))</f>
        <v/>
      </c>
      <c r="C48" s="103">
        <f>IF($A48="","",-SUMIFS(Buchungen!$E:$E,Buchungen!$G:$G,$A48,Buchungen!$H:$H,"Ausgabe",Buchungen!$L:$L,C$24)-SUMIFS(Buchungen!$E:$E,Buchungen!$G:$G,$A48,Buchungen!$H:$H,"Fixkosten",Buchungen!$L:$L,C$24))</f>
        <v/>
      </c>
      <c r="D48" s="103">
        <f>IF($A48="","",-SUMIFS(Buchungen!$E:$E,Buchungen!$G:$G,$A48,Buchungen!$H:$H,"Ausgabe",Buchungen!$L:$L,D$24)-SUMIFS(Buchungen!$E:$E,Buchungen!$G:$G,$A48,Buchungen!$H:$H,"Fixkosten",Buchungen!$L:$L,D$24))</f>
        <v/>
      </c>
      <c r="E48" s="103">
        <f>IF($A48="","",-SUMIFS(Buchungen!$E:$E,Buchungen!$G:$G,$A48,Buchungen!$H:$H,"Ausgabe",Buchungen!$L:$L,E$24)-SUMIFS(Buchungen!$E:$E,Buchungen!$G:$G,$A48,Buchungen!$H:$H,"Fixkosten",Buchungen!$L:$L,E$24))</f>
        <v/>
      </c>
      <c r="F48" s="103">
        <f>IF($A48="","",-SUMIFS(Buchungen!$E:$E,Buchungen!$G:$G,$A48,Buchungen!$H:$H,"Ausgabe",Buchungen!$L:$L,F$24)-SUMIFS(Buchungen!$E:$E,Buchungen!$G:$G,$A48,Buchungen!$H:$H,"Fixkosten",Buchungen!$L:$L,F$24))</f>
        <v/>
      </c>
      <c r="G48" s="103">
        <f>IF($A48="","",-SUMIFS(Buchungen!$E:$E,Buchungen!$G:$G,$A48,Buchungen!$H:$H,"Ausgabe",Buchungen!$L:$L,G$24)-SUMIFS(Buchungen!$E:$E,Buchungen!$G:$G,$A48,Buchungen!$H:$H,"Fixkosten",Buchungen!$L:$L,G$24))</f>
        <v/>
      </c>
      <c r="H48" s="103">
        <f>IF($A48="","",-SUMIFS(Buchungen!$E:$E,Buchungen!$G:$G,$A48,Buchungen!$H:$H,"Ausgabe",Buchungen!$L:$L,H$24)-SUMIFS(Buchungen!$E:$E,Buchungen!$G:$G,$A48,Buchungen!$H:$H,"Fixkosten",Buchungen!$L:$L,H$24))</f>
        <v/>
      </c>
      <c r="I48" s="103">
        <f>IF($A48="","",-SUMIFS(Buchungen!$E:$E,Buchungen!$G:$G,$A48,Buchungen!$H:$H,"Ausgabe",Buchungen!$L:$L,I$24)-SUMIFS(Buchungen!$E:$E,Buchungen!$G:$G,$A48,Buchungen!$H:$H,"Fixkosten",Buchungen!$L:$L,I$24))</f>
        <v/>
      </c>
      <c r="J48" s="103">
        <f>IF($A48="","",-SUMIFS(Buchungen!$E:$E,Buchungen!$G:$G,$A48,Buchungen!$H:$H,"Ausgabe",Buchungen!$L:$L,J$24)-SUMIFS(Buchungen!$E:$E,Buchungen!$G:$G,$A48,Buchungen!$H:$H,"Fixkosten",Buchungen!$L:$L,J$24))</f>
        <v/>
      </c>
      <c r="K48" s="103">
        <f>IF($A48="","",-SUMIFS(Buchungen!$E:$E,Buchungen!$G:$G,$A48,Buchungen!$H:$H,"Ausgabe",Buchungen!$L:$L,K$24)-SUMIFS(Buchungen!$E:$E,Buchungen!$G:$G,$A48,Buchungen!$H:$H,"Fixkosten",Buchungen!$L:$L,K$24))</f>
        <v/>
      </c>
      <c r="L48" s="103">
        <f>IF($A48="","",-SUMIFS(Buchungen!$E:$E,Buchungen!$G:$G,$A48,Buchungen!$H:$H,"Ausgabe",Buchungen!$L:$L,L$24)-SUMIFS(Buchungen!$E:$E,Buchungen!$G:$G,$A48,Buchungen!$H:$H,"Fixkosten",Buchungen!$L:$L,L$24))</f>
        <v/>
      </c>
      <c r="M48" s="103">
        <f>IF($A48="","",-SUMIFS(Buchungen!$E:$E,Buchungen!$G:$G,$A48,Buchungen!$H:$H,"Ausgabe",Buchungen!$L:$L,M$24)-SUMIFS(Buchungen!$E:$E,Buchungen!$G:$G,$A48,Buchungen!$H:$H,"Fixkosten",Buchungen!$L:$L,M$24))</f>
        <v/>
      </c>
      <c r="N48" s="104">
        <f>IF($A48="","",SUM(B48:M48))</f>
        <v/>
      </c>
      <c r="O48" s="103">
        <f>IF($A48="","",IF(COUNTIF($G$6:$G$17,"&gt;0")=0,0,N48/COUNTIF($G$6:$G$17,"&gt;0")))</f>
        <v/>
      </c>
      <c r="P48" s="81">
        <f>IF(OR($A48="",$N$51=0),"",N48/$N$51)</f>
        <v/>
      </c>
    </row>
    <row r="49">
      <c r="A49" s="102">
        <f>IF(Einstellungen!$A29="","",Einstellungen!$A29)</f>
        <v/>
      </c>
      <c r="B49" s="103">
        <f>IF($A49="","",-SUMIFS(Buchungen!$E:$E,Buchungen!$G:$G,$A49,Buchungen!$H:$H,"Ausgabe",Buchungen!$L:$L,B$24)-SUMIFS(Buchungen!$E:$E,Buchungen!$G:$G,$A49,Buchungen!$H:$H,"Fixkosten",Buchungen!$L:$L,B$24))</f>
        <v/>
      </c>
      <c r="C49" s="103">
        <f>IF($A49="","",-SUMIFS(Buchungen!$E:$E,Buchungen!$G:$G,$A49,Buchungen!$H:$H,"Ausgabe",Buchungen!$L:$L,C$24)-SUMIFS(Buchungen!$E:$E,Buchungen!$G:$G,$A49,Buchungen!$H:$H,"Fixkosten",Buchungen!$L:$L,C$24))</f>
        <v/>
      </c>
      <c r="D49" s="103">
        <f>IF($A49="","",-SUMIFS(Buchungen!$E:$E,Buchungen!$G:$G,$A49,Buchungen!$H:$H,"Ausgabe",Buchungen!$L:$L,D$24)-SUMIFS(Buchungen!$E:$E,Buchungen!$G:$G,$A49,Buchungen!$H:$H,"Fixkosten",Buchungen!$L:$L,D$24))</f>
        <v/>
      </c>
      <c r="E49" s="103">
        <f>IF($A49="","",-SUMIFS(Buchungen!$E:$E,Buchungen!$G:$G,$A49,Buchungen!$H:$H,"Ausgabe",Buchungen!$L:$L,E$24)-SUMIFS(Buchungen!$E:$E,Buchungen!$G:$G,$A49,Buchungen!$H:$H,"Fixkosten",Buchungen!$L:$L,E$24))</f>
        <v/>
      </c>
      <c r="F49" s="103">
        <f>IF($A49="","",-SUMIFS(Buchungen!$E:$E,Buchungen!$G:$G,$A49,Buchungen!$H:$H,"Ausgabe",Buchungen!$L:$L,F$24)-SUMIFS(Buchungen!$E:$E,Buchungen!$G:$G,$A49,Buchungen!$H:$H,"Fixkosten",Buchungen!$L:$L,F$24))</f>
        <v/>
      </c>
      <c r="G49" s="103">
        <f>IF($A49="","",-SUMIFS(Buchungen!$E:$E,Buchungen!$G:$G,$A49,Buchungen!$H:$H,"Ausgabe",Buchungen!$L:$L,G$24)-SUMIFS(Buchungen!$E:$E,Buchungen!$G:$G,$A49,Buchungen!$H:$H,"Fixkosten",Buchungen!$L:$L,G$24))</f>
        <v/>
      </c>
      <c r="H49" s="103">
        <f>IF($A49="","",-SUMIFS(Buchungen!$E:$E,Buchungen!$G:$G,$A49,Buchungen!$H:$H,"Ausgabe",Buchungen!$L:$L,H$24)-SUMIFS(Buchungen!$E:$E,Buchungen!$G:$G,$A49,Buchungen!$H:$H,"Fixkosten",Buchungen!$L:$L,H$24))</f>
        <v/>
      </c>
      <c r="I49" s="103">
        <f>IF($A49="","",-SUMIFS(Buchungen!$E:$E,Buchungen!$G:$G,$A49,Buchungen!$H:$H,"Ausgabe",Buchungen!$L:$L,I$24)-SUMIFS(Buchungen!$E:$E,Buchungen!$G:$G,$A49,Buchungen!$H:$H,"Fixkosten",Buchungen!$L:$L,I$24))</f>
        <v/>
      </c>
      <c r="J49" s="103">
        <f>IF($A49="","",-SUMIFS(Buchungen!$E:$E,Buchungen!$G:$G,$A49,Buchungen!$H:$H,"Ausgabe",Buchungen!$L:$L,J$24)-SUMIFS(Buchungen!$E:$E,Buchungen!$G:$G,$A49,Buchungen!$H:$H,"Fixkosten",Buchungen!$L:$L,J$24))</f>
        <v/>
      </c>
      <c r="K49" s="103">
        <f>IF($A49="","",-SUMIFS(Buchungen!$E:$E,Buchungen!$G:$G,$A49,Buchungen!$H:$H,"Ausgabe",Buchungen!$L:$L,K$24)-SUMIFS(Buchungen!$E:$E,Buchungen!$G:$G,$A49,Buchungen!$H:$H,"Fixkosten",Buchungen!$L:$L,K$24))</f>
        <v/>
      </c>
      <c r="L49" s="103">
        <f>IF($A49="","",-SUMIFS(Buchungen!$E:$E,Buchungen!$G:$G,$A49,Buchungen!$H:$H,"Ausgabe",Buchungen!$L:$L,L$24)-SUMIFS(Buchungen!$E:$E,Buchungen!$G:$G,$A49,Buchungen!$H:$H,"Fixkosten",Buchungen!$L:$L,L$24))</f>
        <v/>
      </c>
      <c r="M49" s="103">
        <f>IF($A49="","",-SUMIFS(Buchungen!$E:$E,Buchungen!$G:$G,$A49,Buchungen!$H:$H,"Ausgabe",Buchungen!$L:$L,M$24)-SUMIFS(Buchungen!$E:$E,Buchungen!$G:$G,$A49,Buchungen!$H:$H,"Fixkosten",Buchungen!$L:$L,M$24))</f>
        <v/>
      </c>
      <c r="N49" s="104">
        <f>IF($A49="","",SUM(B49:M49))</f>
        <v/>
      </c>
      <c r="O49" s="103">
        <f>IF($A49="","",IF(COUNTIF($G$6:$G$17,"&gt;0")=0,0,N49/COUNTIF($G$6:$G$17,"&gt;0")))</f>
        <v/>
      </c>
      <c r="P49" s="81">
        <f>IF(OR($A49="",$N$51=0),"",N49/$N$51)</f>
        <v/>
      </c>
    </row>
    <row r="50">
      <c r="A50" s="89" t="inlineStr">
        <is>
          <t>ohne Kategorie</t>
        </is>
      </c>
      <c r="B50" s="105">
        <f>-SUMIFS(Buchungen!$E:$E,Buchungen!$G:$G,"",Buchungen!$H:$H,"Ausgabe",Buchungen!$L:$L,B$24)</f>
        <v/>
      </c>
      <c r="C50" s="105">
        <f>-SUMIFS(Buchungen!$E:$E,Buchungen!$G:$G,"",Buchungen!$H:$H,"Ausgabe",Buchungen!$L:$L,C$24)</f>
        <v/>
      </c>
      <c r="D50" s="105">
        <f>-SUMIFS(Buchungen!$E:$E,Buchungen!$G:$G,"",Buchungen!$H:$H,"Ausgabe",Buchungen!$L:$L,D$24)</f>
        <v/>
      </c>
      <c r="E50" s="105">
        <f>-SUMIFS(Buchungen!$E:$E,Buchungen!$G:$G,"",Buchungen!$H:$H,"Ausgabe",Buchungen!$L:$L,E$24)</f>
        <v/>
      </c>
      <c r="F50" s="105">
        <f>-SUMIFS(Buchungen!$E:$E,Buchungen!$G:$G,"",Buchungen!$H:$H,"Ausgabe",Buchungen!$L:$L,F$24)</f>
        <v/>
      </c>
      <c r="G50" s="105">
        <f>-SUMIFS(Buchungen!$E:$E,Buchungen!$G:$G,"",Buchungen!$H:$H,"Ausgabe",Buchungen!$L:$L,G$24)</f>
        <v/>
      </c>
      <c r="H50" s="105">
        <f>-SUMIFS(Buchungen!$E:$E,Buchungen!$G:$G,"",Buchungen!$H:$H,"Ausgabe",Buchungen!$L:$L,H$24)</f>
        <v/>
      </c>
      <c r="I50" s="105">
        <f>-SUMIFS(Buchungen!$E:$E,Buchungen!$G:$G,"",Buchungen!$H:$H,"Ausgabe",Buchungen!$L:$L,I$24)</f>
        <v/>
      </c>
      <c r="J50" s="105">
        <f>-SUMIFS(Buchungen!$E:$E,Buchungen!$G:$G,"",Buchungen!$H:$H,"Ausgabe",Buchungen!$L:$L,J$24)</f>
        <v/>
      </c>
      <c r="K50" s="105">
        <f>-SUMIFS(Buchungen!$E:$E,Buchungen!$G:$G,"",Buchungen!$H:$H,"Ausgabe",Buchungen!$L:$L,K$24)</f>
        <v/>
      </c>
      <c r="L50" s="105">
        <f>-SUMIFS(Buchungen!$E:$E,Buchungen!$G:$G,"",Buchungen!$H:$H,"Ausgabe",Buchungen!$L:$L,L$24)</f>
        <v/>
      </c>
      <c r="M50" s="105">
        <f>-SUMIFS(Buchungen!$E:$E,Buchungen!$G:$G,"",Buchungen!$H:$H,"Ausgabe",Buchungen!$L:$L,M$24)</f>
        <v/>
      </c>
      <c r="N50" s="104">
        <f>SUM(B50:M50)</f>
        <v/>
      </c>
      <c r="O50" s="105">
        <f>IF(COUNTIF($G$6:$G$17,"&gt;0")=0,0,N50/COUNTIF($G$6:$G$17,"&gt;0"))</f>
        <v/>
      </c>
      <c r="P50" s="91">
        <f>IF($N$51=0,"",N50/$N$51)</f>
        <v/>
      </c>
    </row>
    <row r="51">
      <c r="A51" s="85" t="inlineStr">
        <is>
          <t>Summe</t>
        </is>
      </c>
      <c r="B51" s="106">
        <f>SUM(B25:B50)</f>
        <v/>
      </c>
      <c r="C51" s="106">
        <f>SUM(C25:C50)</f>
        <v/>
      </c>
      <c r="D51" s="106">
        <f>SUM(D25:D50)</f>
        <v/>
      </c>
      <c r="E51" s="106">
        <f>SUM(E25:E50)</f>
        <v/>
      </c>
      <c r="F51" s="106">
        <f>SUM(F25:F50)</f>
        <v/>
      </c>
      <c r="G51" s="106">
        <f>SUM(G25:G50)</f>
        <v/>
      </c>
      <c r="H51" s="106">
        <f>SUM(H25:H50)</f>
        <v/>
      </c>
      <c r="I51" s="106">
        <f>SUM(I25:I50)</f>
        <v/>
      </c>
      <c r="J51" s="106">
        <f>SUM(J25:J50)</f>
        <v/>
      </c>
      <c r="K51" s="106">
        <f>SUM(K25:K50)</f>
        <v/>
      </c>
      <c r="L51" s="106">
        <f>SUM(L25:L50)</f>
        <v/>
      </c>
      <c r="M51" s="106">
        <f>SUM(M25:M50)</f>
        <v/>
      </c>
      <c r="N51" s="106">
        <f>SUM(N25:N50)</f>
        <v/>
      </c>
      <c r="O51" s="106">
        <f>SUM(O25:O50)</f>
        <v/>
      </c>
      <c r="P51" s="86" t="n"/>
    </row>
    <row r="52">
      <c r="A52" s="65" t="inlineStr">
        <is>
          <t>Die Summe entspricht „Ausgaben gesamt“ oben. Ø über die Monate mit Buchungen.</t>
        </is>
      </c>
    </row>
  </sheetData>
  <conditionalFormatting sqref="F6:F19">
    <cfRule type="cellIs" priority="1" operator="lessThan" dxfId="18">
      <formula>0</formula>
    </cfRule>
    <cfRule type="cellIs" priority="2" operator="greaterThan" dxfId="19">
      <formula>0</formula>
    </cfRule>
  </conditionalFormatting>
  <conditionalFormatting sqref="H6:H17">
    <cfRule type="cellIs" priority="3" operator="greaterThan" dxfId="20">
      <formula>0</formula>
    </cfRule>
  </conditionalFormatting>
  <conditionalFormatting sqref="B25:M50">
    <cfRule type="dataBar" priority="4">
      <dataBar>
        <cfvo type="num" val="0"/>
        <cfvo type="max"/>
        <color rgb="009DC3E6"/>
      </dataBar>
    </cfRule>
  </conditionalFormatting>
  <conditionalFormatting sqref="B25:O50">
    <cfRule type="cellIs" priority="5" operator="equal" dxfId="21">
      <formula>0</formula>
    </cfRule>
  </conditionalFormatting>
  <conditionalFormatting sqref="P25:P50">
    <cfRule type="dataBar" priority="6">
      <dataBar>
        <cfvo type="num" val="0"/>
        <cfvo type="num" val="1"/>
        <color rgb="002E75B6"/>
      </dataBar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Fixkosten">
    <outlinePr summaryBelow="1" summaryRight="1"/>
    <pageSetUpPr/>
  </sheetPr>
  <dimension ref="A1:L60"/>
  <sheetViews>
    <sheetView showGridLines="0" workbookViewId="0">
      <pane ySplit="12" topLeftCell="A13" activePane="bottomLeft" state="frozen"/>
      <selection pane="bottomLeft" activeCell="A1" sqref="A1"/>
    </sheetView>
  </sheetViews>
  <sheetFormatPr baseColWidth="8" defaultRowHeight="15"/>
  <cols>
    <col width="30" customWidth="1" min="1" max="1"/>
    <col width="20" customWidth="1" min="2" max="2"/>
    <col width="12" customWidth="1" min="3" max="3"/>
    <col width="12" customWidth="1" min="4" max="4"/>
    <col width="12" customWidth="1" min="5" max="5"/>
    <col width="11" customWidth="1" min="6" max="6"/>
    <col width="13" customWidth="1" min="7" max="7"/>
    <col width="18" customWidth="1" min="8" max="8"/>
    <col width="30" customWidth="1" min="9" max="9"/>
    <col width="16" customWidth="1" min="10" max="10"/>
    <col width="13" customWidth="1" min="11" max="11"/>
    <col width="50" customWidth="1" min="12" max="12"/>
  </cols>
  <sheetData>
    <row r="1">
      <c r="A1" s="64" t="inlineStr">
        <is>
          <t>Fixkosten &amp; Einnahmen (monatliche Basis)</t>
        </is>
      </c>
    </row>
    <row r="2">
      <c r="A2" s="65" t="inlineStr">
        <is>
          <t>Blau = Eingabe. „Suchbegriff“ = Text, an dem der Import die Abbuchung erkennt (mehrere mit ; trennen). „Aufteilung“ = geteiltes Abo: Anzahl Personen inkl. dir oder dein Anteil in %. Ist/Zuletzt kommen aus den importierten Buchungen.</t>
        </is>
      </c>
    </row>
    <row r="4">
      <c r="A4" s="72" t="inlineStr">
        <is>
          <t>Einnahmen (monatlich, Soll)</t>
        </is>
      </c>
    </row>
    <row r="5" ht="30" customHeight="1">
      <c r="A5" s="73" t="inlineStr">
        <is>
          <t>Bezeichnung</t>
        </is>
      </c>
      <c r="B5" s="74" t="inlineStr">
        <is>
          <t>Betrag</t>
        </is>
      </c>
      <c r="C5" s="74" t="inlineStr">
        <is>
          <t>Suchbegriff (Import)</t>
        </is>
      </c>
      <c r="D5" s="74" t="inlineStr">
        <is>
          <t>Ist im Monat</t>
        </is>
      </c>
    </row>
    <row r="6">
      <c r="A6" s="75" t="inlineStr">
        <is>
          <t>Lohn</t>
        </is>
      </c>
      <c r="B6" s="79" t="n">
        <v>1749.37</v>
      </c>
      <c r="C6" s="75" t="n"/>
      <c r="D6" s="84">
        <f>IF($A6="","",SUMIFS(Buchungen!$E:$E,Buchungen!$H:$H,"Einnahme",Buchungen!$F:$F,$A6,Buchungen!$L:$L,Übersicht!$B$7))</f>
        <v/>
      </c>
    </row>
    <row r="7">
      <c r="A7" s="75" t="n"/>
      <c r="B7" s="79" t="n"/>
      <c r="C7" s="75" t="n"/>
      <c r="D7" s="84">
        <f>IF($A7="","",SUMIFS(Buchungen!$E:$E,Buchungen!$H:$H,"Einnahme",Buchungen!$F:$F,$A7,Buchungen!$L:$L,Übersicht!$B$7))</f>
        <v/>
      </c>
    </row>
    <row r="8">
      <c r="A8" s="75" t="n"/>
      <c r="B8" s="79" t="n"/>
      <c r="C8" s="75" t="n"/>
      <c r="D8" s="84">
        <f>IF($A8="","",SUMIFS(Buchungen!$E:$E,Buchungen!$H:$H,"Einnahme",Buchungen!$F:$F,$A8,Buchungen!$L:$L,Übersicht!$B$7))</f>
        <v/>
      </c>
    </row>
    <row r="9">
      <c r="A9" s="85" t="inlineStr">
        <is>
          <t>Summe Einnahmen</t>
        </is>
      </c>
      <c r="B9" s="87">
        <f>SUM(B6:B8)</f>
        <v/>
      </c>
      <c r="C9" s="86" t="n"/>
      <c r="D9" s="87">
        <f>SUM(D6:D8)</f>
        <v/>
      </c>
    </row>
    <row r="10">
      <c r="A10" s="65" t="inlineStr">
        <is>
          <t>Eingänge mit Suchbegriff (oder gleichem Betrag ±1 %) bucht der Import als Art „Einnahme“ mit dieser Bezeichnung. Die Soll-Werte dienen dem Vergleich.</t>
        </is>
      </c>
    </row>
    <row r="11">
      <c r="A11" s="72" t="inlineStr">
        <is>
          <t>Fixkosten</t>
        </is>
      </c>
    </row>
    <row r="12" ht="40" customHeight="1">
      <c r="A12" s="73" t="inlineStr">
        <is>
          <t>Bezeichnung</t>
        </is>
      </c>
      <c r="B12" s="74" t="inlineStr">
        <is>
          <t>Kategorie</t>
        </is>
      </c>
      <c r="C12" s="74" t="inlineStr">
        <is>
          <t>Betrag je Zahlung</t>
        </is>
      </c>
      <c r="D12" s="74" t="inlineStr">
        <is>
          <t>Zahlungen pro Jahr</t>
        </is>
      </c>
      <c r="E12" s="74" t="inlineStr">
        <is>
          <t>Ø pro Monat</t>
        </is>
      </c>
      <c r="F12" s="74" t="inlineStr">
        <is>
          <t>Aufteilung</t>
        </is>
      </c>
      <c r="G12" s="74" t="inlineStr">
        <is>
          <t>Mein Anteil pro Monat</t>
        </is>
      </c>
      <c r="H12" s="74" t="inlineStr">
        <is>
          <t>Fälligkeit</t>
        </is>
      </c>
      <c r="I12" s="74" t="inlineStr">
        <is>
          <t>Suchbegriff (Import)</t>
        </is>
      </c>
      <c r="J12" s="74" t="inlineStr">
        <is>
          <t>Ist im Auswertungsmonat</t>
        </is>
      </c>
      <c r="K12" s="74" t="inlineStr">
        <is>
          <t>Zuletzt gebucht</t>
        </is>
      </c>
      <c r="L12" s="74" t="inlineStr">
        <is>
          <t>Hinweis</t>
        </is>
      </c>
    </row>
    <row r="13">
      <c r="A13" s="75" t="inlineStr">
        <is>
          <t>Mercedes Benz &amp; T3</t>
        </is>
      </c>
      <c r="B13" s="75" t="inlineStr">
        <is>
          <t>Versicherung</t>
        </is>
      </c>
      <c r="C13" s="79" t="n">
        <v>77.92</v>
      </c>
      <c r="D13" s="107" t="n">
        <v>12</v>
      </c>
      <c r="E13" s="84">
        <f>IF(AND(ISNUMBER(C13),ISNUMBER(D13)),C13*D13/12,0)</f>
        <v/>
      </c>
      <c r="F13" s="82" t="n">
        <v>2</v>
      </c>
      <c r="G13" s="84">
        <f>IF($A13="","",IF(OR($F13="",N($F13)&lt;=0),E13,IF($F13&lt;=1,E13*$F13,E13/$F13)))</f>
        <v/>
      </c>
      <c r="H13" s="75" t="inlineStr">
        <is>
          <t>2. des Monats</t>
        </is>
      </c>
      <c r="I13" s="75" t="inlineStr">
        <is>
          <t>ooe versicherung;oberösterreichische</t>
        </is>
      </c>
      <c r="J13" s="84">
        <f>IF($A13="","",-SUMIFS(Buchungen!$E:$E,Buchungen!$H:$H,"Fixkosten",Buchungen!$F:$F,$A13,Buchungen!$L:$L,Übersicht!$B$7))</f>
        <v/>
      </c>
      <c r="K13" s="83">
        <f>IF($A13="","",IFERROR(1/(1/_xlfn.MAXIFS(Buchungen!$A:$A,Buchungen!$F:$F,$A13,Buchungen!$H:$H,"Fixkosten")),"–"))</f>
        <v/>
      </c>
      <c r="L13" s="108" t="inlineStr">
        <is>
          <t>Empfängername aus George bitte prüfen</t>
        </is>
      </c>
    </row>
    <row r="14">
      <c r="A14" s="75" t="inlineStr">
        <is>
          <t>Uniqa Krankenversicherung</t>
        </is>
      </c>
      <c r="B14" s="75" t="inlineStr">
        <is>
          <t>Versicherung</t>
        </is>
      </c>
      <c r="C14" s="79" t="n">
        <v>15.95</v>
      </c>
      <c r="D14" s="107" t="n">
        <v>12</v>
      </c>
      <c r="E14" s="84">
        <f>IF(AND(ISNUMBER(C14),ISNUMBER(D14)),C14*D14/12,0)</f>
        <v/>
      </c>
      <c r="F14" s="82" t="n"/>
      <c r="G14" s="84">
        <f>IF($A14="","",IF(OR($F14="",N($F14)&lt;=0),E14,IF($F14&lt;=1,E14*$F14,E14/$F14)))</f>
        <v/>
      </c>
      <c r="H14" s="75" t="inlineStr">
        <is>
          <t>1. des Monats</t>
        </is>
      </c>
      <c r="I14" s="75" t="inlineStr">
        <is>
          <t>uniqa</t>
        </is>
      </c>
      <c r="J14" s="84">
        <f>IF($A14="","",-SUMIFS(Buchungen!$E:$E,Buchungen!$H:$H,"Fixkosten",Buchungen!$F:$F,$A14,Buchungen!$L:$L,Übersicht!$B$7))</f>
        <v/>
      </c>
      <c r="K14" s="83">
        <f>IF($A14="","",IFERROR(1/(1/_xlfn.MAXIFS(Buchungen!$A:$A,Buchungen!$F:$F,$A14,Buchungen!$H:$H,"Fixkosten")),"–"))</f>
        <v/>
      </c>
      <c r="L14" s="108" t="n"/>
    </row>
    <row r="15">
      <c r="A15" s="75" t="inlineStr">
        <is>
          <t>Bereitstellung Kreditkarte</t>
        </is>
      </c>
      <c r="B15" s="75" t="inlineStr">
        <is>
          <t>Bank &amp; Gebühren</t>
        </is>
      </c>
      <c r="C15" s="79" t="n">
        <v>24.75</v>
      </c>
      <c r="D15" s="107" t="n">
        <v>4</v>
      </c>
      <c r="E15" s="84">
        <f>IF(AND(ISNUMBER(C15),ISNUMBER(D15)),C15*D15/12,0)</f>
        <v/>
      </c>
      <c r="F15" s="82" t="n"/>
      <c r="G15" s="84">
        <f>IF($A15="","",IF(OR($F15="",N($F15)&lt;=0),E15,IF($F15&lt;=1,E15*$F15,E15/$F15)))</f>
        <v/>
      </c>
      <c r="H15" s="75" t="inlineStr">
        <is>
          <t>letzten des Monats</t>
        </is>
      </c>
      <c r="I15" s="75" t="inlineStr">
        <is>
          <t>bereitstell</t>
        </is>
      </c>
      <c r="J15" s="84">
        <f>IF($A15="","",-SUMIFS(Buchungen!$E:$E,Buchungen!$H:$H,"Fixkosten",Buchungen!$F:$F,$A15,Buchungen!$L:$L,Übersicht!$B$7))</f>
        <v/>
      </c>
      <c r="K15" s="83">
        <f>IF($A15="","",IFERROR(1/(1/_xlfn.MAXIFS(Buchungen!$A:$A,Buchungen!$F:$F,$A15,Buchungen!$H:$H,"Fixkosten")),"–"))</f>
        <v/>
      </c>
      <c r="L15" s="108" t="inlineStr">
        <is>
          <t>4 x jährlich; Betrag je Zahlung angenommen – bitte prüfen</t>
        </is>
      </c>
    </row>
    <row r="16">
      <c r="A16" s="75" t="inlineStr">
        <is>
          <t>Kostenbeitrag f. Kontoführung</t>
        </is>
      </c>
      <c r="B16" s="75" t="inlineStr">
        <is>
          <t>Bank &amp; Gebühren</t>
        </is>
      </c>
      <c r="C16" s="79" t="n">
        <v>29.86</v>
      </c>
      <c r="D16" s="107" t="n">
        <v>4</v>
      </c>
      <c r="E16" s="84">
        <f>IF(AND(ISNUMBER(C16),ISNUMBER(D16)),C16*D16/12,0)</f>
        <v/>
      </c>
      <c r="F16" s="82" t="n"/>
      <c r="G16" s="84">
        <f>IF($A16="","",IF(OR($F16="",N($F16)&lt;=0),E16,IF($F16&lt;=1,E16*$F16,E16/$F16)))</f>
        <v/>
      </c>
      <c r="H16" s="75" t="inlineStr">
        <is>
          <t>letzten des Monats</t>
        </is>
      </c>
      <c r="I16" s="75" t="inlineStr">
        <is>
          <t>kontoführung</t>
        </is>
      </c>
      <c r="J16" s="84">
        <f>IF($A16="","",-SUMIFS(Buchungen!$E:$E,Buchungen!$H:$H,"Fixkosten",Buchungen!$F:$F,$A16,Buchungen!$L:$L,Übersicht!$B$7))</f>
        <v/>
      </c>
      <c r="K16" s="83">
        <f>IF($A16="","",IFERROR(1/(1/_xlfn.MAXIFS(Buchungen!$A:$A,Buchungen!$F:$F,$A16,Buchungen!$H:$H,"Fixkosten")),"–"))</f>
        <v/>
      </c>
      <c r="L16" s="108" t="inlineStr">
        <is>
          <t>4 x jährlich; Betrag je Zahlung angenommen – bitte prüfen</t>
        </is>
      </c>
    </row>
    <row r="17">
      <c r="A17" s="75" t="inlineStr">
        <is>
          <t>Bergfex Wetter</t>
        </is>
      </c>
      <c r="B17" s="75" t="inlineStr">
        <is>
          <t>Abos &amp; Streaming</t>
        </is>
      </c>
      <c r="C17" s="79" t="n">
        <v>6.99</v>
      </c>
      <c r="D17" s="107" t="n">
        <v>1</v>
      </c>
      <c r="E17" s="84">
        <f>IF(AND(ISNUMBER(C17),ISNUMBER(D17)),C17*D17/12,0)</f>
        <v/>
      </c>
      <c r="F17" s="82" t="n"/>
      <c r="G17" s="84">
        <f>IF($A17="","",IF(OR($F17="",N($F17)&lt;=0),E17,IF($F17&lt;=1,E17*$F17,E17/$F17)))</f>
        <v/>
      </c>
      <c r="H17" s="75" t="inlineStr">
        <is>
          <t>27.</t>
        </is>
      </c>
      <c r="I17" s="75" t="inlineStr">
        <is>
          <t>bergfex;apple.com</t>
        </is>
      </c>
      <c r="J17" s="84">
        <f>IF($A17="","",-SUMIFS(Buchungen!$E:$E,Buchungen!$H:$H,"Fixkosten",Buchungen!$F:$F,$A17,Buchungen!$L:$L,Übersicht!$B$7))</f>
        <v/>
      </c>
      <c r="K17" s="83">
        <f>IF($A17="","",IFERROR(1/(1/_xlfn.MAXIFS(Buchungen!$A:$A,Buchungen!$F:$F,$A17,Buchungen!$H:$H,"Fixkosten")),"–"))</f>
        <v/>
      </c>
      <c r="L17" s="108" t="inlineStr">
        <is>
          <t>jährlich</t>
        </is>
      </c>
    </row>
    <row r="18">
      <c r="A18" s="75" t="inlineStr">
        <is>
          <t>ORF Beitrag</t>
        </is>
      </c>
      <c r="B18" s="75" t="inlineStr">
        <is>
          <t>Abos &amp; Streaming</t>
        </is>
      </c>
      <c r="C18" s="79" t="n">
        <v>40</v>
      </c>
      <c r="D18" s="107" t="n">
        <v>6</v>
      </c>
      <c r="E18" s="84">
        <f>IF(AND(ISNUMBER(C18),ISNUMBER(D18)),C18*D18/12,0)</f>
        <v/>
      </c>
      <c r="F18" s="82" t="n"/>
      <c r="G18" s="84">
        <f>IF($A18="","",IF(OR($F18="",N($F18)&lt;=0),E18,IF($F18&lt;=1,E18*$F18,E18/$F18)))</f>
        <v/>
      </c>
      <c r="H18" s="75" t="inlineStr">
        <is>
          <t>16.</t>
        </is>
      </c>
      <c r="I18" s="75" t="inlineStr">
        <is>
          <t>orf;gis</t>
        </is>
      </c>
      <c r="J18" s="84">
        <f>IF($A18="","",-SUMIFS(Buchungen!$E:$E,Buchungen!$H:$H,"Fixkosten",Buchungen!$F:$F,$A18,Buchungen!$L:$L,Übersicht!$B$7))</f>
        <v/>
      </c>
      <c r="K18" s="83">
        <f>IF($A18="","",IFERROR(1/(1/_xlfn.MAXIFS(Buchungen!$A:$A,Buchungen!$F:$F,$A18,Buchungen!$H:$H,"Fixkosten")),"–"))</f>
        <v/>
      </c>
      <c r="L18" s="108" t="inlineStr">
        <is>
          <t>alle 2 Monate</t>
        </is>
      </c>
    </row>
    <row r="19">
      <c r="A19" s="75" t="inlineStr">
        <is>
          <t>T-Mobile</t>
        </is>
      </c>
      <c r="B19" s="75" t="inlineStr">
        <is>
          <t>Handy &amp; Internet</t>
        </is>
      </c>
      <c r="C19" s="79" t="n">
        <v>27.32</v>
      </c>
      <c r="D19" s="107" t="n">
        <v>12</v>
      </c>
      <c r="E19" s="84">
        <f>IF(AND(ISNUMBER(C19),ISNUMBER(D19)),C19*D19/12,0)</f>
        <v/>
      </c>
      <c r="F19" s="82" t="n"/>
      <c r="G19" s="84">
        <f>IF($A19="","",IF(OR($F19="",N($F19)&lt;=0),E19,IF($F19&lt;=1,E19*$F19,E19/$F19)))</f>
        <v/>
      </c>
      <c r="H19" s="75" t="inlineStr">
        <is>
          <t>14.</t>
        </is>
      </c>
      <c r="I19" s="75" t="inlineStr">
        <is>
          <t>t-mobile;magenta</t>
        </is>
      </c>
      <c r="J19" s="84">
        <f>IF($A19="","",-SUMIFS(Buchungen!$E:$E,Buchungen!$H:$H,"Fixkosten",Buchungen!$F:$F,$A19,Buchungen!$L:$L,Übersicht!$B$7))</f>
        <v/>
      </c>
      <c r="K19" s="83">
        <f>IF($A19="","",IFERROR(1/(1/_xlfn.MAXIFS(Buchungen!$A:$A,Buchungen!$F:$F,$A19,Buchungen!$H:$H,"Fixkosten")),"–"))</f>
        <v/>
      </c>
      <c r="L19" s="108" t="n"/>
    </row>
    <row r="20">
      <c r="A20" s="75" t="inlineStr">
        <is>
          <t>Apple</t>
        </is>
      </c>
      <c r="B20" s="75" t="inlineStr">
        <is>
          <t>Abos &amp; Streaming</t>
        </is>
      </c>
      <c r="C20" s="79" t="n">
        <v>9.19</v>
      </c>
      <c r="D20" s="107" t="n">
        <v>12</v>
      </c>
      <c r="E20" s="84">
        <f>IF(AND(ISNUMBER(C20),ISNUMBER(D20)),C20*D20/12,0)</f>
        <v/>
      </c>
      <c r="F20" s="82" t="n"/>
      <c r="G20" s="84">
        <f>IF($A20="","",IF(OR($F20="",N($F20)&lt;=0),E20,IF($F20&lt;=1,E20*$F20,E20/$F20)))</f>
        <v/>
      </c>
      <c r="H20" s="75" t="inlineStr">
        <is>
          <t>10.</t>
        </is>
      </c>
      <c r="I20" s="75" t="inlineStr">
        <is>
          <t>apple.com;apple</t>
        </is>
      </c>
      <c r="J20" s="84">
        <f>IF($A20="","",-SUMIFS(Buchungen!$E:$E,Buchungen!$H:$H,"Fixkosten",Buchungen!$F:$F,$A20,Buchungen!$L:$L,Übersicht!$B$7))</f>
        <v/>
      </c>
      <c r="K20" s="83">
        <f>IF($A20="","",IFERROR(1/(1/_xlfn.MAXIFS(Buchungen!$A:$A,Buchungen!$F:$F,$A20,Buchungen!$H:$H,"Fixkosten")),"–"))</f>
        <v/>
      </c>
      <c r="L20" s="108" t="n"/>
    </row>
    <row r="21">
      <c r="A21" s="75" t="inlineStr">
        <is>
          <t>Bausparer</t>
        </is>
      </c>
      <c r="B21" s="75" t="inlineStr">
        <is>
          <t>Sparen</t>
        </is>
      </c>
      <c r="C21" s="79" t="n">
        <v>100</v>
      </c>
      <c r="D21" s="107" t="n">
        <v>12</v>
      </c>
      <c r="E21" s="84">
        <f>IF(AND(ISNUMBER(C21),ISNUMBER(D21)),C21*D21/12,0)</f>
        <v/>
      </c>
      <c r="F21" s="82" t="n"/>
      <c r="G21" s="84">
        <f>IF($A21="","",IF(OR($F21="",N($F21)&lt;=0),E21,IF($F21&lt;=1,E21*$F21,E21/$F21)))</f>
        <v/>
      </c>
      <c r="H21" s="75" t="inlineStr">
        <is>
          <t>5.</t>
        </is>
      </c>
      <c r="I21" s="75" t="inlineStr">
        <is>
          <t>bauspar</t>
        </is>
      </c>
      <c r="J21" s="84">
        <f>IF($A21="","",-SUMIFS(Buchungen!$E:$E,Buchungen!$H:$H,"Fixkosten",Buchungen!$F:$F,$A21,Buchungen!$L:$L,Übersicht!$B$7))</f>
        <v/>
      </c>
      <c r="K21" s="83">
        <f>IF($A21="","",IFERROR(1/(1/_xlfn.MAXIFS(Buchungen!$A:$A,Buchungen!$F:$F,$A21,Buchungen!$H:$H,"Fixkosten")),"–"))</f>
        <v/>
      </c>
      <c r="L21" s="108" t="inlineStr">
        <is>
          <t>zählt als Sparen, wird in der Summe getrennt ausgewiesen</t>
        </is>
      </c>
    </row>
    <row r="22">
      <c r="A22" s="75" t="inlineStr">
        <is>
          <t>BK Wohnung</t>
        </is>
      </c>
      <c r="B22" s="75" t="inlineStr">
        <is>
          <t>Wohnen</t>
        </is>
      </c>
      <c r="C22" s="79" t="n">
        <v>307.75</v>
      </c>
      <c r="D22" s="107" t="n">
        <v>12</v>
      </c>
      <c r="E22" s="84">
        <f>IF(AND(ISNUMBER(C22),ISNUMBER(D22)),C22*D22/12,0)</f>
        <v/>
      </c>
      <c r="F22" s="82" t="n">
        <v>2</v>
      </c>
      <c r="G22" s="84">
        <f>IF($A22="","",IF(OR($F22="",N($F22)&lt;=0),E22,IF($F22&lt;=1,E22*$F22,E22/$F22)))</f>
        <v/>
      </c>
      <c r="H22" s="75" t="inlineStr">
        <is>
          <t>noch kein Dauerauftrag</t>
        </is>
      </c>
      <c r="I22" s="75" t="n"/>
      <c r="J22" s="84">
        <f>IF($A22="","",-SUMIFS(Buchungen!$E:$E,Buchungen!$H:$H,"Fixkosten",Buchungen!$F:$F,$A22,Buchungen!$L:$L,Übersicht!$B$7))</f>
        <v/>
      </c>
      <c r="K22" s="83">
        <f>IF($A22="","",IFERROR(1/(1/_xlfn.MAXIFS(Buchungen!$A:$A,Buchungen!$F:$F,$A22,Buchungen!$H:$H,"Fixkosten")),"–"))</f>
        <v/>
      </c>
      <c r="L22" s="108" t="inlineStr">
        <is>
          <t>Suchbegriff = Empfängername aus George eintragen</t>
        </is>
      </c>
    </row>
    <row r="23">
      <c r="A23" s="75" t="inlineStr">
        <is>
          <t>Audible</t>
        </is>
      </c>
      <c r="B23" s="75" t="inlineStr">
        <is>
          <t>Abos &amp; Streaming</t>
        </is>
      </c>
      <c r="C23" s="79" t="n">
        <v>10.99</v>
      </c>
      <c r="D23" s="107" t="n">
        <v>12</v>
      </c>
      <c r="E23" s="84">
        <f>IF(AND(ISNUMBER(C23),ISNUMBER(D23)),C23*D23/12,0)</f>
        <v/>
      </c>
      <c r="F23" s="82" t="n"/>
      <c r="G23" s="84">
        <f>IF($A23="","",IF(OR($F23="",N($F23)&lt;=0),E23,IF($F23&lt;=1,E23*$F23,E23/$F23)))</f>
        <v/>
      </c>
      <c r="H23" s="75" t="inlineStr">
        <is>
          <t>3.</t>
        </is>
      </c>
      <c r="I23" s="75" t="inlineStr">
        <is>
          <t>audible;apple.com</t>
        </is>
      </c>
      <c r="J23" s="84">
        <f>IF($A23="","",-SUMIFS(Buchungen!$E:$E,Buchungen!$H:$H,"Fixkosten",Buchungen!$F:$F,$A23,Buchungen!$L:$L,Übersicht!$B$7))</f>
        <v/>
      </c>
      <c r="K23" s="83">
        <f>IF($A23="","",IFERROR(1/(1/_xlfn.MAXIFS(Buchungen!$A:$A,Buchungen!$F:$F,$A23,Buchungen!$H:$H,"Fixkosten")),"–"))</f>
        <v/>
      </c>
      <c r="L23" s="108" t="n"/>
    </row>
    <row r="24">
      <c r="A24" s="75" t="inlineStr">
        <is>
          <t>Zürich Rechtschutzversicherung</t>
        </is>
      </c>
      <c r="B24" s="75" t="inlineStr">
        <is>
          <t>Versicherung</t>
        </is>
      </c>
      <c r="C24" s="79" t="n">
        <v>17.53</v>
      </c>
      <c r="D24" s="107" t="n">
        <v>12</v>
      </c>
      <c r="E24" s="84">
        <f>IF(AND(ISNUMBER(C24),ISNUMBER(D24)),C24*D24/12,0)</f>
        <v/>
      </c>
      <c r="F24" s="82" t="n"/>
      <c r="G24" s="84">
        <f>IF($A24="","",IF(OR($F24="",N($F24)&lt;=0),E24,IF($F24&lt;=1,E24*$F24,E24/$F24)))</f>
        <v/>
      </c>
      <c r="H24" s="75" t="inlineStr">
        <is>
          <t>3.</t>
        </is>
      </c>
      <c r="I24" s="75" t="inlineStr">
        <is>
          <t>zurich;zürich</t>
        </is>
      </c>
      <c r="J24" s="84">
        <f>IF($A24="","",-SUMIFS(Buchungen!$E:$E,Buchungen!$H:$H,"Fixkosten",Buchungen!$F:$F,$A24,Buchungen!$L:$L,Übersicht!$B$7))</f>
        <v/>
      </c>
      <c r="K24" s="83">
        <f>IF($A24="","",IFERROR(1/(1/_xlfn.MAXIFS(Buchungen!$A:$A,Buchungen!$F:$F,$A24,Buchungen!$H:$H,"Fixkosten")),"–"))</f>
        <v/>
      </c>
      <c r="L24" s="108" t="n"/>
    </row>
    <row r="25">
      <c r="A25" s="75" t="inlineStr">
        <is>
          <t>Amazon Prime</t>
        </is>
      </c>
      <c r="B25" s="75" t="inlineStr">
        <is>
          <t>Abos &amp; Streaming</t>
        </is>
      </c>
      <c r="C25" s="79" t="n">
        <v>89.90000000000001</v>
      </c>
      <c r="D25" s="107" t="n">
        <v>1</v>
      </c>
      <c r="E25" s="84">
        <f>IF(AND(ISNUMBER(C25),ISNUMBER(D25)),C25*D25/12,0)</f>
        <v/>
      </c>
      <c r="F25" s="82" t="n">
        <v>2</v>
      </c>
      <c r="G25" s="84">
        <f>IF($A25="","",IF(OR($F25="",N($F25)&lt;=0),E25,IF($F25&lt;=1,E25*$F25,E25/$F25)))</f>
        <v/>
      </c>
      <c r="H25" s="75" t="n"/>
      <c r="I25" s="75" t="inlineStr">
        <is>
          <t>amazon prime;prime</t>
        </is>
      </c>
      <c r="J25" s="84">
        <f>IF($A25="","",-SUMIFS(Buchungen!$E:$E,Buchungen!$H:$H,"Fixkosten",Buchungen!$F:$F,$A25,Buchungen!$L:$L,Übersicht!$B$7))</f>
        <v/>
      </c>
      <c r="K25" s="83">
        <f>IF($A25="","",IFERROR(1/(1/_xlfn.MAXIFS(Buchungen!$A:$A,Buchungen!$F:$F,$A25,Buchungen!$H:$H,"Fixkosten")),"–"))</f>
        <v/>
      </c>
      <c r="L25" s="108" t="inlineStr">
        <is>
          <t>jährlich</t>
        </is>
      </c>
    </row>
    <row r="26">
      <c r="A26" s="75" t="inlineStr">
        <is>
          <t>Joyn</t>
        </is>
      </c>
      <c r="B26" s="75" t="inlineStr">
        <is>
          <t>Abos &amp; Streaming</t>
        </is>
      </c>
      <c r="C26" s="79" t="n">
        <v>6.99</v>
      </c>
      <c r="D26" s="107" t="n">
        <v>12</v>
      </c>
      <c r="E26" s="84">
        <f>IF(AND(ISNUMBER(C26),ISNUMBER(D26)),C26*D26/12,0)</f>
        <v/>
      </c>
      <c r="F26" s="82" t="n">
        <v>2</v>
      </c>
      <c r="G26" s="84">
        <f>IF($A26="","",IF(OR($F26="",N($F26)&lt;=0),E26,IF($F26&lt;=1,E26*$F26,E26/$F26)))</f>
        <v/>
      </c>
      <c r="H26" s="75" t="inlineStr">
        <is>
          <t>2.</t>
        </is>
      </c>
      <c r="I26" s="75" t="inlineStr">
        <is>
          <t>joyn</t>
        </is>
      </c>
      <c r="J26" s="84">
        <f>IF($A26="","",-SUMIFS(Buchungen!$E:$E,Buchungen!$H:$H,"Fixkosten",Buchungen!$F:$F,$A26,Buchungen!$L:$L,Übersicht!$B$7))</f>
        <v/>
      </c>
      <c r="K26" s="83">
        <f>IF($A26="","",IFERROR(1/(1/_xlfn.MAXIFS(Buchungen!$A:$A,Buchungen!$F:$F,$A26,Buchungen!$H:$H,"Fixkosten")),"–"))</f>
        <v/>
      </c>
      <c r="L26" s="108" t="n"/>
    </row>
    <row r="27">
      <c r="A27" s="75" t="inlineStr">
        <is>
          <t>Spotify</t>
        </is>
      </c>
      <c r="B27" s="75" t="inlineStr">
        <is>
          <t>Abos &amp; Streaming</t>
        </is>
      </c>
      <c r="C27" s="79" t="n">
        <v>20.99</v>
      </c>
      <c r="D27" s="107" t="n">
        <v>12</v>
      </c>
      <c r="E27" s="84">
        <f>IF(AND(ISNUMBER(C27),ISNUMBER(D27)),C27*D27/12,0)</f>
        <v/>
      </c>
      <c r="F27" s="82" t="n">
        <v>5</v>
      </c>
      <c r="G27" s="84">
        <f>IF($A27="","",IF(OR($F27="",N($F27)&lt;=0),E27,IF($F27&lt;=1,E27*$F27,E27/$F27)))</f>
        <v/>
      </c>
      <c r="H27" s="75" t="inlineStr">
        <is>
          <t>28.</t>
        </is>
      </c>
      <c r="I27" s="75" t="inlineStr">
        <is>
          <t>spotify</t>
        </is>
      </c>
      <c r="J27" s="84">
        <f>IF($A27="","",-SUMIFS(Buchungen!$E:$E,Buchungen!$H:$H,"Fixkosten",Buchungen!$F:$F,$A27,Buchungen!$L:$L,Übersicht!$B$7))</f>
        <v/>
      </c>
      <c r="K27" s="83">
        <f>IF($A27="","",IFERROR(1/(1/_xlfn.MAXIFS(Buchungen!$A:$A,Buchungen!$F:$F,$A27,Buchungen!$H:$H,"Fixkosten")),"–"))</f>
        <v/>
      </c>
      <c r="L27" s="108" t="inlineStr">
        <is>
          <t>Familien-Abo mit 5 Personen; Rückzahlungen der anderen kommen als Einnahme herein</t>
        </is>
      </c>
    </row>
    <row r="28">
      <c r="A28" s="75" t="inlineStr">
        <is>
          <t>Netflix</t>
        </is>
      </c>
      <c r="B28" s="75" t="inlineStr">
        <is>
          <t>Abos &amp; Streaming</t>
        </is>
      </c>
      <c r="C28" s="79" t="n">
        <v>8.99</v>
      </c>
      <c r="D28" s="107" t="n">
        <v>12</v>
      </c>
      <c r="E28" s="84">
        <f>IF(AND(ISNUMBER(C28),ISNUMBER(D28)),C28*D28/12,0)</f>
        <v/>
      </c>
      <c r="F28" s="82" t="n">
        <v>2</v>
      </c>
      <c r="G28" s="84">
        <f>IF($A28="","",IF(OR($F28="",N($F28)&lt;=0),E28,IF($F28&lt;=1,E28*$F28,E28/$F28)))</f>
        <v/>
      </c>
      <c r="H28" s="75" t="inlineStr">
        <is>
          <t>28.</t>
        </is>
      </c>
      <c r="I28" s="75" t="inlineStr">
        <is>
          <t>netflix</t>
        </is>
      </c>
      <c r="J28" s="84">
        <f>IF($A28="","",-SUMIFS(Buchungen!$E:$E,Buchungen!$H:$H,"Fixkosten",Buchungen!$F:$F,$A28,Buchungen!$L:$L,Übersicht!$B$7))</f>
        <v/>
      </c>
      <c r="K28" s="83">
        <f>IF($A28="","",IFERROR(1/(1/_xlfn.MAXIFS(Buchungen!$A:$A,Buchungen!$F:$F,$A28,Buchungen!$H:$H,"Fixkosten")),"–"))</f>
        <v/>
      </c>
      <c r="L28" s="108" t="n"/>
    </row>
    <row r="29">
      <c r="A29" s="75" t="inlineStr">
        <is>
          <t>Bergfex Wandern</t>
        </is>
      </c>
      <c r="B29" s="75" t="inlineStr">
        <is>
          <t>Abos &amp; Streaming</t>
        </is>
      </c>
      <c r="C29" s="79" t="n">
        <v>35.99</v>
      </c>
      <c r="D29" s="107" t="n">
        <v>1</v>
      </c>
      <c r="E29" s="84">
        <f>IF(AND(ISNUMBER(C29),ISNUMBER(D29)),C29*D29/12,0)</f>
        <v/>
      </c>
      <c r="F29" s="82" t="n"/>
      <c r="G29" s="84">
        <f>IF($A29="","",IF(OR($F29="",N($F29)&lt;=0),E29,IF($F29&lt;=1,E29*$F29,E29/$F29)))</f>
        <v/>
      </c>
      <c r="H29" s="75" t="inlineStr">
        <is>
          <t>23.</t>
        </is>
      </c>
      <c r="I29" s="75" t="inlineStr">
        <is>
          <t>bergfex;apple.com</t>
        </is>
      </c>
      <c r="J29" s="84">
        <f>IF($A29="","",-SUMIFS(Buchungen!$E:$E,Buchungen!$H:$H,"Fixkosten",Buchungen!$F:$F,$A29,Buchungen!$L:$L,Übersicht!$B$7))</f>
        <v/>
      </c>
      <c r="K29" s="83">
        <f>IF($A29="","",IFERROR(1/(1/_xlfn.MAXIFS(Buchungen!$A:$A,Buchungen!$F:$F,$A29,Buchungen!$H:$H,"Fixkosten")),"–"))</f>
        <v/>
      </c>
      <c r="L29" s="108" t="inlineStr">
        <is>
          <t>jährlich</t>
        </is>
      </c>
    </row>
    <row r="30">
      <c r="A30" s="75" t="inlineStr">
        <is>
          <t>DropBox</t>
        </is>
      </c>
      <c r="B30" s="75" t="inlineStr">
        <is>
          <t>Abos &amp; Streaming</t>
        </is>
      </c>
      <c r="C30" s="79" t="n">
        <v>11.99</v>
      </c>
      <c r="D30" s="107" t="n">
        <v>12</v>
      </c>
      <c r="E30" s="84">
        <f>IF(AND(ISNUMBER(C30),ISNUMBER(D30)),C30*D30/12,0)</f>
        <v/>
      </c>
      <c r="F30" s="82" t="n"/>
      <c r="G30" s="84">
        <f>IF($A30="","",IF(OR($F30="",N($F30)&lt;=0),E30,IF($F30&lt;=1,E30*$F30,E30/$F30)))</f>
        <v/>
      </c>
      <c r="H30" s="75" t="inlineStr">
        <is>
          <t>18.</t>
        </is>
      </c>
      <c r="I30" s="75" t="inlineStr">
        <is>
          <t>dropbox</t>
        </is>
      </c>
      <c r="J30" s="84">
        <f>IF($A30="","",-SUMIFS(Buchungen!$E:$E,Buchungen!$H:$H,"Fixkosten",Buchungen!$F:$F,$A30,Buchungen!$L:$L,Übersicht!$B$7))</f>
        <v/>
      </c>
      <c r="K30" s="83">
        <f>IF($A30="","",IFERROR(1/(1/_xlfn.MAXIFS(Buchungen!$A:$A,Buchungen!$F:$F,$A30,Buchungen!$H:$H,"Fixkosten")),"–"))</f>
        <v/>
      </c>
      <c r="L30" s="108" t="n"/>
    </row>
    <row r="31">
      <c r="A31" s="75" t="inlineStr">
        <is>
          <t>Flo Periode</t>
        </is>
      </c>
      <c r="B31" s="75" t="inlineStr">
        <is>
          <t>Abos &amp; Streaming</t>
        </is>
      </c>
      <c r="C31" s="79" t="n">
        <v>9.99</v>
      </c>
      <c r="D31" s="107" t="n">
        <v>2</v>
      </c>
      <c r="E31" s="84">
        <f>IF(AND(ISNUMBER(C31),ISNUMBER(D31)),C31*D31/12,0)</f>
        <v/>
      </c>
      <c r="F31" s="82" t="n"/>
      <c r="G31" s="84">
        <f>IF($A31="","",IF(OR($F31="",N($F31)&lt;=0),E31,IF($F31&lt;=1,E31*$F31,E31/$F31)))</f>
        <v/>
      </c>
      <c r="H31" s="75" t="inlineStr">
        <is>
          <t>18.</t>
        </is>
      </c>
      <c r="I31" s="75" t="inlineStr">
        <is>
          <t>flo</t>
        </is>
      </c>
      <c r="J31" s="84">
        <f>IF($A31="","",-SUMIFS(Buchungen!$E:$E,Buchungen!$H:$H,"Fixkosten",Buchungen!$F:$F,$A31,Buchungen!$L:$L,Übersicht!$B$7))</f>
        <v/>
      </c>
      <c r="K31" s="83">
        <f>IF($A31="","",IFERROR(1/(1/_xlfn.MAXIFS(Buchungen!$A:$A,Buchungen!$F:$F,$A31,Buchungen!$H:$H,"Fixkosten")),"–"))</f>
        <v/>
      </c>
      <c r="L31" s="108" t="inlineStr">
        <is>
          <t>2 x jährlich – bitte prüfen</t>
        </is>
      </c>
    </row>
    <row r="32">
      <c r="A32" s="75" t="n"/>
      <c r="B32" s="75" t="n"/>
      <c r="C32" s="79" t="n"/>
      <c r="D32" s="107" t="n"/>
      <c r="E32" s="84">
        <f>IF(AND(ISNUMBER(C32),ISNUMBER(D32)),C32*D32/12,0)</f>
        <v/>
      </c>
      <c r="F32" s="82" t="n"/>
      <c r="G32" s="84">
        <f>IF($A32="","",IF(OR($F32="",N($F32)&lt;=0),E32,IF($F32&lt;=1,E32*$F32,E32/$F32)))</f>
        <v/>
      </c>
      <c r="H32" s="75" t="n"/>
      <c r="I32" s="75" t="n"/>
      <c r="J32" s="84">
        <f>IF($A32="","",-SUMIFS(Buchungen!$E:$E,Buchungen!$H:$H,"Fixkosten",Buchungen!$F:$F,$A32,Buchungen!$L:$L,Übersicht!$B$7))</f>
        <v/>
      </c>
      <c r="K32" s="83">
        <f>IF($A32="","",IFERROR(1/(1/_xlfn.MAXIFS(Buchungen!$A:$A,Buchungen!$F:$F,$A32,Buchungen!$H:$H,"Fixkosten")),"–"))</f>
        <v/>
      </c>
      <c r="L32" s="108" t="n"/>
    </row>
    <row r="33">
      <c r="A33" s="75" t="n"/>
      <c r="B33" s="75" t="n"/>
      <c r="C33" s="79" t="n"/>
      <c r="D33" s="107" t="n"/>
      <c r="E33" s="84">
        <f>IF(AND(ISNUMBER(C33),ISNUMBER(D33)),C33*D33/12,0)</f>
        <v/>
      </c>
      <c r="F33" s="82" t="n"/>
      <c r="G33" s="84">
        <f>IF($A33="","",IF(OR($F33="",N($F33)&lt;=0),E33,IF($F33&lt;=1,E33*$F33,E33/$F33)))</f>
        <v/>
      </c>
      <c r="H33" s="75" t="n"/>
      <c r="I33" s="75" t="n"/>
      <c r="J33" s="84">
        <f>IF($A33="","",-SUMIFS(Buchungen!$E:$E,Buchungen!$H:$H,"Fixkosten",Buchungen!$F:$F,$A33,Buchungen!$L:$L,Übersicht!$B$7))</f>
        <v/>
      </c>
      <c r="K33" s="83">
        <f>IF($A33="","",IFERROR(1/(1/_xlfn.MAXIFS(Buchungen!$A:$A,Buchungen!$F:$F,$A33,Buchungen!$H:$H,"Fixkosten")),"–"))</f>
        <v/>
      </c>
      <c r="L33" s="108" t="n"/>
    </row>
    <row r="34">
      <c r="A34" s="75" t="n"/>
      <c r="B34" s="75" t="n"/>
      <c r="C34" s="79" t="n"/>
      <c r="D34" s="107" t="n"/>
      <c r="E34" s="84">
        <f>IF(AND(ISNUMBER(C34),ISNUMBER(D34)),C34*D34/12,0)</f>
        <v/>
      </c>
      <c r="F34" s="82" t="n"/>
      <c r="G34" s="84">
        <f>IF($A34="","",IF(OR($F34="",N($F34)&lt;=0),E34,IF($F34&lt;=1,E34*$F34,E34/$F34)))</f>
        <v/>
      </c>
      <c r="H34" s="75" t="n"/>
      <c r="I34" s="75" t="n"/>
      <c r="J34" s="84">
        <f>IF($A34="","",-SUMIFS(Buchungen!$E:$E,Buchungen!$H:$H,"Fixkosten",Buchungen!$F:$F,$A34,Buchungen!$L:$L,Übersicht!$B$7))</f>
        <v/>
      </c>
      <c r="K34" s="83">
        <f>IF($A34="","",IFERROR(1/(1/_xlfn.MAXIFS(Buchungen!$A:$A,Buchungen!$F:$F,$A34,Buchungen!$H:$H,"Fixkosten")),"–"))</f>
        <v/>
      </c>
      <c r="L34" s="108" t="n"/>
    </row>
    <row r="35">
      <c r="A35" s="75" t="n"/>
      <c r="B35" s="75" t="n"/>
      <c r="C35" s="79" t="n"/>
      <c r="D35" s="107" t="n"/>
      <c r="E35" s="84">
        <f>IF(AND(ISNUMBER(C35),ISNUMBER(D35)),C35*D35/12,0)</f>
        <v/>
      </c>
      <c r="F35" s="82" t="n"/>
      <c r="G35" s="84">
        <f>IF($A35="","",IF(OR($F35="",N($F35)&lt;=0),E35,IF($F35&lt;=1,E35*$F35,E35/$F35)))</f>
        <v/>
      </c>
      <c r="H35" s="75" t="n"/>
      <c r="I35" s="75" t="n"/>
      <c r="J35" s="84">
        <f>IF($A35="","",-SUMIFS(Buchungen!$E:$E,Buchungen!$H:$H,"Fixkosten",Buchungen!$F:$F,$A35,Buchungen!$L:$L,Übersicht!$B$7))</f>
        <v/>
      </c>
      <c r="K35" s="83">
        <f>IF($A35="","",IFERROR(1/(1/_xlfn.MAXIFS(Buchungen!$A:$A,Buchungen!$F:$F,$A35,Buchungen!$H:$H,"Fixkosten")),"–"))</f>
        <v/>
      </c>
      <c r="L35" s="108" t="n"/>
    </row>
    <row r="36">
      <c r="A36" s="75" t="n"/>
      <c r="B36" s="75" t="n"/>
      <c r="C36" s="79" t="n"/>
      <c r="D36" s="107" t="n"/>
      <c r="E36" s="84">
        <f>IF(AND(ISNUMBER(C36),ISNUMBER(D36)),C36*D36/12,0)</f>
        <v/>
      </c>
      <c r="F36" s="82" t="n"/>
      <c r="G36" s="84">
        <f>IF($A36="","",IF(OR($F36="",N($F36)&lt;=0),E36,IF($F36&lt;=1,E36*$F36,E36/$F36)))</f>
        <v/>
      </c>
      <c r="H36" s="75" t="n"/>
      <c r="I36" s="75" t="n"/>
      <c r="J36" s="84">
        <f>IF($A36="","",-SUMIFS(Buchungen!$E:$E,Buchungen!$H:$H,"Fixkosten",Buchungen!$F:$F,$A36,Buchungen!$L:$L,Übersicht!$B$7))</f>
        <v/>
      </c>
      <c r="K36" s="83">
        <f>IF($A36="","",IFERROR(1/(1/_xlfn.MAXIFS(Buchungen!$A:$A,Buchungen!$F:$F,$A36,Buchungen!$H:$H,"Fixkosten")),"–"))</f>
        <v/>
      </c>
      <c r="L36" s="108" t="n"/>
    </row>
    <row r="37">
      <c r="A37" s="75" t="n"/>
      <c r="B37" s="75" t="n"/>
      <c r="C37" s="79" t="n"/>
      <c r="D37" s="107" t="n"/>
      <c r="E37" s="84">
        <f>IF(AND(ISNUMBER(C37),ISNUMBER(D37)),C37*D37/12,0)</f>
        <v/>
      </c>
      <c r="F37" s="82" t="n"/>
      <c r="G37" s="84">
        <f>IF($A37="","",IF(OR($F37="",N($F37)&lt;=0),E37,IF($F37&lt;=1,E37*$F37,E37/$F37)))</f>
        <v/>
      </c>
      <c r="H37" s="75" t="n"/>
      <c r="I37" s="75" t="n"/>
      <c r="J37" s="84">
        <f>IF($A37="","",-SUMIFS(Buchungen!$E:$E,Buchungen!$H:$H,"Fixkosten",Buchungen!$F:$F,$A37,Buchungen!$L:$L,Übersicht!$B$7))</f>
        <v/>
      </c>
      <c r="K37" s="83">
        <f>IF($A37="","",IFERROR(1/(1/_xlfn.MAXIFS(Buchungen!$A:$A,Buchungen!$F:$F,$A37,Buchungen!$H:$H,"Fixkosten")),"–"))</f>
        <v/>
      </c>
      <c r="L37" s="108" t="n"/>
    </row>
    <row r="38">
      <c r="A38" s="75" t="n"/>
      <c r="B38" s="75" t="n"/>
      <c r="C38" s="79" t="n"/>
      <c r="D38" s="107" t="n"/>
      <c r="E38" s="84">
        <f>IF(AND(ISNUMBER(C38),ISNUMBER(D38)),C38*D38/12,0)</f>
        <v/>
      </c>
      <c r="F38" s="82" t="n"/>
      <c r="G38" s="84">
        <f>IF($A38="","",IF(OR($F38="",N($F38)&lt;=0),E38,IF($F38&lt;=1,E38*$F38,E38/$F38)))</f>
        <v/>
      </c>
      <c r="H38" s="75" t="n"/>
      <c r="I38" s="75" t="n"/>
      <c r="J38" s="84">
        <f>IF($A38="","",-SUMIFS(Buchungen!$E:$E,Buchungen!$H:$H,"Fixkosten",Buchungen!$F:$F,$A38,Buchungen!$L:$L,Übersicht!$B$7))</f>
        <v/>
      </c>
      <c r="K38" s="83">
        <f>IF($A38="","",IFERROR(1/(1/_xlfn.MAXIFS(Buchungen!$A:$A,Buchungen!$F:$F,$A38,Buchungen!$H:$H,"Fixkosten")),"–"))</f>
        <v/>
      </c>
      <c r="L38" s="108" t="n"/>
    </row>
    <row r="39">
      <c r="A39" s="75" t="n"/>
      <c r="B39" s="75" t="n"/>
      <c r="C39" s="79" t="n"/>
      <c r="D39" s="107" t="n"/>
      <c r="E39" s="84">
        <f>IF(AND(ISNUMBER(C39),ISNUMBER(D39)),C39*D39/12,0)</f>
        <v/>
      </c>
      <c r="F39" s="82" t="n"/>
      <c r="G39" s="84">
        <f>IF($A39="","",IF(OR($F39="",N($F39)&lt;=0),E39,IF($F39&lt;=1,E39*$F39,E39/$F39)))</f>
        <v/>
      </c>
      <c r="H39" s="75" t="n"/>
      <c r="I39" s="75" t="n"/>
      <c r="J39" s="84">
        <f>IF($A39="","",-SUMIFS(Buchungen!$E:$E,Buchungen!$H:$H,"Fixkosten",Buchungen!$F:$F,$A39,Buchungen!$L:$L,Übersicht!$B$7))</f>
        <v/>
      </c>
      <c r="K39" s="83">
        <f>IF($A39="","",IFERROR(1/(1/_xlfn.MAXIFS(Buchungen!$A:$A,Buchungen!$F:$F,$A39,Buchungen!$H:$H,"Fixkosten")),"–"))</f>
        <v/>
      </c>
      <c r="L39" s="108" t="n"/>
    </row>
    <row r="40">
      <c r="A40" s="75" t="n"/>
      <c r="B40" s="75" t="n"/>
      <c r="C40" s="79" t="n"/>
      <c r="D40" s="107" t="n"/>
      <c r="E40" s="84">
        <f>IF(AND(ISNUMBER(C40),ISNUMBER(D40)),C40*D40/12,0)</f>
        <v/>
      </c>
      <c r="F40" s="82" t="n"/>
      <c r="G40" s="84">
        <f>IF($A40="","",IF(OR($F40="",N($F40)&lt;=0),E40,IF($F40&lt;=1,E40*$F40,E40/$F40)))</f>
        <v/>
      </c>
      <c r="H40" s="75" t="n"/>
      <c r="I40" s="75" t="n"/>
      <c r="J40" s="84">
        <f>IF($A40="","",-SUMIFS(Buchungen!$E:$E,Buchungen!$H:$H,"Fixkosten",Buchungen!$F:$F,$A40,Buchungen!$L:$L,Übersicht!$B$7))</f>
        <v/>
      </c>
      <c r="K40" s="83">
        <f>IF($A40="","",IFERROR(1/(1/_xlfn.MAXIFS(Buchungen!$A:$A,Buchungen!$F:$F,$A40,Buchungen!$H:$H,"Fixkosten")),"–"))</f>
        <v/>
      </c>
      <c r="L40" s="108" t="n"/>
    </row>
    <row r="41">
      <c r="A41" s="75" t="n"/>
      <c r="B41" s="75" t="n"/>
      <c r="C41" s="79" t="n"/>
      <c r="D41" s="107" t="n"/>
      <c r="E41" s="84">
        <f>IF(AND(ISNUMBER(C41),ISNUMBER(D41)),C41*D41/12,0)</f>
        <v/>
      </c>
      <c r="F41" s="82" t="n"/>
      <c r="G41" s="84">
        <f>IF($A41="","",IF(OR($F41="",N($F41)&lt;=0),E41,IF($F41&lt;=1,E41*$F41,E41/$F41)))</f>
        <v/>
      </c>
      <c r="H41" s="75" t="n"/>
      <c r="I41" s="75" t="n"/>
      <c r="J41" s="84">
        <f>IF($A41="","",-SUMIFS(Buchungen!$E:$E,Buchungen!$H:$H,"Fixkosten",Buchungen!$F:$F,$A41,Buchungen!$L:$L,Übersicht!$B$7))</f>
        <v/>
      </c>
      <c r="K41" s="83">
        <f>IF($A41="","",IFERROR(1/(1/_xlfn.MAXIFS(Buchungen!$A:$A,Buchungen!$F:$F,$A41,Buchungen!$H:$H,"Fixkosten")),"–"))</f>
        <v/>
      </c>
      <c r="L41" s="108" t="n"/>
    </row>
    <row r="42">
      <c r="A42" s="75" t="n"/>
      <c r="B42" s="75" t="n"/>
      <c r="C42" s="79" t="n"/>
      <c r="D42" s="107" t="n"/>
      <c r="E42" s="84">
        <f>IF(AND(ISNUMBER(C42),ISNUMBER(D42)),C42*D42/12,0)</f>
        <v/>
      </c>
      <c r="F42" s="82" t="n"/>
      <c r="G42" s="84">
        <f>IF($A42="","",IF(OR($F42="",N($F42)&lt;=0),E42,IF($F42&lt;=1,E42*$F42,E42/$F42)))</f>
        <v/>
      </c>
      <c r="H42" s="75" t="n"/>
      <c r="I42" s="75" t="n"/>
      <c r="J42" s="84">
        <f>IF($A42="","",-SUMIFS(Buchungen!$E:$E,Buchungen!$H:$H,"Fixkosten",Buchungen!$F:$F,$A42,Buchungen!$L:$L,Übersicht!$B$7))</f>
        <v/>
      </c>
      <c r="K42" s="83">
        <f>IF($A42="","",IFERROR(1/(1/_xlfn.MAXIFS(Buchungen!$A:$A,Buchungen!$F:$F,$A42,Buchungen!$H:$H,"Fixkosten")),"–"))</f>
        <v/>
      </c>
      <c r="L42" s="108" t="n"/>
    </row>
    <row r="43">
      <c r="A43" s="75" t="n"/>
      <c r="B43" s="75" t="n"/>
      <c r="C43" s="79" t="n"/>
      <c r="D43" s="107" t="n"/>
      <c r="E43" s="84">
        <f>IF(AND(ISNUMBER(C43),ISNUMBER(D43)),C43*D43/12,0)</f>
        <v/>
      </c>
      <c r="F43" s="82" t="n"/>
      <c r="G43" s="84">
        <f>IF($A43="","",IF(OR($F43="",N($F43)&lt;=0),E43,IF($F43&lt;=1,E43*$F43,E43/$F43)))</f>
        <v/>
      </c>
      <c r="H43" s="75" t="n"/>
      <c r="I43" s="75" t="n"/>
      <c r="J43" s="84">
        <f>IF($A43="","",-SUMIFS(Buchungen!$E:$E,Buchungen!$H:$H,"Fixkosten",Buchungen!$F:$F,$A43,Buchungen!$L:$L,Übersicht!$B$7))</f>
        <v/>
      </c>
      <c r="K43" s="83">
        <f>IF($A43="","",IFERROR(1/(1/_xlfn.MAXIFS(Buchungen!$A:$A,Buchungen!$F:$F,$A43,Buchungen!$H:$H,"Fixkosten")),"–"))</f>
        <v/>
      </c>
      <c r="L43" s="108" t="n"/>
    </row>
    <row r="44">
      <c r="A44" s="75" t="n"/>
      <c r="B44" s="75" t="n"/>
      <c r="C44" s="79" t="n"/>
      <c r="D44" s="107" t="n"/>
      <c r="E44" s="84">
        <f>IF(AND(ISNUMBER(C44),ISNUMBER(D44)),C44*D44/12,0)</f>
        <v/>
      </c>
      <c r="F44" s="82" t="n"/>
      <c r="G44" s="84">
        <f>IF($A44="","",IF(OR($F44="",N($F44)&lt;=0),E44,IF($F44&lt;=1,E44*$F44,E44/$F44)))</f>
        <v/>
      </c>
      <c r="H44" s="75" t="n"/>
      <c r="I44" s="75" t="n"/>
      <c r="J44" s="84">
        <f>IF($A44="","",-SUMIFS(Buchungen!$E:$E,Buchungen!$H:$H,"Fixkosten",Buchungen!$F:$F,$A44,Buchungen!$L:$L,Übersicht!$B$7))</f>
        <v/>
      </c>
      <c r="K44" s="83">
        <f>IF($A44="","",IFERROR(1/(1/_xlfn.MAXIFS(Buchungen!$A:$A,Buchungen!$F:$F,$A44,Buchungen!$H:$H,"Fixkosten")),"–"))</f>
        <v/>
      </c>
      <c r="L44" s="108" t="n"/>
    </row>
    <row r="45">
      <c r="A45" s="75" t="n"/>
      <c r="B45" s="75" t="n"/>
      <c r="C45" s="79" t="n"/>
      <c r="D45" s="107" t="n"/>
      <c r="E45" s="84">
        <f>IF(AND(ISNUMBER(C45),ISNUMBER(D45)),C45*D45/12,0)</f>
        <v/>
      </c>
      <c r="F45" s="82" t="n"/>
      <c r="G45" s="84">
        <f>IF($A45="","",IF(OR($F45="",N($F45)&lt;=0),E45,IF($F45&lt;=1,E45*$F45,E45/$F45)))</f>
        <v/>
      </c>
      <c r="H45" s="75" t="n"/>
      <c r="I45" s="75" t="n"/>
      <c r="J45" s="84">
        <f>IF($A45="","",-SUMIFS(Buchungen!$E:$E,Buchungen!$H:$H,"Fixkosten",Buchungen!$F:$F,$A45,Buchungen!$L:$L,Übersicht!$B$7))</f>
        <v/>
      </c>
      <c r="K45" s="83">
        <f>IF($A45="","",IFERROR(1/(1/_xlfn.MAXIFS(Buchungen!$A:$A,Buchungen!$F:$F,$A45,Buchungen!$H:$H,"Fixkosten")),"–"))</f>
        <v/>
      </c>
      <c r="L45" s="108" t="n"/>
    </row>
    <row r="46">
      <c r="A46" s="75" t="n"/>
      <c r="B46" s="75" t="n"/>
      <c r="C46" s="79" t="n"/>
      <c r="D46" s="107" t="n"/>
      <c r="E46" s="84">
        <f>IF(AND(ISNUMBER(C46),ISNUMBER(D46)),C46*D46/12,0)</f>
        <v/>
      </c>
      <c r="F46" s="82" t="n"/>
      <c r="G46" s="84">
        <f>IF($A46="","",IF(OR($F46="",N($F46)&lt;=0),E46,IF($F46&lt;=1,E46*$F46,E46/$F46)))</f>
        <v/>
      </c>
      <c r="H46" s="75" t="n"/>
      <c r="I46" s="75" t="n"/>
      <c r="J46" s="84">
        <f>IF($A46="","",-SUMIFS(Buchungen!$E:$E,Buchungen!$H:$H,"Fixkosten",Buchungen!$F:$F,$A46,Buchungen!$L:$L,Übersicht!$B$7))</f>
        <v/>
      </c>
      <c r="K46" s="83">
        <f>IF($A46="","",IFERROR(1/(1/_xlfn.MAXIFS(Buchungen!$A:$A,Buchungen!$F:$F,$A46,Buchungen!$H:$H,"Fixkosten")),"–"))</f>
        <v/>
      </c>
      <c r="L46" s="108" t="n"/>
    </row>
    <row r="47">
      <c r="A47" s="75" t="n"/>
      <c r="B47" s="75" t="n"/>
      <c r="C47" s="79" t="n"/>
      <c r="D47" s="107" t="n"/>
      <c r="E47" s="84">
        <f>IF(AND(ISNUMBER(C47),ISNUMBER(D47)),C47*D47/12,0)</f>
        <v/>
      </c>
      <c r="F47" s="82" t="n"/>
      <c r="G47" s="84">
        <f>IF($A47="","",IF(OR($F47="",N($F47)&lt;=0),E47,IF($F47&lt;=1,E47*$F47,E47/$F47)))</f>
        <v/>
      </c>
      <c r="H47" s="75" t="n"/>
      <c r="I47" s="75" t="n"/>
      <c r="J47" s="84">
        <f>IF($A47="","",-SUMIFS(Buchungen!$E:$E,Buchungen!$H:$H,"Fixkosten",Buchungen!$F:$F,$A47,Buchungen!$L:$L,Übersicht!$B$7))</f>
        <v/>
      </c>
      <c r="K47" s="83">
        <f>IF($A47="","",IFERROR(1/(1/_xlfn.MAXIFS(Buchungen!$A:$A,Buchungen!$F:$F,$A47,Buchungen!$H:$H,"Fixkosten")),"–"))</f>
        <v/>
      </c>
      <c r="L47" s="108" t="n"/>
    </row>
    <row r="48">
      <c r="A48" s="75" t="n"/>
      <c r="B48" s="75" t="n"/>
      <c r="C48" s="79" t="n"/>
      <c r="D48" s="107" t="n"/>
      <c r="E48" s="84">
        <f>IF(AND(ISNUMBER(C48),ISNUMBER(D48)),C48*D48/12,0)</f>
        <v/>
      </c>
      <c r="F48" s="82" t="n"/>
      <c r="G48" s="84">
        <f>IF($A48="","",IF(OR($F48="",N($F48)&lt;=0),E48,IF($F48&lt;=1,E48*$F48,E48/$F48)))</f>
        <v/>
      </c>
      <c r="H48" s="75" t="n"/>
      <c r="I48" s="75" t="n"/>
      <c r="J48" s="84">
        <f>IF($A48="","",-SUMIFS(Buchungen!$E:$E,Buchungen!$H:$H,"Fixkosten",Buchungen!$F:$F,$A48,Buchungen!$L:$L,Übersicht!$B$7))</f>
        <v/>
      </c>
      <c r="K48" s="83">
        <f>IF($A48="","",IFERROR(1/(1/_xlfn.MAXIFS(Buchungen!$A:$A,Buchungen!$F:$F,$A48,Buchungen!$H:$H,"Fixkosten")),"–"))</f>
        <v/>
      </c>
      <c r="L48" s="108" t="n"/>
    </row>
    <row r="49">
      <c r="A49" s="75" t="n"/>
      <c r="B49" s="75" t="n"/>
      <c r="C49" s="79" t="n"/>
      <c r="D49" s="107" t="n"/>
      <c r="E49" s="84">
        <f>IF(AND(ISNUMBER(C49),ISNUMBER(D49)),C49*D49/12,0)</f>
        <v/>
      </c>
      <c r="F49" s="82" t="n"/>
      <c r="G49" s="84">
        <f>IF($A49="","",IF(OR($F49="",N($F49)&lt;=0),E49,IF($F49&lt;=1,E49*$F49,E49/$F49)))</f>
        <v/>
      </c>
      <c r="H49" s="75" t="n"/>
      <c r="I49" s="75" t="n"/>
      <c r="J49" s="84">
        <f>IF($A49="","",-SUMIFS(Buchungen!$E:$E,Buchungen!$H:$H,"Fixkosten",Buchungen!$F:$F,$A49,Buchungen!$L:$L,Übersicht!$B$7))</f>
        <v/>
      </c>
      <c r="K49" s="83">
        <f>IF($A49="","",IFERROR(1/(1/_xlfn.MAXIFS(Buchungen!$A:$A,Buchungen!$F:$F,$A49,Buchungen!$H:$H,"Fixkosten")),"–"))</f>
        <v/>
      </c>
      <c r="L49" s="108" t="n"/>
    </row>
    <row r="50">
      <c r="A50" s="75" t="n"/>
      <c r="B50" s="75" t="n"/>
      <c r="C50" s="79" t="n"/>
      <c r="D50" s="107" t="n"/>
      <c r="E50" s="84">
        <f>IF(AND(ISNUMBER(C50),ISNUMBER(D50)),C50*D50/12,0)</f>
        <v/>
      </c>
      <c r="F50" s="82" t="n"/>
      <c r="G50" s="84">
        <f>IF($A50="","",IF(OR($F50="",N($F50)&lt;=0),E50,IF($F50&lt;=1,E50*$F50,E50/$F50)))</f>
        <v/>
      </c>
      <c r="H50" s="75" t="n"/>
      <c r="I50" s="75" t="n"/>
      <c r="J50" s="84">
        <f>IF($A50="","",-SUMIFS(Buchungen!$E:$E,Buchungen!$H:$H,"Fixkosten",Buchungen!$F:$F,$A50,Buchungen!$L:$L,Übersicht!$B$7))</f>
        <v/>
      </c>
      <c r="K50" s="83">
        <f>IF($A50="","",IFERROR(1/(1/_xlfn.MAXIFS(Buchungen!$A:$A,Buchungen!$F:$F,$A50,Buchungen!$H:$H,"Fixkosten")),"–"))</f>
        <v/>
      </c>
      <c r="L50" s="108" t="n"/>
    </row>
    <row r="51">
      <c r="A51" s="75" t="n"/>
      <c r="B51" s="75" t="n"/>
      <c r="C51" s="79" t="n"/>
      <c r="D51" s="107" t="n"/>
      <c r="E51" s="84">
        <f>IF(AND(ISNUMBER(C51),ISNUMBER(D51)),C51*D51/12,0)</f>
        <v/>
      </c>
      <c r="F51" s="82" t="n"/>
      <c r="G51" s="84">
        <f>IF($A51="","",IF(OR($F51="",N($F51)&lt;=0),E51,IF($F51&lt;=1,E51*$F51,E51/$F51)))</f>
        <v/>
      </c>
      <c r="H51" s="75" t="n"/>
      <c r="I51" s="75" t="n"/>
      <c r="J51" s="84">
        <f>IF($A51="","",-SUMIFS(Buchungen!$E:$E,Buchungen!$H:$H,"Fixkosten",Buchungen!$F:$F,$A51,Buchungen!$L:$L,Übersicht!$B$7))</f>
        <v/>
      </c>
      <c r="K51" s="83">
        <f>IF($A51="","",IFERROR(1/(1/_xlfn.MAXIFS(Buchungen!$A:$A,Buchungen!$F:$F,$A51,Buchungen!$H:$H,"Fixkosten")),"–"))</f>
        <v/>
      </c>
      <c r="L51" s="108" t="n"/>
    </row>
    <row r="52">
      <c r="A52" s="75" t="n"/>
      <c r="B52" s="75" t="n"/>
      <c r="C52" s="79" t="n"/>
      <c r="D52" s="107" t="n"/>
      <c r="E52" s="84">
        <f>IF(AND(ISNUMBER(C52),ISNUMBER(D52)),C52*D52/12,0)</f>
        <v/>
      </c>
      <c r="F52" s="82" t="n"/>
      <c r="G52" s="84">
        <f>IF($A52="","",IF(OR($F52="",N($F52)&lt;=0),E52,IF($F52&lt;=1,E52*$F52,E52/$F52)))</f>
        <v/>
      </c>
      <c r="H52" s="75" t="n"/>
      <c r="I52" s="75" t="n"/>
      <c r="J52" s="84">
        <f>IF($A52="","",-SUMIFS(Buchungen!$E:$E,Buchungen!$H:$H,"Fixkosten",Buchungen!$F:$F,$A52,Buchungen!$L:$L,Übersicht!$B$7))</f>
        <v/>
      </c>
      <c r="K52" s="83">
        <f>IF($A52="","",IFERROR(1/(1/_xlfn.MAXIFS(Buchungen!$A:$A,Buchungen!$F:$F,$A52,Buchungen!$H:$H,"Fixkosten")),"–"))</f>
        <v/>
      </c>
      <c r="L52" s="108" t="n"/>
    </row>
    <row r="53">
      <c r="A53" s="85" t="inlineStr">
        <is>
          <t>Summe pro Monat (Ø)</t>
        </is>
      </c>
      <c r="B53" s="86" t="n"/>
      <c r="C53" s="86" t="n"/>
      <c r="D53" s="86" t="n"/>
      <c r="E53" s="87">
        <f>SUM(E13:E52)</f>
        <v/>
      </c>
      <c r="F53" s="86" t="n"/>
      <c r="G53" s="87">
        <f>SUM(G13:G52)</f>
        <v/>
      </c>
      <c r="H53" s="86" t="n"/>
      <c r="I53" s="86" t="n"/>
      <c r="J53" s="87">
        <f>SUM(J13:J52)</f>
        <v/>
      </c>
      <c r="K53" s="86" t="n"/>
      <c r="L53" s="86" t="n"/>
    </row>
    <row r="54">
      <c r="A54" s="86" t="inlineStr">
        <is>
          <t>davon Sparen</t>
        </is>
      </c>
      <c r="B54" s="86" t="n"/>
      <c r="C54" s="86" t="n"/>
      <c r="D54" s="86" t="n"/>
      <c r="E54" s="109">
        <f>SUMIFS(E13:E52,B13:B52,"Sparen")</f>
        <v/>
      </c>
      <c r="F54" s="86" t="n"/>
      <c r="G54" s="109">
        <f>SUMIFS(G13:G52,B13:B52,"Sparen")</f>
        <v/>
      </c>
    </row>
    <row r="55">
      <c r="A55" s="85" t="inlineStr">
        <is>
          <t>Fixkosten ohne Sparen</t>
        </is>
      </c>
      <c r="B55" s="86" t="n"/>
      <c r="C55" s="86" t="n"/>
      <c r="D55" s="86" t="n"/>
      <c r="E55" s="87">
        <f>E53-E54</f>
        <v/>
      </c>
      <c r="F55" s="86" t="n"/>
      <c r="G55" s="87">
        <f>G53-G54</f>
        <v/>
      </c>
    </row>
    <row r="56">
      <c r="A56" s="86" t="inlineStr">
        <is>
          <t>Anteil der anderen (geteilte Abos, kommt als Einnahme zurück)</t>
        </is>
      </c>
      <c r="B56" s="86" t="n"/>
      <c r="C56" s="86" t="n"/>
      <c r="D56" s="86" t="n"/>
      <c r="E56" s="109">
        <f>E53-G53</f>
        <v/>
      </c>
      <c r="F56" s="86" t="n"/>
      <c r="G56" s="86" t="n"/>
    </row>
    <row r="58">
      <c r="A58" s="65" t="inlineStr">
        <is>
          <t>Ist: Summe der importierten Buchungen mit Art „Fixkosten“ und genau dieser Bezeichnung im Auswertungsmonat (Übersicht). Orange = monatlicher Posten, der im Auswertungsmonat noch nicht abgebucht wurde.</t>
        </is>
      </c>
    </row>
    <row r="59">
      <c r="A59" s="65" t="inlineStr">
        <is>
          <t>Der Import erkennt einen Posten am Suchbegriff, wenn der Betrag innerhalb der Toleranz (Einstellungen) liegt – sonst wird die Buchung als normale Ausgabe importiert.</t>
        </is>
      </c>
    </row>
    <row r="60">
      <c r="A60" s="65" t="inlineStr">
        <is>
          <t>Aufteilung: Anzahl Personen inkl. dir (z. B. 5 → ein Fünftel) oder dein Anteil in Prozent (z. B. 50 %). Grün = geteilter Posten. Die Auswertungen zählen den vollen Betrag, „Mein Anteil“ zeigt, was davon wirklich deins ist.</t>
        </is>
      </c>
    </row>
  </sheetData>
  <conditionalFormatting sqref="J13:J52">
    <cfRule type="expression" priority="1" dxfId="13">
      <formula>AND($A13&lt;&gt;"",$D13=12,N($J13)=0)</formula>
    </cfRule>
  </conditionalFormatting>
  <conditionalFormatting sqref="F13:G52">
    <cfRule type="expression" priority="2" dxfId="22">
      <formula>AND($A13&lt;&gt;"",ISNUMBER($F13),$F13&gt;0,$F13&lt;&gt;1)</formula>
    </cfRule>
  </conditionalFormatting>
  <dataValidations count="2">
    <dataValidation sqref="B13:B52" showDropDown="0" showInputMessage="0" showErrorMessage="0" allowBlank="1" type="list">
      <formula1>Einstellungen!$A$5:$A$29</formula1>
    </dataValidation>
    <dataValidation sqref="F13:F52" showDropDown="0" showInputMessage="0" showErrorMessage="1" allowBlank="1" errorTitle="Aufteilung" error="Anzahl Personen (z. B. 5) oder Anteil in Prozent (z. B. 50 %) eintragen." type="decimal" operator="greaterThan">
      <formula1>0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Regeln">
    <outlinePr summaryBelow="1" summaryRight="1"/>
    <pageSetUpPr/>
  </sheetPr>
  <dimension ref="A1:E20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8" customWidth="1" min="1" max="1"/>
    <col width="24" customWidth="1" min="2" max="2"/>
    <col width="22" customWidth="1" min="3" max="3"/>
    <col width="12" customWidth="1" min="4" max="4"/>
    <col width="40" customWidth="1" min="5" max="5"/>
  </cols>
  <sheetData>
    <row r="1">
      <c r="A1" s="64" t="inlineStr">
        <is>
          <t>Importregeln</t>
        </is>
      </c>
    </row>
    <row r="2">
      <c r="A2" s="65" t="inlineStr">
        <is>
          <t>Erste passende Zeile gewinnt (Spezifisches nach oben). Suchbegriff wird in Empfänger + Verwendungszweck gesucht; mehrere Wörter müssen alle vorkommen, Alternativen mit ; trennen. Leere Felder = automatisch.</t>
        </is>
      </c>
    </row>
    <row r="4" ht="30" customHeight="1">
      <c r="A4" s="73" t="inlineStr">
        <is>
          <t>Suchbegriff</t>
        </is>
      </c>
      <c r="B4" s="74" t="inlineStr">
        <is>
          <t>Bezeichnung</t>
        </is>
      </c>
      <c r="C4" s="74" t="inlineStr">
        <is>
          <t>Kategorie</t>
        </is>
      </c>
      <c r="D4" s="74" t="inlineStr">
        <is>
          <t>Art</t>
        </is>
      </c>
      <c r="E4" s="74" t="inlineStr">
        <is>
          <t>Notiz</t>
        </is>
      </c>
    </row>
    <row r="5">
      <c r="A5" s="75" t="inlineStr">
        <is>
          <t>Strange Horticulture</t>
        </is>
      </c>
      <c r="B5" s="75" t="inlineStr">
        <is>
          <t>Strange Horticulture</t>
        </is>
      </c>
      <c r="C5" s="75" t="inlineStr">
        <is>
          <t>Freizeit &amp; Hobby</t>
        </is>
      </c>
      <c r="D5" s="82" t="inlineStr">
        <is>
          <t>Ausgabe</t>
        </is>
      </c>
      <c r="E5" s="108" t="n"/>
    </row>
    <row r="6">
      <c r="A6" s="75" t="inlineStr">
        <is>
          <t>Trafik Schönherr</t>
        </is>
      </c>
      <c r="B6" s="75" t="inlineStr">
        <is>
          <t>Trafik Schönherr</t>
        </is>
      </c>
      <c r="C6" s="75" t="inlineStr">
        <is>
          <t>Trafik &amp; Tabak</t>
        </is>
      </c>
      <c r="D6" s="82" t="inlineStr">
        <is>
          <t>Ausgabe</t>
        </is>
      </c>
      <c r="E6" s="108" t="n"/>
    </row>
    <row r="7">
      <c r="A7" s="75" t="inlineStr">
        <is>
          <t>Jet Tankstelle</t>
        </is>
      </c>
      <c r="B7" s="75" t="inlineStr">
        <is>
          <t>Jet Tankstelle</t>
        </is>
      </c>
      <c r="C7" s="75" t="inlineStr">
        <is>
          <t>Auto &amp; Tanken</t>
        </is>
      </c>
      <c r="D7" s="82" t="inlineStr">
        <is>
          <t>Ausgabe</t>
        </is>
      </c>
      <c r="E7" s="108" t="n"/>
    </row>
    <row r="8">
      <c r="A8" s="75" t="inlineStr">
        <is>
          <t>Blumen Kubat</t>
        </is>
      </c>
      <c r="B8" s="75" t="inlineStr">
        <is>
          <t>Blumen Kubat</t>
        </is>
      </c>
      <c r="C8" s="75" t="inlineStr">
        <is>
          <t>Geschenke &amp; Blumen</t>
        </is>
      </c>
      <c r="D8" s="82" t="inlineStr">
        <is>
          <t>Ausgabe</t>
        </is>
      </c>
      <c r="E8" s="108" t="inlineStr">
        <is>
          <t>Grabpflege</t>
        </is>
      </c>
    </row>
    <row r="9">
      <c r="A9" s="75" t="inlineStr">
        <is>
          <t>Mer Austria</t>
        </is>
      </c>
      <c r="B9" s="75" t="inlineStr">
        <is>
          <t>Mer Austria</t>
        </is>
      </c>
      <c r="C9" s="75" t="inlineStr">
        <is>
          <t>Auto &amp; Tanken</t>
        </is>
      </c>
      <c r="D9" s="82" t="inlineStr">
        <is>
          <t>Ausgabe</t>
        </is>
      </c>
      <c r="E9" s="108" t="inlineStr">
        <is>
          <t>Laden</t>
        </is>
      </c>
    </row>
    <row r="10">
      <c r="A10" s="75" t="inlineStr">
        <is>
          <t>ADEG Anger</t>
        </is>
      </c>
      <c r="B10" s="75" t="inlineStr">
        <is>
          <t>ADEG Anger</t>
        </is>
      </c>
      <c r="C10" s="75" t="inlineStr">
        <is>
          <t>Lebensmittel</t>
        </is>
      </c>
      <c r="D10" s="82" t="inlineStr">
        <is>
          <t>Ausgabe</t>
        </is>
      </c>
      <c r="E10" s="108" t="n"/>
    </row>
    <row r="11">
      <c r="A11" s="75" t="inlineStr">
        <is>
          <t>Kraus GmbH</t>
        </is>
      </c>
      <c r="B11" s="75" t="inlineStr">
        <is>
          <t>Kraus GmbH</t>
        </is>
      </c>
      <c r="C11" s="75" t="inlineStr">
        <is>
          <t>Auto &amp; Tanken</t>
        </is>
      </c>
      <c r="D11" s="82" t="inlineStr">
        <is>
          <t>Ausgabe</t>
        </is>
      </c>
      <c r="E11" s="108" t="inlineStr">
        <is>
          <t>Werkstatt</t>
        </is>
      </c>
    </row>
    <row r="12">
      <c r="A12" s="75" t="inlineStr">
        <is>
          <t>Spar Anger</t>
        </is>
      </c>
      <c r="B12" s="75" t="inlineStr">
        <is>
          <t>Spar Anger</t>
        </is>
      </c>
      <c r="C12" s="75" t="inlineStr">
        <is>
          <t>Lebensmittel</t>
        </is>
      </c>
      <c r="D12" s="82" t="inlineStr">
        <is>
          <t>Ausgabe</t>
        </is>
      </c>
      <c r="E12" s="108" t="n"/>
    </row>
    <row r="13">
      <c r="A13" s="75" t="inlineStr">
        <is>
          <t>Amzon HBO</t>
        </is>
      </c>
      <c r="B13" s="75" t="inlineStr">
        <is>
          <t>Amazon HBO</t>
        </is>
      </c>
      <c r="C13" s="75" t="inlineStr">
        <is>
          <t>Abos &amp; Streaming</t>
        </is>
      </c>
      <c r="D13" s="82" t="inlineStr">
        <is>
          <t>Ausgabe</t>
        </is>
      </c>
      <c r="E13" s="108" t="inlineStr">
        <is>
          <t>Abo gekündigt</t>
        </is>
      </c>
    </row>
    <row r="14">
      <c r="A14" s="75" t="inlineStr">
        <is>
          <t>H&amp;M</t>
        </is>
      </c>
      <c r="B14" s="75" t="inlineStr">
        <is>
          <t>H&amp;M</t>
        </is>
      </c>
      <c r="C14" s="75" t="inlineStr">
        <is>
          <t>Kleidung</t>
        </is>
      </c>
      <c r="D14" s="82" t="inlineStr">
        <is>
          <t>Ausgabe</t>
        </is>
      </c>
      <c r="E14" s="108" t="n"/>
    </row>
    <row r="15">
      <c r="A15" s="75" t="inlineStr">
        <is>
          <t>Paramount+</t>
        </is>
      </c>
      <c r="B15" s="75" t="inlineStr">
        <is>
          <t>Paramount+</t>
        </is>
      </c>
      <c r="C15" s="75" t="inlineStr">
        <is>
          <t>Abos &amp; Streaming</t>
        </is>
      </c>
      <c r="D15" s="82" t="inlineStr">
        <is>
          <t>Ausgabe</t>
        </is>
      </c>
      <c r="E15" s="108" t="inlineStr">
        <is>
          <t>Abo gekündigt</t>
        </is>
      </c>
    </row>
    <row r="16">
      <c r="A16" s="75" t="inlineStr">
        <is>
          <t>McDonalds</t>
        </is>
      </c>
      <c r="B16" s="75" t="inlineStr">
        <is>
          <t>McDonalds</t>
        </is>
      </c>
      <c r="C16" s="75" t="inlineStr">
        <is>
          <t>Essen gehen</t>
        </is>
      </c>
      <c r="D16" s="82" t="inlineStr">
        <is>
          <t>Ausgabe</t>
        </is>
      </c>
      <c r="E16" s="108" t="n"/>
    </row>
    <row r="17">
      <c r="A17" s="75" t="inlineStr">
        <is>
          <t>Pechmann</t>
        </is>
      </c>
      <c r="B17" s="75" t="inlineStr">
        <is>
          <t>Pechmann</t>
        </is>
      </c>
      <c r="C17" s="75" t="inlineStr">
        <is>
          <t>Essen gehen</t>
        </is>
      </c>
      <c r="D17" s="82" t="inlineStr">
        <is>
          <t>Ausgabe</t>
        </is>
      </c>
      <c r="E17" s="108" t="n"/>
    </row>
    <row r="18">
      <c r="A18" s="75" t="inlineStr">
        <is>
          <t>Smatrics</t>
        </is>
      </c>
      <c r="B18" s="75" t="inlineStr">
        <is>
          <t>Smatrics</t>
        </is>
      </c>
      <c r="C18" s="75" t="inlineStr">
        <is>
          <t>Auto &amp; Tanken</t>
        </is>
      </c>
      <c r="D18" s="82" t="inlineStr">
        <is>
          <t>Ausgabe</t>
        </is>
      </c>
      <c r="E18" s="108" t="inlineStr">
        <is>
          <t>Laden</t>
        </is>
      </c>
    </row>
    <row r="19">
      <c r="A19" s="75" t="inlineStr">
        <is>
          <t>Thaller</t>
        </is>
      </c>
      <c r="B19" s="75" t="inlineStr">
        <is>
          <t>Thaller</t>
        </is>
      </c>
      <c r="C19" s="75" t="inlineStr">
        <is>
          <t>Essen gehen</t>
        </is>
      </c>
      <c r="D19" s="82" t="inlineStr">
        <is>
          <t>Ausgabe</t>
        </is>
      </c>
      <c r="E19" s="108" t="n"/>
    </row>
    <row r="20">
      <c r="A20" s="75" t="inlineStr">
        <is>
          <t>Win2Day</t>
        </is>
      </c>
      <c r="B20" s="75" t="inlineStr">
        <is>
          <t>Win2Day</t>
        </is>
      </c>
      <c r="C20" s="75" t="inlineStr">
        <is>
          <t>Glücksspiel</t>
        </is>
      </c>
      <c r="D20" s="82" t="inlineStr">
        <is>
          <t>Ausgabe</t>
        </is>
      </c>
      <c r="E20" s="108" t="n"/>
    </row>
    <row r="21">
      <c r="A21" s="75" t="inlineStr">
        <is>
          <t>Zalando</t>
        </is>
      </c>
      <c r="B21" s="75" t="inlineStr">
        <is>
          <t>Zalando</t>
        </is>
      </c>
      <c r="C21" s="75" t="inlineStr">
        <is>
          <t>Kleidung</t>
        </is>
      </c>
      <c r="D21" s="82" t="inlineStr">
        <is>
          <t>Ausgabe</t>
        </is>
      </c>
      <c r="E21" s="108" t="n"/>
    </row>
    <row r="22">
      <c r="A22" s="75" t="inlineStr">
        <is>
          <t>Zooplus</t>
        </is>
      </c>
      <c r="B22" s="75" t="inlineStr">
        <is>
          <t>Zooplus</t>
        </is>
      </c>
      <c r="C22" s="75" t="inlineStr">
        <is>
          <t>Haustiere</t>
        </is>
      </c>
      <c r="D22" s="82" t="inlineStr">
        <is>
          <t>Ausgabe</t>
        </is>
      </c>
      <c r="E22" s="108" t="n"/>
    </row>
    <row r="23">
      <c r="A23" s="75" t="inlineStr">
        <is>
          <t>Notino</t>
        </is>
      </c>
      <c r="B23" s="75" t="inlineStr">
        <is>
          <t>Notino</t>
        </is>
      </c>
      <c r="C23" s="75" t="inlineStr">
        <is>
          <t>Drogerie &amp; Kosmetik</t>
        </is>
      </c>
      <c r="D23" s="82" t="inlineStr">
        <is>
          <t>Ausgabe</t>
        </is>
      </c>
      <c r="E23" s="108" t="n"/>
    </row>
    <row r="24">
      <c r="A24" s="75" t="inlineStr">
        <is>
          <t>Socar</t>
        </is>
      </c>
      <c r="B24" s="75" t="inlineStr">
        <is>
          <t>Socar</t>
        </is>
      </c>
      <c r="C24" s="75" t="inlineStr">
        <is>
          <t>Auto &amp; Tanken</t>
        </is>
      </c>
      <c r="D24" s="82" t="inlineStr">
        <is>
          <t>Ausgabe</t>
        </is>
      </c>
      <c r="E24" s="108" t="n"/>
    </row>
    <row r="25">
      <c r="A25" s="75" t="inlineStr">
        <is>
          <t>ADEG</t>
        </is>
      </c>
      <c r="B25" s="75" t="inlineStr">
        <is>
          <t>ADEG</t>
        </is>
      </c>
      <c r="C25" s="75" t="inlineStr">
        <is>
          <t>Lebensmittel</t>
        </is>
      </c>
      <c r="D25" s="82" t="inlineStr">
        <is>
          <t>Ausgabe</t>
        </is>
      </c>
      <c r="E25" s="108" t="n"/>
    </row>
    <row r="26">
      <c r="A26" s="75" t="inlineStr">
        <is>
          <t>DM</t>
        </is>
      </c>
      <c r="B26" s="75" t="inlineStr">
        <is>
          <t>DM</t>
        </is>
      </c>
      <c r="C26" s="75" t="inlineStr">
        <is>
          <t>Drogerie &amp; Kosmetik</t>
        </is>
      </c>
      <c r="D26" s="82" t="inlineStr">
        <is>
          <t>Ausgabe</t>
        </is>
      </c>
      <c r="E26" s="108" t="n"/>
    </row>
    <row r="27">
      <c r="A27" s="75" t="n"/>
      <c r="B27" s="75" t="n"/>
      <c r="C27" s="75" t="n"/>
      <c r="D27" s="82" t="n"/>
      <c r="E27" s="108" t="n"/>
    </row>
    <row r="28">
      <c r="A28" s="75" t="n"/>
      <c r="B28" s="75" t="n"/>
      <c r="C28" s="75" t="n"/>
      <c r="D28" s="82" t="n"/>
      <c r="E28" s="108" t="n"/>
    </row>
    <row r="29">
      <c r="A29" s="75" t="n"/>
      <c r="B29" s="75" t="n"/>
      <c r="C29" s="75" t="n"/>
      <c r="D29" s="82" t="n"/>
      <c r="E29" s="108" t="n"/>
    </row>
    <row r="30">
      <c r="A30" s="75" t="n"/>
      <c r="B30" s="75" t="n"/>
      <c r="C30" s="75" t="n"/>
      <c r="D30" s="82" t="n"/>
      <c r="E30" s="108" t="n"/>
    </row>
    <row r="31">
      <c r="A31" s="75" t="n"/>
      <c r="B31" s="75" t="n"/>
      <c r="C31" s="75" t="n"/>
      <c r="D31" s="82" t="n"/>
      <c r="E31" s="108" t="n"/>
    </row>
    <row r="32">
      <c r="A32" s="75" t="n"/>
      <c r="B32" s="75" t="n"/>
      <c r="C32" s="75" t="n"/>
      <c r="D32" s="82" t="n"/>
      <c r="E32" s="108" t="n"/>
    </row>
    <row r="33">
      <c r="A33" s="75" t="n"/>
      <c r="B33" s="75" t="n"/>
      <c r="C33" s="75" t="n"/>
      <c r="D33" s="82" t="n"/>
      <c r="E33" s="108" t="n"/>
    </row>
    <row r="34">
      <c r="A34" s="75" t="n"/>
      <c r="B34" s="75" t="n"/>
      <c r="C34" s="75" t="n"/>
      <c r="D34" s="82" t="n"/>
      <c r="E34" s="108" t="n"/>
    </row>
    <row r="35">
      <c r="A35" s="75" t="n"/>
      <c r="B35" s="75" t="n"/>
      <c r="C35" s="75" t="n"/>
      <c r="D35" s="82" t="n"/>
      <c r="E35" s="108" t="n"/>
    </row>
    <row r="36">
      <c r="A36" s="75" t="n"/>
      <c r="B36" s="75" t="n"/>
      <c r="C36" s="75" t="n"/>
      <c r="D36" s="82" t="n"/>
      <c r="E36" s="108" t="n"/>
    </row>
    <row r="37">
      <c r="A37" s="75" t="n"/>
      <c r="B37" s="75" t="n"/>
      <c r="C37" s="75" t="n"/>
      <c r="D37" s="82" t="n"/>
      <c r="E37" s="108" t="n"/>
    </row>
    <row r="38">
      <c r="A38" s="75" t="n"/>
      <c r="B38" s="75" t="n"/>
      <c r="C38" s="75" t="n"/>
      <c r="D38" s="82" t="n"/>
      <c r="E38" s="108" t="n"/>
    </row>
    <row r="39">
      <c r="A39" s="75" t="n"/>
      <c r="B39" s="75" t="n"/>
      <c r="C39" s="75" t="n"/>
      <c r="D39" s="82" t="n"/>
      <c r="E39" s="108" t="n"/>
    </row>
    <row r="40">
      <c r="A40" s="75" t="n"/>
      <c r="B40" s="75" t="n"/>
      <c r="C40" s="75" t="n"/>
      <c r="D40" s="82" t="n"/>
      <c r="E40" s="108" t="n"/>
    </row>
    <row r="41">
      <c r="A41" s="75" t="n"/>
      <c r="B41" s="75" t="n"/>
      <c r="C41" s="75" t="n"/>
      <c r="D41" s="82" t="n"/>
      <c r="E41" s="108" t="n"/>
    </row>
    <row r="42">
      <c r="A42" s="75" t="n"/>
      <c r="B42" s="75" t="n"/>
      <c r="C42" s="75" t="n"/>
      <c r="D42" s="82" t="n"/>
      <c r="E42" s="108" t="n"/>
    </row>
    <row r="43">
      <c r="A43" s="75" t="n"/>
      <c r="B43" s="75" t="n"/>
      <c r="C43" s="75" t="n"/>
      <c r="D43" s="82" t="n"/>
      <c r="E43" s="108" t="n"/>
    </row>
    <row r="44">
      <c r="A44" s="75" t="n"/>
      <c r="B44" s="75" t="n"/>
      <c r="C44" s="75" t="n"/>
      <c r="D44" s="82" t="n"/>
      <c r="E44" s="108" t="n"/>
    </row>
    <row r="45">
      <c r="A45" s="75" t="n"/>
      <c r="B45" s="75" t="n"/>
      <c r="C45" s="75" t="n"/>
      <c r="D45" s="82" t="n"/>
      <c r="E45" s="108" t="n"/>
    </row>
    <row r="46">
      <c r="A46" s="75" t="n"/>
      <c r="B46" s="75" t="n"/>
      <c r="C46" s="75" t="n"/>
      <c r="D46" s="82" t="n"/>
      <c r="E46" s="108" t="n"/>
    </row>
    <row r="47">
      <c r="A47" s="75" t="n"/>
      <c r="B47" s="75" t="n"/>
      <c r="C47" s="75" t="n"/>
      <c r="D47" s="82" t="n"/>
      <c r="E47" s="108" t="n"/>
    </row>
    <row r="48">
      <c r="A48" s="75" t="n"/>
      <c r="B48" s="75" t="n"/>
      <c r="C48" s="75" t="n"/>
      <c r="D48" s="82" t="n"/>
      <c r="E48" s="108" t="n"/>
    </row>
    <row r="49">
      <c r="A49" s="75" t="n"/>
      <c r="B49" s="75" t="n"/>
      <c r="C49" s="75" t="n"/>
      <c r="D49" s="82" t="n"/>
      <c r="E49" s="108" t="n"/>
    </row>
    <row r="50">
      <c r="A50" s="75" t="n"/>
      <c r="B50" s="75" t="n"/>
      <c r="C50" s="75" t="n"/>
      <c r="D50" s="82" t="n"/>
      <c r="E50" s="108" t="n"/>
    </row>
    <row r="51">
      <c r="A51" s="75" t="n"/>
      <c r="B51" s="75" t="n"/>
      <c r="C51" s="75" t="n"/>
      <c r="D51" s="82" t="n"/>
      <c r="E51" s="108" t="n"/>
    </row>
    <row r="52">
      <c r="A52" s="75" t="n"/>
      <c r="B52" s="75" t="n"/>
      <c r="C52" s="75" t="n"/>
      <c r="D52" s="82" t="n"/>
      <c r="E52" s="108" t="n"/>
    </row>
    <row r="53">
      <c r="A53" s="75" t="n"/>
      <c r="B53" s="75" t="n"/>
      <c r="C53" s="75" t="n"/>
      <c r="D53" s="82" t="n"/>
      <c r="E53" s="108" t="n"/>
    </row>
    <row r="54">
      <c r="A54" s="75" t="n"/>
      <c r="B54" s="75" t="n"/>
      <c r="C54" s="75" t="n"/>
      <c r="D54" s="82" t="n"/>
      <c r="E54" s="108" t="n"/>
    </row>
    <row r="55">
      <c r="A55" s="75" t="n"/>
      <c r="B55" s="75" t="n"/>
      <c r="C55" s="75" t="n"/>
      <c r="D55" s="82" t="n"/>
      <c r="E55" s="108" t="n"/>
    </row>
    <row r="56">
      <c r="A56" s="75" t="n"/>
      <c r="B56" s="75" t="n"/>
      <c r="C56" s="75" t="n"/>
      <c r="D56" s="82" t="n"/>
      <c r="E56" s="108" t="n"/>
    </row>
    <row r="57">
      <c r="A57" s="75" t="n"/>
      <c r="B57" s="75" t="n"/>
      <c r="C57" s="75" t="n"/>
      <c r="D57" s="82" t="n"/>
      <c r="E57" s="108" t="n"/>
    </row>
    <row r="58">
      <c r="A58" s="75" t="n"/>
      <c r="B58" s="75" t="n"/>
      <c r="C58" s="75" t="n"/>
      <c r="D58" s="82" t="n"/>
      <c r="E58" s="108" t="n"/>
    </row>
    <row r="59">
      <c r="A59" s="75" t="n"/>
      <c r="B59" s="75" t="n"/>
      <c r="C59" s="75" t="n"/>
      <c r="D59" s="82" t="n"/>
      <c r="E59" s="108" t="n"/>
    </row>
    <row r="60">
      <c r="A60" s="75" t="n"/>
      <c r="B60" s="75" t="n"/>
      <c r="C60" s="75" t="n"/>
      <c r="D60" s="82" t="n"/>
      <c r="E60" s="108" t="n"/>
    </row>
    <row r="61">
      <c r="A61" s="75" t="n"/>
      <c r="B61" s="75" t="n"/>
      <c r="C61" s="75" t="n"/>
      <c r="D61" s="82" t="n"/>
      <c r="E61" s="108" t="n"/>
    </row>
    <row r="62">
      <c r="A62" s="75" t="n"/>
      <c r="B62" s="75" t="n"/>
      <c r="C62" s="75" t="n"/>
      <c r="D62" s="82" t="n"/>
      <c r="E62" s="108" t="n"/>
    </row>
    <row r="63">
      <c r="A63" s="75" t="n"/>
      <c r="B63" s="75" t="n"/>
      <c r="C63" s="75" t="n"/>
      <c r="D63" s="82" t="n"/>
      <c r="E63" s="108" t="n"/>
    </row>
    <row r="64">
      <c r="A64" s="75" t="n"/>
      <c r="B64" s="75" t="n"/>
      <c r="C64" s="75" t="n"/>
      <c r="D64" s="82" t="n"/>
      <c r="E64" s="108" t="n"/>
    </row>
    <row r="65">
      <c r="A65" s="75" t="n"/>
      <c r="B65" s="75" t="n"/>
      <c r="C65" s="75" t="n"/>
      <c r="D65" s="82" t="n"/>
      <c r="E65" s="108" t="n"/>
    </row>
    <row r="66">
      <c r="A66" s="75" t="n"/>
      <c r="B66" s="75" t="n"/>
      <c r="C66" s="75" t="n"/>
      <c r="D66" s="82" t="n"/>
      <c r="E66" s="108" t="n"/>
    </row>
    <row r="67">
      <c r="A67" s="75" t="n"/>
      <c r="B67" s="75" t="n"/>
      <c r="C67" s="75" t="n"/>
      <c r="D67" s="82" t="n"/>
      <c r="E67" s="108" t="n"/>
    </row>
    <row r="68">
      <c r="A68" s="75" t="n"/>
      <c r="B68" s="75" t="n"/>
      <c r="C68" s="75" t="n"/>
      <c r="D68" s="82" t="n"/>
      <c r="E68" s="108" t="n"/>
    </row>
    <row r="69">
      <c r="A69" s="75" t="n"/>
      <c r="B69" s="75" t="n"/>
      <c r="C69" s="75" t="n"/>
      <c r="D69" s="82" t="n"/>
      <c r="E69" s="108" t="n"/>
    </row>
    <row r="70">
      <c r="A70" s="75" t="n"/>
      <c r="B70" s="75" t="n"/>
      <c r="C70" s="75" t="n"/>
      <c r="D70" s="82" t="n"/>
      <c r="E70" s="108" t="n"/>
    </row>
    <row r="71">
      <c r="A71" s="75" t="n"/>
      <c r="B71" s="75" t="n"/>
      <c r="C71" s="75" t="n"/>
      <c r="D71" s="82" t="n"/>
      <c r="E71" s="108" t="n"/>
    </row>
    <row r="72">
      <c r="A72" s="75" t="n"/>
      <c r="B72" s="75" t="n"/>
      <c r="C72" s="75" t="n"/>
      <c r="D72" s="82" t="n"/>
      <c r="E72" s="108" t="n"/>
    </row>
    <row r="73">
      <c r="A73" s="75" t="n"/>
      <c r="B73" s="75" t="n"/>
      <c r="C73" s="75" t="n"/>
      <c r="D73" s="82" t="n"/>
      <c r="E73" s="108" t="n"/>
    </row>
    <row r="74">
      <c r="A74" s="75" t="n"/>
      <c r="B74" s="75" t="n"/>
      <c r="C74" s="75" t="n"/>
      <c r="D74" s="82" t="n"/>
      <c r="E74" s="108" t="n"/>
    </row>
    <row r="75">
      <c r="A75" s="75" t="n"/>
      <c r="B75" s="75" t="n"/>
      <c r="C75" s="75" t="n"/>
      <c r="D75" s="82" t="n"/>
      <c r="E75" s="108" t="n"/>
    </row>
    <row r="76">
      <c r="A76" s="75" t="n"/>
      <c r="B76" s="75" t="n"/>
      <c r="C76" s="75" t="n"/>
      <c r="D76" s="82" t="n"/>
      <c r="E76" s="108" t="n"/>
    </row>
    <row r="77">
      <c r="A77" s="75" t="n"/>
      <c r="B77" s="75" t="n"/>
      <c r="C77" s="75" t="n"/>
      <c r="D77" s="82" t="n"/>
      <c r="E77" s="108" t="n"/>
    </row>
    <row r="78">
      <c r="A78" s="75" t="n"/>
      <c r="B78" s="75" t="n"/>
      <c r="C78" s="75" t="n"/>
      <c r="D78" s="82" t="n"/>
      <c r="E78" s="108" t="n"/>
    </row>
    <row r="79">
      <c r="A79" s="75" t="n"/>
      <c r="B79" s="75" t="n"/>
      <c r="C79" s="75" t="n"/>
      <c r="D79" s="82" t="n"/>
      <c r="E79" s="108" t="n"/>
    </row>
    <row r="80">
      <c r="A80" s="75" t="n"/>
      <c r="B80" s="75" t="n"/>
      <c r="C80" s="75" t="n"/>
      <c r="D80" s="82" t="n"/>
      <c r="E80" s="108" t="n"/>
    </row>
    <row r="81">
      <c r="A81" s="75" t="n"/>
      <c r="B81" s="75" t="n"/>
      <c r="C81" s="75" t="n"/>
      <c r="D81" s="82" t="n"/>
      <c r="E81" s="108" t="n"/>
    </row>
    <row r="82">
      <c r="A82" s="75" t="n"/>
      <c r="B82" s="75" t="n"/>
      <c r="C82" s="75" t="n"/>
      <c r="D82" s="82" t="n"/>
      <c r="E82" s="108" t="n"/>
    </row>
    <row r="83">
      <c r="A83" s="75" t="n"/>
      <c r="B83" s="75" t="n"/>
      <c r="C83" s="75" t="n"/>
      <c r="D83" s="82" t="n"/>
      <c r="E83" s="108" t="n"/>
    </row>
    <row r="84">
      <c r="A84" s="75" t="n"/>
      <c r="B84" s="75" t="n"/>
      <c r="C84" s="75" t="n"/>
      <c r="D84" s="82" t="n"/>
      <c r="E84" s="108" t="n"/>
    </row>
    <row r="85">
      <c r="A85" s="75" t="n"/>
      <c r="B85" s="75" t="n"/>
      <c r="C85" s="75" t="n"/>
      <c r="D85" s="82" t="n"/>
      <c r="E85" s="108" t="n"/>
    </row>
    <row r="86">
      <c r="A86" s="75" t="n"/>
      <c r="B86" s="75" t="n"/>
      <c r="C86" s="75" t="n"/>
      <c r="D86" s="82" t="n"/>
      <c r="E86" s="108" t="n"/>
    </row>
    <row r="87">
      <c r="A87" s="75" t="n"/>
      <c r="B87" s="75" t="n"/>
      <c r="C87" s="75" t="n"/>
      <c r="D87" s="82" t="n"/>
      <c r="E87" s="108" t="n"/>
    </row>
    <row r="88">
      <c r="A88" s="75" t="n"/>
      <c r="B88" s="75" t="n"/>
      <c r="C88" s="75" t="n"/>
      <c r="D88" s="82" t="n"/>
      <c r="E88" s="108" t="n"/>
    </row>
    <row r="89">
      <c r="A89" s="75" t="n"/>
      <c r="B89" s="75" t="n"/>
      <c r="C89" s="75" t="n"/>
      <c r="D89" s="82" t="n"/>
      <c r="E89" s="108" t="n"/>
    </row>
    <row r="90">
      <c r="A90" s="75" t="n"/>
      <c r="B90" s="75" t="n"/>
      <c r="C90" s="75" t="n"/>
      <c r="D90" s="82" t="n"/>
      <c r="E90" s="108" t="n"/>
    </row>
    <row r="91">
      <c r="A91" s="75" t="n"/>
      <c r="B91" s="75" t="n"/>
      <c r="C91" s="75" t="n"/>
      <c r="D91" s="82" t="n"/>
      <c r="E91" s="108" t="n"/>
    </row>
    <row r="92">
      <c r="A92" s="75" t="n"/>
      <c r="B92" s="75" t="n"/>
      <c r="C92" s="75" t="n"/>
      <c r="D92" s="82" t="n"/>
      <c r="E92" s="108" t="n"/>
    </row>
    <row r="93">
      <c r="A93" s="75" t="n"/>
      <c r="B93" s="75" t="n"/>
      <c r="C93" s="75" t="n"/>
      <c r="D93" s="82" t="n"/>
      <c r="E93" s="108" t="n"/>
    </row>
    <row r="94">
      <c r="A94" s="75" t="n"/>
      <c r="B94" s="75" t="n"/>
      <c r="C94" s="75" t="n"/>
      <c r="D94" s="82" t="n"/>
      <c r="E94" s="108" t="n"/>
    </row>
    <row r="95">
      <c r="A95" s="75" t="n"/>
      <c r="B95" s="75" t="n"/>
      <c r="C95" s="75" t="n"/>
      <c r="D95" s="82" t="n"/>
      <c r="E95" s="108" t="n"/>
    </row>
    <row r="96">
      <c r="A96" s="75" t="n"/>
      <c r="B96" s="75" t="n"/>
      <c r="C96" s="75" t="n"/>
      <c r="D96" s="82" t="n"/>
      <c r="E96" s="108" t="n"/>
    </row>
    <row r="97">
      <c r="A97" s="75" t="n"/>
      <c r="B97" s="75" t="n"/>
      <c r="C97" s="75" t="n"/>
      <c r="D97" s="82" t="n"/>
      <c r="E97" s="108" t="n"/>
    </row>
    <row r="98">
      <c r="A98" s="75" t="n"/>
      <c r="B98" s="75" t="n"/>
      <c r="C98" s="75" t="n"/>
      <c r="D98" s="82" t="n"/>
      <c r="E98" s="108" t="n"/>
    </row>
    <row r="99">
      <c r="A99" s="75" t="n"/>
      <c r="B99" s="75" t="n"/>
      <c r="C99" s="75" t="n"/>
      <c r="D99" s="82" t="n"/>
      <c r="E99" s="108" t="n"/>
    </row>
    <row r="100">
      <c r="A100" s="75" t="n"/>
      <c r="B100" s="75" t="n"/>
      <c r="C100" s="75" t="n"/>
      <c r="D100" s="82" t="n"/>
      <c r="E100" s="108" t="n"/>
    </row>
    <row r="101">
      <c r="A101" s="75" t="n"/>
      <c r="B101" s="75" t="n"/>
      <c r="C101" s="75" t="n"/>
      <c r="D101" s="82" t="n"/>
      <c r="E101" s="108" t="n"/>
    </row>
    <row r="102">
      <c r="A102" s="75" t="n"/>
      <c r="B102" s="75" t="n"/>
      <c r="C102" s="75" t="n"/>
      <c r="D102" s="82" t="n"/>
      <c r="E102" s="108" t="n"/>
    </row>
    <row r="103">
      <c r="A103" s="75" t="n"/>
      <c r="B103" s="75" t="n"/>
      <c r="C103" s="75" t="n"/>
      <c r="D103" s="82" t="n"/>
      <c r="E103" s="108" t="n"/>
    </row>
    <row r="104">
      <c r="A104" s="75" t="n"/>
      <c r="B104" s="75" t="n"/>
      <c r="C104" s="75" t="n"/>
      <c r="D104" s="82" t="n"/>
      <c r="E104" s="108" t="n"/>
    </row>
    <row r="105">
      <c r="A105" s="75" t="n"/>
      <c r="B105" s="75" t="n"/>
      <c r="C105" s="75" t="n"/>
      <c r="D105" s="82" t="n"/>
      <c r="E105" s="108" t="n"/>
    </row>
    <row r="106">
      <c r="A106" s="75" t="n"/>
      <c r="B106" s="75" t="n"/>
      <c r="C106" s="75" t="n"/>
      <c r="D106" s="82" t="n"/>
      <c r="E106" s="108" t="n"/>
    </row>
    <row r="107">
      <c r="A107" s="75" t="n"/>
      <c r="B107" s="75" t="n"/>
      <c r="C107" s="75" t="n"/>
      <c r="D107" s="82" t="n"/>
      <c r="E107" s="108" t="n"/>
    </row>
    <row r="108">
      <c r="A108" s="75" t="n"/>
      <c r="B108" s="75" t="n"/>
      <c r="C108" s="75" t="n"/>
      <c r="D108" s="82" t="n"/>
      <c r="E108" s="108" t="n"/>
    </row>
    <row r="109">
      <c r="A109" s="75" t="n"/>
      <c r="B109" s="75" t="n"/>
      <c r="C109" s="75" t="n"/>
      <c r="D109" s="82" t="n"/>
      <c r="E109" s="108" t="n"/>
    </row>
    <row r="110">
      <c r="A110" s="75" t="n"/>
      <c r="B110" s="75" t="n"/>
      <c r="C110" s="75" t="n"/>
      <c r="D110" s="82" t="n"/>
      <c r="E110" s="108" t="n"/>
    </row>
    <row r="111">
      <c r="A111" s="75" t="n"/>
      <c r="B111" s="75" t="n"/>
      <c r="C111" s="75" t="n"/>
      <c r="D111" s="82" t="n"/>
      <c r="E111" s="108" t="n"/>
    </row>
    <row r="112">
      <c r="A112" s="75" t="n"/>
      <c r="B112" s="75" t="n"/>
      <c r="C112" s="75" t="n"/>
      <c r="D112" s="82" t="n"/>
      <c r="E112" s="108" t="n"/>
    </row>
    <row r="113">
      <c r="A113" s="75" t="n"/>
      <c r="B113" s="75" t="n"/>
      <c r="C113" s="75" t="n"/>
      <c r="D113" s="82" t="n"/>
      <c r="E113" s="108" t="n"/>
    </row>
    <row r="114">
      <c r="A114" s="75" t="n"/>
      <c r="B114" s="75" t="n"/>
      <c r="C114" s="75" t="n"/>
      <c r="D114" s="82" t="n"/>
      <c r="E114" s="108" t="n"/>
    </row>
    <row r="115">
      <c r="A115" s="75" t="n"/>
      <c r="B115" s="75" t="n"/>
      <c r="C115" s="75" t="n"/>
      <c r="D115" s="82" t="n"/>
      <c r="E115" s="108" t="n"/>
    </row>
    <row r="116">
      <c r="A116" s="75" t="n"/>
      <c r="B116" s="75" t="n"/>
      <c r="C116" s="75" t="n"/>
      <c r="D116" s="82" t="n"/>
      <c r="E116" s="108" t="n"/>
    </row>
    <row r="117">
      <c r="A117" s="75" t="n"/>
      <c r="B117" s="75" t="n"/>
      <c r="C117" s="75" t="n"/>
      <c r="D117" s="82" t="n"/>
      <c r="E117" s="108" t="n"/>
    </row>
    <row r="118">
      <c r="A118" s="75" t="n"/>
      <c r="B118" s="75" t="n"/>
      <c r="C118" s="75" t="n"/>
      <c r="D118" s="82" t="n"/>
      <c r="E118" s="108" t="n"/>
    </row>
    <row r="119">
      <c r="A119" s="75" t="n"/>
      <c r="B119" s="75" t="n"/>
      <c r="C119" s="75" t="n"/>
      <c r="D119" s="82" t="n"/>
      <c r="E119" s="108" t="n"/>
    </row>
    <row r="120">
      <c r="A120" s="75" t="n"/>
      <c r="B120" s="75" t="n"/>
      <c r="C120" s="75" t="n"/>
      <c r="D120" s="82" t="n"/>
      <c r="E120" s="108" t="n"/>
    </row>
    <row r="121">
      <c r="A121" s="75" t="n"/>
      <c r="B121" s="75" t="n"/>
      <c r="C121" s="75" t="n"/>
      <c r="D121" s="82" t="n"/>
      <c r="E121" s="108" t="n"/>
    </row>
    <row r="122">
      <c r="A122" s="75" t="n"/>
      <c r="B122" s="75" t="n"/>
      <c r="C122" s="75" t="n"/>
      <c r="D122" s="82" t="n"/>
      <c r="E122" s="108" t="n"/>
    </row>
    <row r="123">
      <c r="A123" s="75" t="n"/>
      <c r="B123" s="75" t="n"/>
      <c r="C123" s="75" t="n"/>
      <c r="D123" s="82" t="n"/>
      <c r="E123" s="108" t="n"/>
    </row>
    <row r="124">
      <c r="A124" s="75" t="n"/>
      <c r="B124" s="75" t="n"/>
      <c r="C124" s="75" t="n"/>
      <c r="D124" s="82" t="n"/>
      <c r="E124" s="108" t="n"/>
    </row>
    <row r="125">
      <c r="A125" s="75" t="n"/>
      <c r="B125" s="75" t="n"/>
      <c r="C125" s="75" t="n"/>
      <c r="D125" s="82" t="n"/>
      <c r="E125" s="108" t="n"/>
    </row>
    <row r="126">
      <c r="A126" s="75" t="n"/>
      <c r="B126" s="75" t="n"/>
      <c r="C126" s="75" t="n"/>
      <c r="D126" s="82" t="n"/>
      <c r="E126" s="108" t="n"/>
    </row>
    <row r="127">
      <c r="A127" s="75" t="n"/>
      <c r="B127" s="75" t="n"/>
      <c r="C127" s="75" t="n"/>
      <c r="D127" s="82" t="n"/>
      <c r="E127" s="108" t="n"/>
    </row>
    <row r="128">
      <c r="A128" s="75" t="n"/>
      <c r="B128" s="75" t="n"/>
      <c r="C128" s="75" t="n"/>
      <c r="D128" s="82" t="n"/>
      <c r="E128" s="108" t="n"/>
    </row>
    <row r="129">
      <c r="A129" s="75" t="n"/>
      <c r="B129" s="75" t="n"/>
      <c r="C129" s="75" t="n"/>
      <c r="D129" s="82" t="n"/>
      <c r="E129" s="108" t="n"/>
    </row>
    <row r="130">
      <c r="A130" s="75" t="n"/>
      <c r="B130" s="75" t="n"/>
      <c r="C130" s="75" t="n"/>
      <c r="D130" s="82" t="n"/>
      <c r="E130" s="108" t="n"/>
    </row>
    <row r="131">
      <c r="A131" s="75" t="n"/>
      <c r="B131" s="75" t="n"/>
      <c r="C131" s="75" t="n"/>
      <c r="D131" s="82" t="n"/>
      <c r="E131" s="108" t="n"/>
    </row>
    <row r="132">
      <c r="A132" s="75" t="n"/>
      <c r="B132" s="75" t="n"/>
      <c r="C132" s="75" t="n"/>
      <c r="D132" s="82" t="n"/>
      <c r="E132" s="108" t="n"/>
    </row>
    <row r="133">
      <c r="A133" s="75" t="n"/>
      <c r="B133" s="75" t="n"/>
      <c r="C133" s="75" t="n"/>
      <c r="D133" s="82" t="n"/>
      <c r="E133" s="108" t="n"/>
    </row>
    <row r="134">
      <c r="A134" s="75" t="n"/>
      <c r="B134" s="75" t="n"/>
      <c r="C134" s="75" t="n"/>
      <c r="D134" s="82" t="n"/>
      <c r="E134" s="108" t="n"/>
    </row>
    <row r="135">
      <c r="A135" s="75" t="n"/>
      <c r="B135" s="75" t="n"/>
      <c r="C135" s="75" t="n"/>
      <c r="D135" s="82" t="n"/>
      <c r="E135" s="108" t="n"/>
    </row>
    <row r="136">
      <c r="A136" s="75" t="n"/>
      <c r="B136" s="75" t="n"/>
      <c r="C136" s="75" t="n"/>
      <c r="D136" s="82" t="n"/>
      <c r="E136" s="108" t="n"/>
    </row>
    <row r="137">
      <c r="A137" s="75" t="n"/>
      <c r="B137" s="75" t="n"/>
      <c r="C137" s="75" t="n"/>
      <c r="D137" s="82" t="n"/>
      <c r="E137" s="108" t="n"/>
    </row>
    <row r="138">
      <c r="A138" s="75" t="n"/>
      <c r="B138" s="75" t="n"/>
      <c r="C138" s="75" t="n"/>
      <c r="D138" s="82" t="n"/>
      <c r="E138" s="108" t="n"/>
    </row>
    <row r="139">
      <c r="A139" s="75" t="n"/>
      <c r="B139" s="75" t="n"/>
      <c r="C139" s="75" t="n"/>
      <c r="D139" s="82" t="n"/>
      <c r="E139" s="108" t="n"/>
    </row>
    <row r="140">
      <c r="A140" s="75" t="n"/>
      <c r="B140" s="75" t="n"/>
      <c r="C140" s="75" t="n"/>
      <c r="D140" s="82" t="n"/>
      <c r="E140" s="108" t="n"/>
    </row>
    <row r="141">
      <c r="A141" s="75" t="n"/>
      <c r="B141" s="75" t="n"/>
      <c r="C141" s="75" t="n"/>
      <c r="D141" s="82" t="n"/>
      <c r="E141" s="108" t="n"/>
    </row>
    <row r="142">
      <c r="A142" s="75" t="n"/>
      <c r="B142" s="75" t="n"/>
      <c r="C142" s="75" t="n"/>
      <c r="D142" s="82" t="n"/>
      <c r="E142" s="108" t="n"/>
    </row>
    <row r="143">
      <c r="A143" s="75" t="n"/>
      <c r="B143" s="75" t="n"/>
      <c r="C143" s="75" t="n"/>
      <c r="D143" s="82" t="n"/>
      <c r="E143" s="108" t="n"/>
    </row>
    <row r="144">
      <c r="A144" s="75" t="n"/>
      <c r="B144" s="75" t="n"/>
      <c r="C144" s="75" t="n"/>
      <c r="D144" s="82" t="n"/>
      <c r="E144" s="108" t="n"/>
    </row>
    <row r="145">
      <c r="A145" s="75" t="n"/>
      <c r="B145" s="75" t="n"/>
      <c r="C145" s="75" t="n"/>
      <c r="D145" s="82" t="n"/>
      <c r="E145" s="108" t="n"/>
    </row>
    <row r="146">
      <c r="A146" s="75" t="n"/>
      <c r="B146" s="75" t="n"/>
      <c r="C146" s="75" t="n"/>
      <c r="D146" s="82" t="n"/>
      <c r="E146" s="108" t="n"/>
    </row>
    <row r="147">
      <c r="A147" s="75" t="n"/>
      <c r="B147" s="75" t="n"/>
      <c r="C147" s="75" t="n"/>
      <c r="D147" s="82" t="n"/>
      <c r="E147" s="108" t="n"/>
    </row>
    <row r="148">
      <c r="A148" s="75" t="n"/>
      <c r="B148" s="75" t="n"/>
      <c r="C148" s="75" t="n"/>
      <c r="D148" s="82" t="n"/>
      <c r="E148" s="108" t="n"/>
    </row>
    <row r="149">
      <c r="A149" s="75" t="n"/>
      <c r="B149" s="75" t="n"/>
      <c r="C149" s="75" t="n"/>
      <c r="D149" s="82" t="n"/>
      <c r="E149" s="108" t="n"/>
    </row>
    <row r="150">
      <c r="A150" s="75" t="n"/>
      <c r="B150" s="75" t="n"/>
      <c r="C150" s="75" t="n"/>
      <c r="D150" s="82" t="n"/>
      <c r="E150" s="108" t="n"/>
    </row>
    <row r="151">
      <c r="A151" s="75" t="n"/>
      <c r="B151" s="75" t="n"/>
      <c r="C151" s="75" t="n"/>
      <c r="D151" s="82" t="n"/>
      <c r="E151" s="108" t="n"/>
    </row>
    <row r="152">
      <c r="A152" s="75" t="n"/>
      <c r="B152" s="75" t="n"/>
      <c r="C152" s="75" t="n"/>
      <c r="D152" s="82" t="n"/>
      <c r="E152" s="108" t="n"/>
    </row>
    <row r="153">
      <c r="A153" s="75" t="n"/>
      <c r="B153" s="75" t="n"/>
      <c r="C153" s="75" t="n"/>
      <c r="D153" s="82" t="n"/>
      <c r="E153" s="108" t="n"/>
    </row>
    <row r="154">
      <c r="A154" s="75" t="n"/>
      <c r="B154" s="75" t="n"/>
      <c r="C154" s="75" t="n"/>
      <c r="D154" s="82" t="n"/>
      <c r="E154" s="108" t="n"/>
    </row>
    <row r="155">
      <c r="A155" s="75" t="n"/>
      <c r="B155" s="75" t="n"/>
      <c r="C155" s="75" t="n"/>
      <c r="D155" s="82" t="n"/>
      <c r="E155" s="108" t="n"/>
    </row>
    <row r="156">
      <c r="A156" s="75" t="n"/>
      <c r="B156" s="75" t="n"/>
      <c r="C156" s="75" t="n"/>
      <c r="D156" s="82" t="n"/>
      <c r="E156" s="108" t="n"/>
    </row>
    <row r="157">
      <c r="A157" s="75" t="n"/>
      <c r="B157" s="75" t="n"/>
      <c r="C157" s="75" t="n"/>
      <c r="D157" s="82" t="n"/>
      <c r="E157" s="108" t="n"/>
    </row>
    <row r="158">
      <c r="A158" s="75" t="n"/>
      <c r="B158" s="75" t="n"/>
      <c r="C158" s="75" t="n"/>
      <c r="D158" s="82" t="n"/>
      <c r="E158" s="108" t="n"/>
    </row>
    <row r="159">
      <c r="A159" s="75" t="n"/>
      <c r="B159" s="75" t="n"/>
      <c r="C159" s="75" t="n"/>
      <c r="D159" s="82" t="n"/>
      <c r="E159" s="108" t="n"/>
    </row>
    <row r="160">
      <c r="A160" s="75" t="n"/>
      <c r="B160" s="75" t="n"/>
      <c r="C160" s="75" t="n"/>
      <c r="D160" s="82" t="n"/>
      <c r="E160" s="108" t="n"/>
    </row>
    <row r="161">
      <c r="A161" s="75" t="n"/>
      <c r="B161" s="75" t="n"/>
      <c r="C161" s="75" t="n"/>
      <c r="D161" s="82" t="n"/>
      <c r="E161" s="108" t="n"/>
    </row>
    <row r="162">
      <c r="A162" s="75" t="n"/>
      <c r="B162" s="75" t="n"/>
      <c r="C162" s="75" t="n"/>
      <c r="D162" s="82" t="n"/>
      <c r="E162" s="108" t="n"/>
    </row>
    <row r="163">
      <c r="A163" s="75" t="n"/>
      <c r="B163" s="75" t="n"/>
      <c r="C163" s="75" t="n"/>
      <c r="D163" s="82" t="n"/>
      <c r="E163" s="108" t="n"/>
    </row>
    <row r="164">
      <c r="A164" s="75" t="n"/>
      <c r="B164" s="75" t="n"/>
      <c r="C164" s="75" t="n"/>
      <c r="D164" s="82" t="n"/>
      <c r="E164" s="108" t="n"/>
    </row>
    <row r="165">
      <c r="A165" s="75" t="n"/>
      <c r="B165" s="75" t="n"/>
      <c r="C165" s="75" t="n"/>
      <c r="D165" s="82" t="n"/>
      <c r="E165" s="108" t="n"/>
    </row>
    <row r="166">
      <c r="A166" s="75" t="n"/>
      <c r="B166" s="75" t="n"/>
      <c r="C166" s="75" t="n"/>
      <c r="D166" s="82" t="n"/>
      <c r="E166" s="108" t="n"/>
    </row>
    <row r="167">
      <c r="A167" s="75" t="n"/>
      <c r="B167" s="75" t="n"/>
      <c r="C167" s="75" t="n"/>
      <c r="D167" s="82" t="n"/>
      <c r="E167" s="108" t="n"/>
    </row>
    <row r="168">
      <c r="A168" s="75" t="n"/>
      <c r="B168" s="75" t="n"/>
      <c r="C168" s="75" t="n"/>
      <c r="D168" s="82" t="n"/>
      <c r="E168" s="108" t="n"/>
    </row>
    <row r="169">
      <c r="A169" s="75" t="n"/>
      <c r="B169" s="75" t="n"/>
      <c r="C169" s="75" t="n"/>
      <c r="D169" s="82" t="n"/>
      <c r="E169" s="108" t="n"/>
    </row>
    <row r="170">
      <c r="A170" s="75" t="n"/>
      <c r="B170" s="75" t="n"/>
      <c r="C170" s="75" t="n"/>
      <c r="D170" s="82" t="n"/>
      <c r="E170" s="108" t="n"/>
    </row>
    <row r="171">
      <c r="A171" s="75" t="n"/>
      <c r="B171" s="75" t="n"/>
      <c r="C171" s="75" t="n"/>
      <c r="D171" s="82" t="n"/>
      <c r="E171" s="108" t="n"/>
    </row>
    <row r="172">
      <c r="A172" s="75" t="n"/>
      <c r="B172" s="75" t="n"/>
      <c r="C172" s="75" t="n"/>
      <c r="D172" s="82" t="n"/>
      <c r="E172" s="108" t="n"/>
    </row>
    <row r="173">
      <c r="A173" s="75" t="n"/>
      <c r="B173" s="75" t="n"/>
      <c r="C173" s="75" t="n"/>
      <c r="D173" s="82" t="n"/>
      <c r="E173" s="108" t="n"/>
    </row>
    <row r="174">
      <c r="A174" s="75" t="n"/>
      <c r="B174" s="75" t="n"/>
      <c r="C174" s="75" t="n"/>
      <c r="D174" s="82" t="n"/>
      <c r="E174" s="108" t="n"/>
    </row>
    <row r="175">
      <c r="A175" s="75" t="n"/>
      <c r="B175" s="75" t="n"/>
      <c r="C175" s="75" t="n"/>
      <c r="D175" s="82" t="n"/>
      <c r="E175" s="108" t="n"/>
    </row>
    <row r="176">
      <c r="A176" s="75" t="n"/>
      <c r="B176" s="75" t="n"/>
      <c r="C176" s="75" t="n"/>
      <c r="D176" s="82" t="n"/>
      <c r="E176" s="108" t="n"/>
    </row>
    <row r="177">
      <c r="A177" s="75" t="n"/>
      <c r="B177" s="75" t="n"/>
      <c r="C177" s="75" t="n"/>
      <c r="D177" s="82" t="n"/>
      <c r="E177" s="108" t="n"/>
    </row>
    <row r="178">
      <c r="A178" s="75" t="n"/>
      <c r="B178" s="75" t="n"/>
      <c r="C178" s="75" t="n"/>
      <c r="D178" s="82" t="n"/>
      <c r="E178" s="108" t="n"/>
    </row>
    <row r="179">
      <c r="A179" s="75" t="n"/>
      <c r="B179" s="75" t="n"/>
      <c r="C179" s="75" t="n"/>
      <c r="D179" s="82" t="n"/>
      <c r="E179" s="108" t="n"/>
    </row>
    <row r="180">
      <c r="A180" s="75" t="n"/>
      <c r="B180" s="75" t="n"/>
      <c r="C180" s="75" t="n"/>
      <c r="D180" s="82" t="n"/>
      <c r="E180" s="108" t="n"/>
    </row>
    <row r="181">
      <c r="A181" s="75" t="n"/>
      <c r="B181" s="75" t="n"/>
      <c r="C181" s="75" t="n"/>
      <c r="D181" s="82" t="n"/>
      <c r="E181" s="108" t="n"/>
    </row>
    <row r="182">
      <c r="A182" s="75" t="n"/>
      <c r="B182" s="75" t="n"/>
      <c r="C182" s="75" t="n"/>
      <c r="D182" s="82" t="n"/>
      <c r="E182" s="108" t="n"/>
    </row>
    <row r="183">
      <c r="A183" s="75" t="n"/>
      <c r="B183" s="75" t="n"/>
      <c r="C183" s="75" t="n"/>
      <c r="D183" s="82" t="n"/>
      <c r="E183" s="108" t="n"/>
    </row>
    <row r="184">
      <c r="A184" s="75" t="n"/>
      <c r="B184" s="75" t="n"/>
      <c r="C184" s="75" t="n"/>
      <c r="D184" s="82" t="n"/>
      <c r="E184" s="108" t="n"/>
    </row>
    <row r="185">
      <c r="A185" s="75" t="n"/>
      <c r="B185" s="75" t="n"/>
      <c r="C185" s="75" t="n"/>
      <c r="D185" s="82" t="n"/>
      <c r="E185" s="108" t="n"/>
    </row>
    <row r="186">
      <c r="A186" s="75" t="n"/>
      <c r="B186" s="75" t="n"/>
      <c r="C186" s="75" t="n"/>
      <c r="D186" s="82" t="n"/>
      <c r="E186" s="108" t="n"/>
    </row>
    <row r="187">
      <c r="A187" s="75" t="n"/>
      <c r="B187" s="75" t="n"/>
      <c r="C187" s="75" t="n"/>
      <c r="D187" s="82" t="n"/>
      <c r="E187" s="108" t="n"/>
    </row>
    <row r="188">
      <c r="A188" s="75" t="n"/>
      <c r="B188" s="75" t="n"/>
      <c r="C188" s="75" t="n"/>
      <c r="D188" s="82" t="n"/>
      <c r="E188" s="108" t="n"/>
    </row>
    <row r="189">
      <c r="A189" s="75" t="n"/>
      <c r="B189" s="75" t="n"/>
      <c r="C189" s="75" t="n"/>
      <c r="D189" s="82" t="n"/>
      <c r="E189" s="108" t="n"/>
    </row>
    <row r="190">
      <c r="A190" s="75" t="n"/>
      <c r="B190" s="75" t="n"/>
      <c r="C190" s="75" t="n"/>
      <c r="D190" s="82" t="n"/>
      <c r="E190" s="108" t="n"/>
    </row>
    <row r="191">
      <c r="A191" s="75" t="n"/>
      <c r="B191" s="75" t="n"/>
      <c r="C191" s="75" t="n"/>
      <c r="D191" s="82" t="n"/>
      <c r="E191" s="108" t="n"/>
    </row>
    <row r="192">
      <c r="A192" s="75" t="n"/>
      <c r="B192" s="75" t="n"/>
      <c r="C192" s="75" t="n"/>
      <c r="D192" s="82" t="n"/>
      <c r="E192" s="108" t="n"/>
    </row>
    <row r="193">
      <c r="A193" s="75" t="n"/>
      <c r="B193" s="75" t="n"/>
      <c r="C193" s="75" t="n"/>
      <c r="D193" s="82" t="n"/>
      <c r="E193" s="108" t="n"/>
    </row>
    <row r="194">
      <c r="A194" s="75" t="n"/>
      <c r="B194" s="75" t="n"/>
      <c r="C194" s="75" t="n"/>
      <c r="D194" s="82" t="n"/>
      <c r="E194" s="108" t="n"/>
    </row>
    <row r="195">
      <c r="A195" s="75" t="n"/>
      <c r="B195" s="75" t="n"/>
      <c r="C195" s="75" t="n"/>
      <c r="D195" s="82" t="n"/>
      <c r="E195" s="108" t="n"/>
    </row>
    <row r="196">
      <c r="A196" s="75" t="n"/>
      <c r="B196" s="75" t="n"/>
      <c r="C196" s="75" t="n"/>
      <c r="D196" s="82" t="n"/>
      <c r="E196" s="108" t="n"/>
    </row>
    <row r="197">
      <c r="A197" s="75" t="n"/>
      <c r="B197" s="75" t="n"/>
      <c r="C197" s="75" t="n"/>
      <c r="D197" s="82" t="n"/>
      <c r="E197" s="108" t="n"/>
    </row>
    <row r="198">
      <c r="A198" s="75" t="n"/>
      <c r="B198" s="75" t="n"/>
      <c r="C198" s="75" t="n"/>
      <c r="D198" s="82" t="n"/>
      <c r="E198" s="108" t="n"/>
    </row>
    <row r="199">
      <c r="A199" s="75" t="n"/>
      <c r="B199" s="75" t="n"/>
      <c r="C199" s="75" t="n"/>
      <c r="D199" s="82" t="n"/>
      <c r="E199" s="108" t="n"/>
    </row>
    <row r="200">
      <c r="A200" s="75" t="n"/>
      <c r="B200" s="75" t="n"/>
      <c r="C200" s="75" t="n"/>
      <c r="D200" s="82" t="n"/>
      <c r="E200" s="108" t="n"/>
    </row>
    <row r="201">
      <c r="A201" s="75" t="n"/>
      <c r="B201" s="75" t="n"/>
      <c r="C201" s="75" t="n"/>
      <c r="D201" s="82" t="n"/>
      <c r="E201" s="108" t="n"/>
    </row>
    <row r="202">
      <c r="A202" s="75" t="n"/>
      <c r="B202" s="75" t="n"/>
      <c r="C202" s="75" t="n"/>
      <c r="D202" s="82" t="n"/>
      <c r="E202" s="108" t="n"/>
    </row>
    <row r="203">
      <c r="A203" s="75" t="n"/>
      <c r="B203" s="75" t="n"/>
      <c r="C203" s="75" t="n"/>
      <c r="D203" s="82" t="n"/>
      <c r="E203" s="108" t="n"/>
    </row>
    <row r="204">
      <c r="A204" s="75" t="n"/>
      <c r="B204" s="75" t="n"/>
      <c r="C204" s="75" t="n"/>
      <c r="D204" s="82" t="n"/>
      <c r="E204" s="108" t="n"/>
    </row>
    <row r="206">
      <c r="A206" s="65" t="inlineStr">
        <is>
          <t>Tipp: Kategorien, die du im Blatt Buchungen einträgst, merkt sich der Import für denselben Händler automatisch – Regeln brauchst du nur für Sonderfälle.</t>
        </is>
      </c>
    </row>
  </sheetData>
  <dataValidations count="2">
    <dataValidation sqref="C5:C204" showDropDown="0" showInputMessage="0" showErrorMessage="0" allowBlank="1" type="list">
      <formula1>Einstellungen!$A$5:$A$29</formula1>
    </dataValidation>
    <dataValidation sqref="D5:D204" showDropDown="0" showInputMessage="0" showErrorMessage="0" allowBlank="1" type="list">
      <formula1>Einstellungen!$E$5:$E$9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inst">
    <outlinePr summaryBelow="1" summaryRight="1"/>
    <pageSetUpPr/>
  </sheetPr>
  <dimension ref="A1:H31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3" customWidth="1" min="2" max="2"/>
    <col width="18" customWidth="1" min="3" max="3"/>
    <col width="3" customWidth="1" min="4" max="4"/>
    <col width="16" customWidth="1" min="5" max="5"/>
    <col width="3" customWidth="1" min="6" max="6"/>
    <col width="46" customWidth="1" min="7" max="7"/>
    <col width="22" customWidth="1" min="8" max="8"/>
  </cols>
  <sheetData>
    <row r="1">
      <c r="A1" s="64" t="inlineStr">
        <is>
          <t>Einstellungen</t>
        </is>
      </c>
    </row>
    <row r="2">
      <c r="A2" s="65" t="inlineStr">
        <is>
          <t>Blau = änderbar. Kategorien, Kontotypen und Arten erscheinen als Auswahllisten in der ganzen Mappe.</t>
        </is>
      </c>
    </row>
    <row r="4" ht="30" customHeight="1">
      <c r="A4" s="73" t="inlineStr">
        <is>
          <t>Kategorien</t>
        </is>
      </c>
      <c r="C4" s="73" t="inlineStr">
        <is>
          <t>Kontotypen</t>
        </is>
      </c>
      <c r="E4" s="73" t="inlineStr">
        <is>
          <t>Arten (fest)</t>
        </is>
      </c>
      <c r="G4" s="73" t="inlineStr">
        <is>
          <t>Parameter</t>
        </is>
      </c>
      <c r="H4" s="74" t="inlineStr">
        <is>
          <t>Wert</t>
        </is>
      </c>
    </row>
    <row r="5">
      <c r="A5" s="75" t="inlineStr">
        <is>
          <t>Wohnen</t>
        </is>
      </c>
      <c r="C5" s="75" t="inlineStr">
        <is>
          <t>Girokonto</t>
        </is>
      </c>
      <c r="E5" s="88" t="inlineStr">
        <is>
          <t>Ausgabe</t>
        </is>
      </c>
      <c r="G5" s="110" t="inlineStr">
        <is>
          <t>Import-Ordner (leer = Ordner „Import“ neben der Mappe, auch in OneDrive)</t>
        </is>
      </c>
      <c r="H5" s="111" t="n"/>
    </row>
    <row r="6">
      <c r="A6" s="75" t="inlineStr">
        <is>
          <t>Lebensmittel</t>
        </is>
      </c>
      <c r="C6" s="75" t="inlineStr">
        <is>
          <t>Sparkonto</t>
        </is>
      </c>
      <c r="E6" s="88" t="inlineStr">
        <is>
          <t>Fixkosten</t>
        </is>
      </c>
      <c r="G6" s="110" t="inlineStr">
        <is>
          <t>Warnung, wenn verfügbar unter</t>
        </is>
      </c>
      <c r="H6" s="77" t="n">
        <v>100</v>
      </c>
    </row>
    <row r="7">
      <c r="A7" s="75" t="inlineStr">
        <is>
          <t>Essen gehen</t>
        </is>
      </c>
      <c r="C7" s="75" t="inlineStr">
        <is>
          <t>Bausparkonto</t>
        </is>
      </c>
      <c r="E7" s="88" t="inlineStr">
        <is>
          <t>Einnahme</t>
        </is>
      </c>
      <c r="G7" s="110" t="inlineStr">
        <is>
          <t>Toleranz Fixkosten-Betrag (±)</t>
        </is>
      </c>
      <c r="H7" s="112" t="n">
        <v>0.25</v>
      </c>
    </row>
    <row r="8">
      <c r="A8" s="75" t="inlineStr">
        <is>
          <t>Auto &amp; Tanken</t>
        </is>
      </c>
      <c r="C8" s="75" t="inlineStr">
        <is>
          <t>Kreditkarte</t>
        </is>
      </c>
      <c r="E8" s="88" t="inlineStr">
        <is>
          <t>Umbuchung</t>
        </is>
      </c>
    </row>
    <row r="9">
      <c r="A9" s="75" t="inlineStr">
        <is>
          <t>Versicherung</t>
        </is>
      </c>
      <c r="C9" s="75" t="inlineStr">
        <is>
          <t>Sonstiges</t>
        </is>
      </c>
      <c r="E9" s="88" t="inlineStr">
        <is>
          <t>Ignorieren</t>
        </is>
      </c>
      <c r="G9" s="113" t="inlineStr">
        <is>
          <t>Toleranz: Ein Fixkosten-Suchbegriff gilt nur, wenn der Betrag höchstens so weit vom „Betrag je Zahlung“ abweicht – sonst wird die Buchung als normale Ausgabe importiert.</t>
        </is>
      </c>
    </row>
    <row r="10">
      <c r="A10" s="75" t="inlineStr">
        <is>
          <t>Abos &amp; Streaming</t>
        </is>
      </c>
    </row>
    <row r="11">
      <c r="A11" s="75" t="inlineStr">
        <is>
          <t>Handy &amp; Internet</t>
        </is>
      </c>
    </row>
    <row r="12">
      <c r="A12" s="75" t="inlineStr">
        <is>
          <t>Drogerie &amp; Kosmetik</t>
        </is>
      </c>
    </row>
    <row r="13">
      <c r="A13" s="75" t="inlineStr">
        <is>
          <t>Kleidung</t>
        </is>
      </c>
    </row>
    <row r="14">
      <c r="A14" s="75" t="inlineStr">
        <is>
          <t>Haustiere</t>
        </is>
      </c>
    </row>
    <row r="15">
      <c r="A15" s="75" t="inlineStr">
        <is>
          <t>Freizeit &amp; Hobby</t>
        </is>
      </c>
    </row>
    <row r="16">
      <c r="A16" s="75" t="inlineStr">
        <is>
          <t>Geschenke &amp; Blumen</t>
        </is>
      </c>
    </row>
    <row r="17">
      <c r="A17" s="75" t="inlineStr">
        <is>
          <t>Trafik &amp; Tabak</t>
        </is>
      </c>
    </row>
    <row r="18">
      <c r="A18" s="75" t="inlineStr">
        <is>
          <t>Glücksspiel</t>
        </is>
      </c>
    </row>
    <row r="19">
      <c r="A19" s="75" t="inlineStr">
        <is>
          <t>Gesundheit</t>
        </is>
      </c>
    </row>
    <row r="20">
      <c r="A20" s="75" t="inlineStr">
        <is>
          <t>Bank &amp; Gebühren</t>
        </is>
      </c>
    </row>
    <row r="21">
      <c r="A21" s="75" t="inlineStr">
        <is>
          <t>Bargeld</t>
        </is>
      </c>
    </row>
    <row r="22">
      <c r="A22" s="75" t="inlineStr">
        <is>
          <t>Sparen</t>
        </is>
      </c>
    </row>
    <row r="23">
      <c r="A23" s="75" t="inlineStr">
        <is>
          <t>Sonstiges</t>
        </is>
      </c>
    </row>
    <row r="24">
      <c r="A24" s="75" t="n"/>
    </row>
    <row r="25">
      <c r="A25" s="75" t="n"/>
    </row>
    <row r="26">
      <c r="A26" s="75" t="n"/>
    </row>
    <row r="27">
      <c r="A27" s="75" t="n"/>
    </row>
    <row r="28">
      <c r="A28" s="75" t="n"/>
    </row>
    <row r="29">
      <c r="A29" s="75" t="n"/>
    </row>
    <row r="31">
      <c r="A31" s="65" t="inlineStr">
        <is>
          <t>Eine Liste für Buchungen, Fixkosten und Importregeln. Umbenennen: danach auch in Buchungen/Fixkosten/Regeln anpassen (Suchen &amp; Ersetzen).</t>
        </is>
      </c>
    </row>
  </sheetData>
  <mergeCells count="1">
    <mergeCell ref="G9:H12"/>
  </mergeCells>
  <pageMargins left="0.75" right="0.75" top="1" bottom="1" header="0.5" footer="0.5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Hinweise">
    <outlinePr summaryBelow="1" summaryRight="1"/>
    <pageSetUpPr/>
  </sheetPr>
  <dimension ref="A1:B26"/>
  <sheetViews>
    <sheetView showGridLines="0" workbookViewId="0">
      <selection activeCell="A1" sqref="A1"/>
    </sheetView>
  </sheetViews>
  <sheetFormatPr baseColWidth="8" defaultRowHeight="15"/>
  <cols>
    <col width="4" customWidth="1" min="1" max="1"/>
    <col width="125" customWidth="1" min="2" max="2"/>
  </cols>
  <sheetData>
    <row r="1">
      <c r="A1" s="64" t="inlineStr">
        <is>
          <t>Hinweise</t>
        </is>
      </c>
    </row>
    <row r="3">
      <c r="A3" s="72" t="inlineStr">
        <is>
          <t>Import</t>
        </is>
      </c>
      <c r="B3" s="114" t="n"/>
    </row>
    <row r="4">
      <c r="A4" s="115" t="inlineStr">
        <is>
          <t>1</t>
        </is>
      </c>
      <c r="B4" s="60" t="inlineStr">
        <is>
          <t>George: je Konto (Giro, Sparkonto, Kreditkarte) den Umsatz-Export als JSON herunterladen.</t>
        </is>
      </c>
    </row>
    <row r="5">
      <c r="A5" s="115" t="inlineStr">
        <is>
          <t>2</t>
        </is>
      </c>
      <c r="B5" s="60" t="inlineStr">
        <is>
          <t>„Dateien importieren …“ (Übersicht, Buchungen oder Menüband „Finanzen“) → alle JSON-Dateien markieren → Öffnen.</t>
        </is>
      </c>
    </row>
    <row r="6">
      <c r="A6" s="115" t="inlineStr">
        <is>
          <t>3</t>
        </is>
      </c>
      <c r="B6" s="60" t="inlineStr">
        <is>
          <t>Oder: Dateien in den Ordner „Import“ neben dieser Mappe ziehen und „Import-Ordner einlesen“ klicken. Eingelesene Dateien werden nach „Import\erledigt“ verschoben. Liegen beim Öffnen der Mappe Dateien im Ordner, fragt die Mappe nach.</t>
        </is>
      </c>
    </row>
    <row r="7">
      <c r="A7" s="115" t="inlineStr">
        <is>
          <t>4</t>
        </is>
      </c>
      <c r="B7" s="60" t="inlineStr">
        <is>
          <t>Bereits importierte Buchungen werden erkannt (Spalte „Schlüssel“) – dieselbe Datei mehrfach einlesen ist unschädlich.</t>
        </is>
      </c>
    </row>
    <row r="8">
      <c r="A8" s="115" t="inlineStr">
        <is>
          <t>5</t>
        </is>
      </c>
      <c r="B8" s="60" t="inlineStr">
        <is>
          <t>Konten werden über IBAN/Kartennummer (Übersicht, Spalte „IBAN / Karte“) bzw. die Kontobezeichnung aus George erkannt; neue Nummern trägt der Import selbst ein.</t>
        </is>
      </c>
    </row>
    <row r="9">
      <c r="A9" s="72" t="inlineStr">
        <is>
          <t>Wie der Import einordnet</t>
        </is>
      </c>
      <c r="B9" s="114" t="n"/>
    </row>
    <row r="10">
      <c r="A10" s="115" t="inlineStr">
        <is>
          <t>•</t>
        </is>
      </c>
      <c r="B10" s="60" t="inlineStr">
        <is>
          <t>Importregeln (erste passende Zeile) → Bezeichnung, Kategorie und Art aus der Regel.</t>
        </is>
      </c>
    </row>
    <row r="11">
      <c r="A11" s="115" t="inlineStr">
        <is>
          <t>•</t>
        </is>
      </c>
      <c r="B11" s="60" t="inlineStr">
        <is>
          <t>Umbuchung zwischen eigenen Konten, Kreditkartenabrechnung am Girokonto, Zahlung auf die Kreditkarte → „Umbuchung“ (zählt nirgends).</t>
        </is>
      </c>
    </row>
    <row r="12">
      <c r="A12" s="115" t="inlineStr">
        <is>
          <t>•</t>
        </is>
      </c>
      <c r="B12" s="60" t="inlineStr">
        <is>
          <t>Spar-/Bausparkonto: Ein- und Auszahlungen → „Umbuchung“, Zinsen → „Einnahme“, KESt → „Ausgabe“ (Bank &amp; Gebühren).</t>
        </is>
      </c>
    </row>
    <row r="13">
      <c r="A13" s="115" t="inlineStr">
        <is>
          <t>•</t>
        </is>
      </c>
      <c r="B13" s="60" t="inlineStr">
        <is>
          <t>Suchbegriff aus dem Blatt Fixkosten (Betrag innerhalb der Toleranz) → „Fixkosten“ mit dem Namen des Postens.</t>
        </is>
      </c>
    </row>
    <row r="14">
      <c r="A14" s="115" t="inlineStr">
        <is>
          <t>•</t>
        </is>
      </c>
      <c r="B14" s="60" t="inlineStr">
        <is>
          <t>Eingänge: Suchbegriff/Betrag bei den Einnahmen (Blatt Fixkosten) → „Einnahme“ mit dieser Bezeichnung; sonst „Einnahme“ mit dem Namen des Auftraggebers. Gutschrift eines bekannten Händlers → „Ausgabe“ (mindert die Kategorie).</t>
        </is>
      </c>
    </row>
    <row r="15">
      <c r="A15" s="115" t="inlineStr">
        <is>
          <t>•</t>
        </is>
      </c>
      <c r="B15" s="60" t="inlineStr">
        <is>
          <t>Bekannter Händler aus früheren Buchungen → dessen Bezeichnung/Kategorie. Sonst „Ausgabe“ ohne Kategorie (gelb) – Kategorie eintragen, beim nächsten Import wird sie wiederverwendet.</t>
        </is>
      </c>
    </row>
    <row r="16">
      <c r="A16" s="72" t="inlineStr">
        <is>
          <t>Auswertung</t>
        </is>
      </c>
      <c r="B16" s="114" t="n"/>
    </row>
    <row r="17">
      <c r="A17" s="115" t="inlineStr">
        <is>
          <t>•</t>
        </is>
      </c>
      <c r="B17" s="60" t="inlineStr">
        <is>
          <t>Übersicht: Kennzahlen und Ausgaben nach Kategorie für den Auswertungsmonat (B7), Kontostände.</t>
        </is>
      </c>
    </row>
    <row r="18">
      <c r="A18" s="115" t="inlineStr">
        <is>
          <t>•</t>
        </is>
      </c>
      <c r="B18" s="60" t="inlineStr">
        <is>
          <t>Monatsübersicht: Einnahmen, Fixkosten, variable Ausgaben und Saldo je Monat des Jahres (B3) sowie Kategorien × Monate.</t>
        </is>
      </c>
    </row>
    <row r="19">
      <c r="A19" s="115" t="inlineStr">
        <is>
          <t>•</t>
        </is>
      </c>
      <c r="B19" s="60" t="inlineStr">
        <is>
          <t>Fixkosten: geplante Posten mit Soll (Ø pro Monat), Ist im Auswertungsmonat und letzter Buchung.</t>
        </is>
      </c>
    </row>
    <row r="20">
      <c r="A20" s="115" t="inlineStr">
        <is>
          <t>•</t>
        </is>
      </c>
      <c r="B20" s="60" t="inlineStr">
        <is>
          <t>Geteilte Abos: im Blatt Fixkosten bei „Aufteilung“ die Anzahl der Personen inkl. dir (z. B. 5) oder deinen Anteil in % (z. B. 50 %) eintragen → „Mein Anteil pro Monat“. Du zahlst den vollen Betrag; die Rückzahlungen der anderen kommen als Einnahme herein.</t>
        </is>
      </c>
    </row>
    <row r="21">
      <c r="A21" s="115" t="inlineStr">
        <is>
          <t>•</t>
        </is>
      </c>
      <c r="B21" s="60" t="inlineStr">
        <is>
          <t>Umbuchungen (eigene Konten) und ignorierte Buchungen zählen in keiner Auswertung.</t>
        </is>
      </c>
    </row>
    <row r="22">
      <c r="A22" s="115" t="inlineStr">
        <is>
          <t>•</t>
        </is>
      </c>
      <c r="B22" s="60" t="inlineStr">
        <is>
          <t>Monatswechsel: In der Übersicht kann je Konto ein Tag eingetragen werden (Kreditkarte: 28). Buchungen ab diesem Tag zählen zum Folgemonat, so passt der Abrechnungszeitraum der Kreditkarte (28. bis 27.) zum Monat der Abrechnung. Die Spalte „Monat“ in Buchungen zeigt das Ergebnis.</t>
        </is>
      </c>
    </row>
    <row r="23">
      <c r="A23" s="72" t="inlineStr">
        <is>
          <t>Technik</t>
        </is>
      </c>
      <c r="B23" s="114" t="n"/>
    </row>
    <row r="24">
      <c r="A24" s="115" t="inlineStr">
        <is>
          <t>•</t>
        </is>
      </c>
      <c r="B24" s="60" t="inlineStr">
        <is>
          <t>Die Mappe enthält Makros (.xlsm). Beim ersten Öffnen ggf. „Inhalt aktivieren“ bzw. in den Dateieigenschaften „Zulassen“ anhaken, falls Windows die heruntergeladene Datei blockiert.</t>
        </is>
      </c>
    </row>
    <row r="25">
      <c r="A25" s="115" t="inlineStr">
        <is>
          <t>•</t>
        </is>
      </c>
      <c r="B25" s="60" t="inlineStr">
        <is>
          <t>Für Excel unter Windows gebaut (Excel 2019 / Microsoft 365). Auf dem Mac funktioniert der Dateidialog eingeschränkt.</t>
        </is>
      </c>
    </row>
    <row r="26">
      <c r="A26" s="115" t="inlineStr">
        <is>
          <t>•</t>
        </is>
      </c>
      <c r="B26" s="60" t="inlineStr">
        <is>
          <t>Kontostände sind nicht im George-Export enthalten – bitte in der Übersicht selbst eintragen.</t>
        </is>
      </c>
    </row>
  </sheetData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Finanzen" label="Finanzen">
        <group id="grpImport" label="George-Import">
          <button id="btnImport" label="Dateien importieren" size="large" imageMso="FileOpen" onAction="Ribbon_Import" screentip="George-Export(e) auswählen" supertip="JSON-Exporte aus George auswählen (mehrere Dateien möglich: Giro, Sparkonto, Kreditkarte)."/>
          <button id="btnOrdner" label="Import-Ordner einlesen" size="large" imageMso="RefreshAll" onAction="Ribbon_Ordner" screentip="Alle Dateien im Import-Ordner einlesen" supertip="Liest alle *.json im Ordner „Import“ neben der Mappe und verschiebt sie danach nach „Import\erledigt“."/>
          <button id="btnOeffnen" label="Import-Ordner öffnen" size="normal" imageMso="FileOpen" onAction="Ribbon_OrdnerOeffnen" screentip="Ordner im Explorer öffnen – Dateien hineinziehen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2026-10-12T19:58:31Z</dcterms:created>
  <dcterms:modified xmlns:dcterms="http://purl.org/dc/terms/" xmlns:xsi="http://www.w3.org/2001/XMLSchema-instance" xsi:type="dcterms:W3CDTF">2026-10-12T20:48:23Z</dcterms:modified>
</cp:coreProperties>
</file>